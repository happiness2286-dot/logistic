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LIVE_LOC_THEO_THU" sheetId="2" state="hidden" r:id="rId2"/>
    <sheet name="Du_Lieu_2026" sheetId="3" state="visible" r:id="rId3"/>
    <sheet name="Thong_Ke_G7_MultiWindow" sheetId="4" state="visible" r:id="rId4"/>
    <sheet name="Top20_Dong_Thuan" sheetId="5" state="visible" r:id="rId5"/>
    <sheet name="Thong_Ke_Theo_Thu" sheetId="6" state="hidden" r:id="rId6"/>
    <sheet name="Du_Doan_Tong_Theo_Thu" sheetId="7" state="visible" r:id="rId7"/>
    <sheet name="Thong_Ke_Phong_Do_G7_Thu" sheetId="8" state="hidden" r:id="rId8"/>
    <sheet name="Nhat_Ky_Kiem_Chung_Thu" sheetId="9" state="hidden" r:id="rId9"/>
    <sheet name="Phan_Tich_Cau_Ghep_Goc" sheetId="10" state="visible" r:id="rId10"/>
    <sheet name="Dan_Ha_So_Nhip_Vang" sheetId="11" state="visible" r:id="rId11"/>
    <sheet name="Thong_Ke_Nang_Cao_G7" sheetId="12" state="visible" r:id="rId12"/>
    <sheet name="Lich_Su_Truc_Tiep_2026" sheetId="13" state="hidden" r:id="rId13"/>
    <sheet name="Thong_Ke_Dau_Duoi" sheetId="14" state="visible" r:id="rId14"/>
    <sheet name="Thong_Ke_Top3_Dau_Duoi" sheetId="15" state="hidden" r:id="rId15"/>
    <sheet name="Lich_Su_Nuoi_Khung_3Ngay" sheetId="16" state="visible" r:id="rId16"/>
    <sheet name="Top_3D_4D_Manh_Nhat" sheetId="17" state="hidden" r:id="rId17"/>
    <sheet name="Lich_Su_3D_4D_2026" sheetId="18" state="hidden" r:id="rId1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9C0006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LOC_COPY!$C$5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4" t="inlineStr">
        <is>
          <t>--- DÀN SỐ HẠ TỰ ĐỘNG THEO CHẠM &amp; TỔNG ĐÃ CHỌN ---</t>
        </is>
      </c>
      <c r="B5" s="4" t="inlineStr"/>
      <c r="C5" s="5" t="inlineStr"/>
      <c r="D5" s="5" t="inlineStr"/>
      <c r="E5" s="5" t="inlineStr"/>
      <c r="F5" s="5" t="n"/>
      <c r="G5" s="5" t="n"/>
      <c r="H5" s="5" t="n"/>
      <c r="I5" s="5" t="n"/>
      <c r="J5" s="5" t="n"/>
    </row>
    <row r="6">
      <c r="A6" s="2" t="inlineStr"/>
      <c r="B6" s="2">
        <f>IF(AND(OR(A$3="Tất cả", 0=INT(A$3), 1=INT(A$3)), OR(B$3="Tất cả", 1=INT(B$3))), "01", "")</f>
        <v/>
      </c>
      <c r="C6" s="3" t="inlineStr"/>
      <c r="D6" s="3">
        <f>IF(AND(OR(A$3="Tất cả", 0=INT(A$3), 3=INT(A$3)), OR(B$3="Tất cả", 3=INT(B$3))), "03", "")</f>
        <v/>
      </c>
      <c r="E6" s="3" t="inlineStr"/>
      <c r="F6" s="3" t="inlineStr"/>
      <c r="G6" s="3">
        <f>IF(AND(OR(A$3="Tất cả", 0=INT(A$3), 6=INT(A$3)), OR(B$3="Tất cả", 6=INT(B$3))), "06", "")</f>
        <v/>
      </c>
      <c r="H6" s="3" t="inlineStr"/>
      <c r="I6" s="3">
        <f>IF(AND(OR(A$3="Tất cả", 0=INT(A$3), 8=INT(A$3)), OR(B$3="Tất cả", 8=INT(B$3))), "08", "")</f>
        <v/>
      </c>
      <c r="J6" s="3" t="inlineStr"/>
    </row>
    <row r="7">
      <c r="A7" s="2">
        <f>IF(AND(OR(A$3="Tất cả", 1=INT(A$3), 0=INT(A$3)), OR(B$3="Tất cả", 1=INT(B$3))), "10", "")</f>
        <v/>
      </c>
      <c r="B7" s="2" t="inlineStr"/>
      <c r="C7" s="3">
        <f>IF(AND(OR(A$3="Tất cả", 1=INT(A$3), 2=INT(A$3)), OR(B$3="Tất cả", 3=INT(B$3))), "12", "")</f>
        <v/>
      </c>
      <c r="D7" s="3" t="inlineStr"/>
      <c r="E7" s="3" t="inlineStr"/>
      <c r="F7" s="3">
        <f>IF(AND(OR(A$3="Tất cả", 1=INT(A$3), 5=INT(A$3)), OR(B$3="Tất cả", 6=INT(B$3))), "15", "")</f>
        <v/>
      </c>
      <c r="G7" s="3" t="inlineStr"/>
      <c r="H7" s="3">
        <f>IF(AND(OR(A$3="Tất cả", 1=INT(A$3), 7=INT(A$3)), OR(B$3="Tất cả", 8=INT(B$3))), "17", "")</f>
        <v/>
      </c>
      <c r="I7" s="3" t="inlineStr"/>
      <c r="J7" s="3" t="inlineStr"/>
    </row>
    <row r="8">
      <c r="A8" s="2" t="inlineStr"/>
      <c r="B8" s="2">
        <f>IF(AND(OR(A$3="Tất cả", 2=INT(A$3), 1=INT(A$3)), OR(B$3="Tất cả", 3=INT(B$3))), "21", "")</f>
        <v/>
      </c>
      <c r="C8" s="3" t="inlineStr"/>
      <c r="D8" s="3" t="inlineStr"/>
      <c r="E8" s="3">
        <f>IF(AND(OR(A$3="Tất cả", 2=INT(A$3), 4=INT(A$3)), OR(B$3="Tất cả", 6=INT(B$3))), "24", "")</f>
        <v/>
      </c>
      <c r="F8" s="3" t="inlineStr"/>
      <c r="G8" s="3">
        <f>IF(AND(OR(A$3="Tất cả", 2=INT(A$3), 6=INT(A$3)), OR(B$3="Tất cả", 8=INT(B$3))), "26", "")</f>
        <v/>
      </c>
      <c r="H8" s="3" t="inlineStr"/>
      <c r="I8" s="3" t="inlineStr"/>
      <c r="J8" s="3">
        <f>IF(AND(OR(A$3="Tất cả", 2=INT(A$3), 9=INT(A$3)), OR(B$3="Tất cả", 1=INT(B$3))), "29", "")</f>
        <v/>
      </c>
    </row>
    <row r="9">
      <c r="A9" s="2">
        <f>IF(AND(OR(A$3="Tất cả", 3=INT(A$3), 0=INT(A$3)), OR(B$3="Tất cả", 3=INT(B$3))), "30", "")</f>
        <v/>
      </c>
      <c r="B9" s="2" t="inlineStr"/>
      <c r="C9" s="3" t="inlineStr"/>
      <c r="D9" s="3">
        <f>IF(AND(OR(A$3="Tất cả", 3=INT(A$3), 3=INT(A$3)), OR(B$3="Tất cả", 6=INT(B$3))), "33", "")</f>
        <v/>
      </c>
      <c r="E9" s="3" t="inlineStr"/>
      <c r="F9" s="3">
        <f>IF(AND(OR(A$3="Tất cả", 3=INT(A$3), 5=INT(A$3)), OR(B$3="Tất cả", 8=INT(B$3))), "35", "")</f>
        <v/>
      </c>
      <c r="G9" s="3" t="inlineStr"/>
      <c r="H9" s="3" t="inlineStr"/>
      <c r="I9" s="3">
        <f>IF(AND(OR(A$3="Tất cả", 3=INT(A$3), 8=INT(A$3)), OR(B$3="Tất cả", 1=INT(B$3))), "38", "")</f>
        <v/>
      </c>
      <c r="J9" s="3" t="inlineStr"/>
    </row>
    <row r="10">
      <c r="A10" s="2" t="inlineStr"/>
      <c r="B10" s="2" t="inlineStr"/>
      <c r="C10" s="3">
        <f>IF(AND(OR(A$3="Tất cả", 4=INT(A$3), 2=INT(A$3)), OR(B$3="Tất cả", 6=INT(B$3))), "42", "")</f>
        <v/>
      </c>
      <c r="D10" s="3" t="inlineStr"/>
      <c r="E10" s="3" t="inlineStr"/>
      <c r="F10" s="3" t="inlineStr"/>
      <c r="G10" s="3" t="inlineStr"/>
      <c r="H10" s="3">
        <f>IF(AND(OR(A$3="Tất cả", 4=INT(A$3), 7=INT(A$3)), OR(B$3="Tất cả", 1=INT(B$3))), "47", "")</f>
        <v/>
      </c>
      <c r="I10" s="3" t="inlineStr"/>
      <c r="J10" s="3" t="inlineStr"/>
    </row>
    <row r="11">
      <c r="A11" s="2" t="inlineStr"/>
      <c r="B11" s="2">
        <f>IF(AND(OR(A$3="Tất cả", 5=INT(A$3), 1=INT(A$3)), OR(B$3="Tất cả", 6=INT(B$3))), "51", "")</f>
        <v/>
      </c>
      <c r="C11" s="3" t="inlineStr"/>
      <c r="D11" s="3">
        <f>IF(AND(OR(A$3="Tất cả", 5=INT(A$3), 3=INT(A$3)), OR(B$3="Tất cả", 8=INT(B$3))), "53", "")</f>
        <v/>
      </c>
      <c r="E11" s="3" t="inlineStr"/>
      <c r="F11" s="3" t="inlineStr"/>
      <c r="G11" s="3">
        <f>IF(AND(OR(A$3="Tất cả", 5=INT(A$3), 6=INT(A$3)), OR(B$3="Tất cả", 1=INT(B$3))), "56", "")</f>
        <v/>
      </c>
      <c r="H11" s="3" t="inlineStr"/>
      <c r="I11" s="3">
        <f>IF(AND(OR(A$3="Tất cả", 5=INT(A$3), 8=INT(A$3)), OR(B$3="Tất cả", 3=INT(B$3))), "58", "")</f>
        <v/>
      </c>
      <c r="J11" s="3" t="inlineStr"/>
    </row>
    <row r="12">
      <c r="A12" s="2">
        <f>IF(AND(OR(A$3="Tất cả", 6=INT(A$3), 0=INT(A$3)), OR(B$3="Tất cả", 6=INT(B$3))), "60", "")</f>
        <v/>
      </c>
      <c r="B12" s="2" t="inlineStr"/>
      <c r="C12" s="3">
        <f>IF(AND(OR(A$3="Tất cả", 6=INT(A$3), 2=INT(A$3)), OR(B$3="Tất cả", 8=INT(B$3))), "62", "")</f>
        <v/>
      </c>
      <c r="D12" s="3" t="inlineStr"/>
      <c r="E12" s="3" t="inlineStr"/>
      <c r="F12" s="3">
        <f>IF(AND(OR(A$3="Tất cả", 6=INT(A$3), 5=INT(A$3)), OR(B$3="Tất cả", 1=INT(B$3))), "65", "")</f>
        <v/>
      </c>
      <c r="G12" s="3" t="inlineStr"/>
      <c r="H12" s="3">
        <f>IF(AND(OR(A$3="Tất cả", 6=INT(A$3), 7=INT(A$3)), OR(B$3="Tất cả", 3=INT(B$3))), "67", "")</f>
        <v/>
      </c>
      <c r="I12" s="3" t="inlineStr"/>
      <c r="J12" s="3" t="inlineStr"/>
    </row>
    <row r="13">
      <c r="A13" s="2" t="inlineStr"/>
      <c r="B13" s="2">
        <f>IF(AND(OR(A$3="Tất cả", 7=INT(A$3), 1=INT(A$3)), OR(B$3="Tất cả", 8=INT(B$3))), "71", "")</f>
        <v/>
      </c>
      <c r="C13" s="3" t="inlineStr"/>
      <c r="D13" s="3" t="inlineStr"/>
      <c r="E13" s="3">
        <f>IF(AND(OR(A$3="Tất cả", 7=INT(A$3), 4=INT(A$3)), OR(B$3="Tất cả", 1=INT(B$3))), "74", "")</f>
        <v/>
      </c>
      <c r="F13" s="3" t="inlineStr"/>
      <c r="G13" s="3">
        <f>IF(AND(OR(A$3="Tất cả", 7=INT(A$3), 6=INT(A$3)), OR(B$3="Tất cả", 3=INT(B$3))), "76", "")</f>
        <v/>
      </c>
      <c r="H13" s="3" t="inlineStr"/>
      <c r="I13" s="3" t="inlineStr"/>
      <c r="J13" s="3">
        <f>IF(AND(OR(A$3="Tất cả", 7=INT(A$3), 9=INT(A$3)), OR(B$3="Tất cả", 6=INT(B$3))), "79", "")</f>
        <v/>
      </c>
    </row>
    <row r="14">
      <c r="A14" s="2">
        <f>IF(AND(OR(A$3="Tất cả", 8=INT(A$3), 0=INT(A$3)), OR(B$3="Tất cả", 8=INT(B$3))), "80", "")</f>
        <v/>
      </c>
      <c r="B14" s="2" t="inlineStr"/>
      <c r="C14" s="3" t="inlineStr"/>
      <c r="D14" s="3">
        <f>IF(AND(OR(A$3="Tất cả", 8=INT(A$3), 3=INT(A$3)), OR(B$3="Tất cả", 1=INT(B$3))), "83", "")</f>
        <v/>
      </c>
      <c r="E14" s="3" t="inlineStr"/>
      <c r="F14" s="3">
        <f>IF(AND(OR(A$3="Tất cả", 8=INT(A$3), 5=INT(A$3)), OR(B$3="Tất cả", 3=INT(B$3))), "85", "")</f>
        <v/>
      </c>
      <c r="G14" s="3" t="inlineStr"/>
      <c r="H14" s="3" t="inlineStr"/>
      <c r="I14" s="3">
        <f>IF(AND(OR(A$3="Tất cả", 8=INT(A$3), 8=INT(A$3)), OR(B$3="Tất cả", 6=INT(B$3))), "88", "")</f>
        <v/>
      </c>
      <c r="J14" s="3" t="inlineStr"/>
    </row>
    <row r="15">
      <c r="A15" s="2" t="inlineStr"/>
      <c r="B15" s="2" t="inlineStr"/>
      <c r="C15" s="3">
        <f>IF(AND(OR(A$3="Tất cả", 9=INT(A$3), 2=INT(A$3)), OR(B$3="Tất cả", 1=INT(B$3))), "92", "")</f>
        <v/>
      </c>
      <c r="D15" s="3" t="inlineStr"/>
      <c r="E15" s="3" t="inlineStr"/>
      <c r="F15" s="3" t="inlineStr"/>
      <c r="G15" s="3" t="inlineStr"/>
      <c r="H15" s="3">
        <f>IF(AND(OR(A$3="Tất cả", 9=INT(A$3), 7=INT(A$3)), OR(B$3="Tất cả", 6=INT(B$3))), "97", "")</f>
        <v/>
      </c>
      <c r="I15" s="3" t="inlineStr"/>
      <c r="J15" s="3" t="inlineStr"/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Không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Không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Không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Không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19</t>
        </is>
      </c>
      <c r="F228" s="3" t="inlineStr">
        <is>
          <t>T0-B5</t>
        </is>
      </c>
      <c r="G228" s="3" t="inlineStr">
        <is>
          <t>Trúng</t>
        </is>
      </c>
      <c r="H228" s="3" t="inlineStr">
        <is>
          <t>11</t>
        </is>
      </c>
      <c r="I228" s="3" t="inlineStr">
        <is>
          <t>T2-B7</t>
        </is>
      </c>
      <c r="J228" s="3" t="inlineStr">
        <is>
          <t>Không</t>
        </is>
      </c>
      <c r="K228" s="3" t="inlineStr">
        <is>
          <t>73</t>
        </is>
      </c>
      <c r="L228" s="3" t="inlineStr">
        <is>
          <t>T0-B5</t>
        </is>
      </c>
      <c r="M228" s="3" t="inlineStr">
        <is>
          <t>Trúng</t>
        </is>
      </c>
      <c r="N228" s="3" t="inlineStr">
        <is>
          <t>54</t>
        </is>
      </c>
      <c r="O228" s="3" t="inlineStr">
        <is>
          <t>T9-B4</t>
        </is>
      </c>
      <c r="P228" s="3" t="inlineStr">
        <is>
          <t>Không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88</t>
        </is>
      </c>
      <c r="F229" s="3" t="inlineStr">
        <is>
          <t>T6-B1</t>
        </is>
      </c>
      <c r="G229" s="3" t="inlineStr">
        <is>
          <t>Trúng</t>
        </is>
      </c>
      <c r="H229" s="3" t="inlineStr">
        <is>
          <t>34</t>
        </is>
      </c>
      <c r="I229" s="3" t="inlineStr">
        <is>
          <t>T7-B2</t>
        </is>
      </c>
      <c r="J229" s="3" t="inlineStr">
        <is>
          <t>Không</t>
        </is>
      </c>
      <c r="K229" s="3" t="inlineStr">
        <is>
          <t>47</t>
        </is>
      </c>
      <c r="L229" s="3" t="inlineStr">
        <is>
          <t>T1-B6</t>
        </is>
      </c>
      <c r="M229" s="3" t="inlineStr">
        <is>
          <t>Trúng</t>
        </is>
      </c>
      <c r="N229" s="3" t="inlineStr">
        <is>
          <t>00</t>
        </is>
      </c>
      <c r="O229" s="3" t="inlineStr">
        <is>
          <t>T0-B5</t>
        </is>
      </c>
      <c r="P229" s="3" t="inlineStr">
        <is>
          <t>Không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95</t>
        </is>
      </c>
      <c r="F230" s="3" t="inlineStr">
        <is>
          <t>T4-B9</t>
        </is>
      </c>
      <c r="G230" s="3" t="inlineStr">
        <is>
          <t>Trúng</t>
        </is>
      </c>
      <c r="H230" s="3" t="inlineStr">
        <is>
          <t>35</t>
        </is>
      </c>
      <c r="I230" s="3" t="inlineStr">
        <is>
          <t>T8-B3</t>
        </is>
      </c>
      <c r="J230" s="3" t="inlineStr">
        <is>
          <t>Không</t>
        </is>
      </c>
      <c r="K230" s="3" t="inlineStr">
        <is>
          <t>99</t>
        </is>
      </c>
      <c r="L230" s="3" t="inlineStr">
        <is>
          <t>T8-B3</t>
        </is>
      </c>
      <c r="M230" s="3" t="inlineStr">
        <is>
          <t>Không</t>
        </is>
      </c>
      <c r="N230" s="3" t="inlineStr">
        <is>
          <t>67</t>
        </is>
      </c>
      <c r="O230" s="3" t="inlineStr">
        <is>
          <t>T3-B8</t>
        </is>
      </c>
      <c r="P230" s="3" t="inlineStr">
        <is>
          <t>Không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26</t>
        </is>
      </c>
      <c r="F231" s="3" t="inlineStr">
        <is>
          <t>T8-B3</t>
        </is>
      </c>
      <c r="G231" s="3" t="inlineStr">
        <is>
          <t>Không</t>
        </is>
      </c>
      <c r="H231" s="3" t="inlineStr">
        <is>
          <t>09</t>
        </is>
      </c>
      <c r="I231" s="3" t="inlineStr">
        <is>
          <t>T9-B4</t>
        </is>
      </c>
      <c r="J231" s="3" t="inlineStr">
        <is>
          <t>Không</t>
        </is>
      </c>
      <c r="K231" s="3" t="inlineStr">
        <is>
          <t>06</t>
        </is>
      </c>
      <c r="L231" s="3" t="inlineStr">
        <is>
          <t>T6-B1</t>
        </is>
      </c>
      <c r="M231" s="3" t="inlineStr">
        <is>
          <t>Trúng</t>
        </is>
      </c>
      <c r="N231" s="3" t="inlineStr">
        <is>
          <t>64</t>
        </is>
      </c>
      <c r="O231" s="3" t="inlineStr">
        <is>
          <t>T0-B5</t>
        </is>
      </c>
      <c r="P231" s="3" t="inlineStr">
        <is>
          <t>Không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68</t>
        </is>
      </c>
      <c r="F232" s="3" t="inlineStr">
        <is>
          <t>T4-B9</t>
        </is>
      </c>
      <c r="G232" s="3" t="inlineStr">
        <is>
          <t>Không</t>
        </is>
      </c>
      <c r="H232" s="3" t="inlineStr">
        <is>
          <t>87</t>
        </is>
      </c>
      <c r="I232" s="3" t="inlineStr">
        <is>
          <t>T5-B0</t>
        </is>
      </c>
      <c r="J232" s="3" t="inlineStr">
        <is>
          <t>Không</t>
        </is>
      </c>
      <c r="K232" s="3" t="inlineStr">
        <is>
          <t>38</t>
        </is>
      </c>
      <c r="L232" s="3" t="inlineStr">
        <is>
          <t>T1-B6</t>
        </is>
      </c>
      <c r="M232" s="3" t="inlineStr">
        <is>
          <t>Không</t>
        </is>
      </c>
      <c r="N232" s="3" t="inlineStr">
        <is>
          <t>99</t>
        </is>
      </c>
      <c r="O232" s="3" t="inlineStr">
        <is>
          <t>T8-B3</t>
        </is>
      </c>
      <c r="P232" s="3" t="inlineStr">
        <is>
          <t>Trúng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19</t>
        </is>
      </c>
      <c r="F233" s="3" t="inlineStr">
        <is>
          <t>T0-B5</t>
        </is>
      </c>
      <c r="G233" s="3" t="inlineStr">
        <is>
          <t>Không</t>
        </is>
      </c>
      <c r="H233" s="3" t="inlineStr">
        <is>
          <t>85</t>
        </is>
      </c>
      <c r="I233" s="3" t="inlineStr">
        <is>
          <t>T3-B8</t>
        </is>
      </c>
      <c r="J233" s="3" t="inlineStr">
        <is>
          <t>Trúng</t>
        </is>
      </c>
      <c r="K233" s="3" t="inlineStr">
        <is>
          <t>40</t>
        </is>
      </c>
      <c r="L233" s="3" t="inlineStr">
        <is>
          <t>T4-B9</t>
        </is>
      </c>
      <c r="M233" s="3" t="inlineStr">
        <is>
          <t>Không</t>
        </is>
      </c>
      <c r="N233" s="3" t="inlineStr">
        <is>
          <t>71</t>
        </is>
      </c>
      <c r="O233" s="3" t="inlineStr">
        <is>
          <t>T8-B3</t>
        </is>
      </c>
      <c r="P233" s="3" t="inlineStr">
        <is>
          <t>Trúng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91</t>
        </is>
      </c>
      <c r="F234" s="3" t="inlineStr">
        <is>
          <t>T0-B5</t>
        </is>
      </c>
      <c r="G234" s="3" t="inlineStr">
        <is>
          <t>Không</t>
        </is>
      </c>
      <c r="H234" s="3" t="inlineStr">
        <is>
          <t>09</t>
        </is>
      </c>
      <c r="I234" s="3" t="inlineStr">
        <is>
          <t>T9-B4</t>
        </is>
      </c>
      <c r="J234" s="3" t="inlineStr">
        <is>
          <t>Không</t>
        </is>
      </c>
      <c r="K234" s="3" t="inlineStr">
        <is>
          <t>45</t>
        </is>
      </c>
      <c r="L234" s="3" t="inlineStr">
        <is>
          <t>T9-B4</t>
        </is>
      </c>
      <c r="M234" s="3" t="inlineStr">
        <is>
          <t>Không</t>
        </is>
      </c>
      <c r="N234" s="3" t="inlineStr">
        <is>
          <t>84</t>
        </is>
      </c>
      <c r="O234" s="3" t="inlineStr">
        <is>
          <t>T2-B7</t>
        </is>
      </c>
      <c r="P234" s="3" t="inlineStr">
        <is>
          <t>Trúng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23</t>
        </is>
      </c>
      <c r="F235" s="3" t="inlineStr">
        <is>
          <t>T5-B0</t>
        </is>
      </c>
      <c r="G235" s="3" t="inlineStr">
        <is>
          <t>Không</t>
        </is>
      </c>
      <c r="H235" s="3" t="inlineStr">
        <is>
          <t>68</t>
        </is>
      </c>
      <c r="I235" s="3" t="inlineStr">
        <is>
          <t>T4-B9</t>
        </is>
      </c>
      <c r="J235" s="3" t="inlineStr">
        <is>
          <t>Trúng</t>
        </is>
      </c>
      <c r="K235" s="3" t="inlineStr">
        <is>
          <t>96</t>
        </is>
      </c>
      <c r="L235" s="3" t="inlineStr">
        <is>
          <t>T5-B0</t>
        </is>
      </c>
      <c r="M235" s="3" t="inlineStr">
        <is>
          <t>Không</t>
        </is>
      </c>
      <c r="N235" s="3" t="inlineStr">
        <is>
          <t>69</t>
        </is>
      </c>
      <c r="O235" s="3" t="inlineStr">
        <is>
          <t>T5-B0</t>
        </is>
      </c>
      <c r="P235" s="3" t="inlineStr">
        <is>
          <t>Không</t>
        </is>
      </c>
    </row>
    <row r="236">
      <c r="A236" s="2" t="n">
        <v>235</v>
      </c>
      <c r="B236" s="2" t="inlineStr">
        <is>
          <t>Thứ năm ngày 27-08-2026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03</t>
        </is>
      </c>
      <c r="F236" s="3" t="inlineStr">
        <is>
          <t>T3-B8</t>
        </is>
      </c>
      <c r="G236" s="3" t="inlineStr">
        <is>
          <t>N/A</t>
        </is>
      </c>
      <c r="H236" s="3" t="inlineStr">
        <is>
          <t>86</t>
        </is>
      </c>
      <c r="I236" s="3" t="inlineStr">
        <is>
          <t>T4-B9</t>
        </is>
      </c>
      <c r="J236" s="3" t="inlineStr">
        <is>
          <t>N/A</t>
        </is>
      </c>
      <c r="K236" s="3" t="inlineStr">
        <is>
          <t>61</t>
        </is>
      </c>
      <c r="L236" s="3" t="inlineStr">
        <is>
          <t>T7-B2</t>
        </is>
      </c>
      <c r="M236" s="3" t="inlineStr">
        <is>
          <t>N/A</t>
        </is>
      </c>
      <c r="N236" s="3" t="inlineStr">
        <is>
          <t>71</t>
        </is>
      </c>
      <c r="O236" s="3" t="inlineStr">
        <is>
          <t>T8-B3</t>
        </is>
      </c>
      <c r="P236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44.87%</t>
        </is>
      </c>
      <c r="C2" s="3" t="inlineStr">
        <is>
          <t>105 / 234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71.79%</t>
        </is>
      </c>
      <c r="C3" s="3" t="inlineStr">
        <is>
          <t>168 / 234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87.5%</t>
        </is>
      </c>
      <c r="C4" s="3" t="inlineStr">
        <is>
          <t>207 / 234 ngày</t>
        </is>
      </c>
      <c r="D4" s="3" t="inlineStr">
        <is>
          <t>Tối Ưu Cực Đại - Tỷ Lệ Trúng Gần 88%</t>
        </is>
      </c>
    </row>
    <row r="5">
      <c r="A5" s="2" t="inlineStr">
        <is>
          <t>Tuần 35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G7_2 (Loại G7_4)</t>
        </is>
      </c>
    </row>
    <row r="6">
      <c r="A6" s="2" t="inlineStr">
        <is>
          <t>Khung 30 Ngày Gần Nhất</t>
        </is>
      </c>
      <c r="B6" s="2" t="inlineStr">
        <is>
          <t>Top 1: G7_3 (26.7%)</t>
        </is>
      </c>
      <c r="C6" s="3" t="inlineStr">
        <is>
          <t>Top 2: G7_1 (20.0%)</t>
        </is>
      </c>
      <c r="D6" s="3" t="inlineStr">
        <is>
          <t>Top 3: G7_2 (16.7%) | Loại: G7_4</t>
        </is>
      </c>
    </row>
    <row r="7">
      <c r="A7" s="2" t="inlineStr">
        <is>
          <t>Khung 60 Ngày Gần Nhất</t>
        </is>
      </c>
      <c r="B7" s="2" t="inlineStr">
        <is>
          <t>Top 1: G7_2 (20.0%)</t>
        </is>
      </c>
      <c r="C7" s="3" t="inlineStr">
        <is>
          <t>Top 2: G7_3 (20.0%)</t>
        </is>
      </c>
      <c r="D7" s="3" t="inlineStr">
        <is>
          <t>Top 3: G7_4 (20.0%) | Loại: G7_1</t>
        </is>
      </c>
    </row>
    <row r="8">
      <c r="A8" s="2" t="inlineStr">
        <is>
          <t>Khung 90 Ngày Gần Nhất</t>
        </is>
      </c>
      <c r="B8" s="2" t="inlineStr">
        <is>
          <t>Top 1: G7_2 (20.0%)</t>
        </is>
      </c>
      <c r="C8" s="3" t="inlineStr">
        <is>
          <t>Top 2: G7_3 (20.0%)</t>
        </is>
      </c>
      <c r="D8" s="3" t="inlineStr">
        <is>
          <t>Top 3: G7_1 (16.7%) | Loại: G7_4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39</t>
        </is>
      </c>
      <c r="C2" s="3" t="inlineStr">
        <is>
          <t>Tổng 2</t>
        </is>
      </c>
      <c r="D2" s="3" t="inlineStr">
        <is>
          <t>CÓ</t>
        </is>
      </c>
      <c r="E2" s="3" t="n">
        <v>1</v>
      </c>
      <c r="F2" s="3" t="n">
        <v>3</v>
      </c>
      <c r="G2" s="3" t="n">
        <v>3</v>
      </c>
      <c r="H2" s="3" t="n">
        <v>10</v>
      </c>
      <c r="I2" s="3" t="inlineStr">
        <is>
          <t>Nhịp Đẹp</t>
        </is>
      </c>
      <c r="J2" s="3" t="n">
        <v>47</v>
      </c>
    </row>
    <row r="3">
      <c r="A3" s="2" t="inlineStr">
        <is>
          <t>Top 02</t>
        </is>
      </c>
      <c r="B3" s="2" t="inlineStr">
        <is>
          <t>67</t>
        </is>
      </c>
      <c r="C3" s="3" t="inlineStr">
        <is>
          <t>Tổng 3</t>
        </is>
      </c>
      <c r="D3" s="3" t="inlineStr">
        <is>
          <t>CÓ</t>
        </is>
      </c>
      <c r="E3" s="3" t="n">
        <v>1</v>
      </c>
      <c r="F3" s="3" t="n">
        <v>2</v>
      </c>
      <c r="G3" s="3" t="n">
        <v>2</v>
      </c>
      <c r="H3" s="3" t="n">
        <v>21</v>
      </c>
      <c r="I3" s="3" t="inlineStr">
        <is>
          <t>Nhịp Đẹp</t>
        </is>
      </c>
      <c r="J3" s="3" t="n">
        <v>44</v>
      </c>
    </row>
    <row r="4">
      <c r="A4" s="2" t="inlineStr">
        <is>
          <t>Top 03</t>
        </is>
      </c>
      <c r="B4" s="2" t="inlineStr">
        <is>
          <t>43</t>
        </is>
      </c>
      <c r="C4" s="3" t="inlineStr">
        <is>
          <t>Tổng 7</t>
        </is>
      </c>
      <c r="D4" s="3" t="inlineStr">
        <is>
          <t>CÓ</t>
        </is>
      </c>
      <c r="E4" s="3" t="n">
        <v>1</v>
      </c>
      <c r="F4" s="3" t="n">
        <v>1</v>
      </c>
      <c r="G4" s="3" t="n">
        <v>2</v>
      </c>
      <c r="H4" s="3" t="n">
        <v>8</v>
      </c>
      <c r="I4" s="3" t="inlineStr">
        <is>
          <t>Nhịp Đẹp</t>
        </is>
      </c>
      <c r="J4" s="3" t="n">
        <v>42</v>
      </c>
    </row>
    <row r="5">
      <c r="A5" s="2" t="inlineStr">
        <is>
          <t>Top 04</t>
        </is>
      </c>
      <c r="B5" s="2" t="inlineStr">
        <is>
          <t>09</t>
        </is>
      </c>
      <c r="C5" s="3" t="inlineStr">
        <is>
          <t>Tổng 9</t>
        </is>
      </c>
      <c r="D5" s="3" t="inlineStr">
        <is>
          <t>CÓ</t>
        </is>
      </c>
      <c r="E5" s="3" t="n">
        <v>1</v>
      </c>
      <c r="F5" s="3" t="n">
        <v>1</v>
      </c>
      <c r="G5" s="3" t="n">
        <v>1</v>
      </c>
      <c r="H5" s="3" t="n">
        <v>25</v>
      </c>
      <c r="I5" s="3" t="inlineStr">
        <is>
          <t>Nhịp Đẹp</t>
        </is>
      </c>
      <c r="J5" s="3" t="n">
        <v>41</v>
      </c>
    </row>
    <row r="6">
      <c r="A6" s="2" t="inlineStr">
        <is>
          <t>Top 05</t>
        </is>
      </c>
      <c r="B6" s="2" t="inlineStr">
        <is>
          <t>13</t>
        </is>
      </c>
      <c r="C6" s="3" t="inlineStr">
        <is>
          <t>Tổng 4</t>
        </is>
      </c>
      <c r="D6" s="3" t="inlineStr">
        <is>
          <t>CÓ</t>
        </is>
      </c>
      <c r="E6" s="3" t="n">
        <v>1</v>
      </c>
      <c r="F6" s="3" t="n">
        <v>1</v>
      </c>
      <c r="G6" s="3" t="n">
        <v>1</v>
      </c>
      <c r="H6" s="3" t="n">
        <v>5</v>
      </c>
      <c r="I6" s="3" t="inlineStr">
        <is>
          <t>Nhịp Đẹp</t>
        </is>
      </c>
      <c r="J6" s="3" t="n">
        <v>41</v>
      </c>
    </row>
    <row r="7">
      <c r="A7" s="2" t="inlineStr">
        <is>
          <t>Top 06</t>
        </is>
      </c>
      <c r="B7" s="2" t="inlineStr">
        <is>
          <t>17</t>
        </is>
      </c>
      <c r="C7" s="3" t="inlineStr">
        <is>
          <t>Tổng 8</t>
        </is>
      </c>
      <c r="D7" s="3" t="inlineStr">
        <is>
          <t>CÓ</t>
        </is>
      </c>
      <c r="E7" s="3" t="n">
        <v>1</v>
      </c>
      <c r="F7" s="3" t="n">
        <v>1</v>
      </c>
      <c r="G7" s="3" t="n">
        <v>1</v>
      </c>
      <c r="H7" s="3" t="n">
        <v>3</v>
      </c>
      <c r="I7" s="3" t="inlineStr">
        <is>
          <t>Nhịp Đẹp</t>
        </is>
      </c>
      <c r="J7" s="3" t="n">
        <v>41</v>
      </c>
    </row>
    <row r="8">
      <c r="A8" s="2" t="inlineStr">
        <is>
          <t>Top 07</t>
        </is>
      </c>
      <c r="B8" s="2" t="inlineStr">
        <is>
          <t>18</t>
        </is>
      </c>
      <c r="C8" s="3" t="inlineStr">
        <is>
          <t>Tổng 9</t>
        </is>
      </c>
      <c r="D8" s="3" t="inlineStr">
        <is>
          <t>CÓ</t>
        </is>
      </c>
      <c r="E8" s="3" t="n">
        <v>1</v>
      </c>
      <c r="F8" s="3" t="n">
        <v>1</v>
      </c>
      <c r="G8" s="3" t="n">
        <v>1</v>
      </c>
      <c r="H8" s="3" t="n">
        <v>13</v>
      </c>
      <c r="I8" s="3" t="inlineStr">
        <is>
          <t>Nhịp Đẹp</t>
        </is>
      </c>
      <c r="J8" s="3" t="n">
        <v>41</v>
      </c>
    </row>
    <row r="9">
      <c r="A9" s="2" t="inlineStr">
        <is>
          <t>Top 08</t>
        </is>
      </c>
      <c r="B9" s="2" t="inlineStr">
        <is>
          <t>21</t>
        </is>
      </c>
      <c r="C9" s="3" t="inlineStr">
        <is>
          <t>Tổng 3</t>
        </is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18</v>
      </c>
      <c r="I9" s="3" t="inlineStr">
        <is>
          <t>Nhịp Đẹp</t>
        </is>
      </c>
      <c r="J9" s="3" t="n">
        <v>41</v>
      </c>
    </row>
    <row r="10">
      <c r="A10" s="2" t="inlineStr">
        <is>
          <t>Top 09</t>
        </is>
      </c>
      <c r="B10" s="2" t="inlineStr">
        <is>
          <t>26</t>
        </is>
      </c>
      <c r="C10" s="3" t="inlineStr">
        <is>
          <t>Tổng 8</t>
        </is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15</v>
      </c>
      <c r="I10" s="3" t="inlineStr">
        <is>
          <t>Nhịp Đẹp</t>
        </is>
      </c>
      <c r="J10" s="3" t="n">
        <v>41</v>
      </c>
    </row>
    <row r="11">
      <c r="A11" s="2" t="inlineStr">
        <is>
          <t>Top 10</t>
        </is>
      </c>
      <c r="B11" s="2" t="inlineStr">
        <is>
          <t>57</t>
        </is>
      </c>
      <c r="C11" s="3" t="inlineStr">
        <is>
          <t>Tổng 2</t>
        </is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17</v>
      </c>
      <c r="I11" s="3" t="inlineStr">
        <is>
          <t>Nhịp Đẹp</t>
        </is>
      </c>
      <c r="J11" s="3" t="n">
        <v>41</v>
      </c>
    </row>
    <row r="12">
      <c r="A12" s="2" t="inlineStr">
        <is>
          <t>Top 11</t>
        </is>
      </c>
      <c r="B12" s="2" t="inlineStr">
        <is>
          <t>80</t>
        </is>
      </c>
      <c r="C12" s="3" t="inlineStr">
        <is>
          <t>Tổng 8</t>
        </is>
      </c>
      <c r="D12" s="3" t="inlineStr">
        <is>
          <t>CÓ</t>
        </is>
      </c>
      <c r="E12" s="3" t="n">
        <v>1</v>
      </c>
      <c r="F12" s="3" t="n">
        <v>1</v>
      </c>
      <c r="G12" s="3" t="n">
        <v>2</v>
      </c>
      <c r="H12" s="3" t="n">
        <v>2</v>
      </c>
      <c r="I12" s="3" t="inlineStr">
        <is>
          <t>Vừa Ra</t>
        </is>
      </c>
      <c r="J12" s="3" t="n">
        <v>37</v>
      </c>
    </row>
    <row r="13">
      <c r="A13" s="2" t="inlineStr">
        <is>
          <t>Top 12</t>
        </is>
      </c>
      <c r="B13" s="2" t="inlineStr">
        <is>
          <t>22</t>
        </is>
      </c>
      <c r="C13" s="3" t="inlineStr">
        <is>
          <t>Tổng 4</t>
        </is>
      </c>
      <c r="D13" s="3" t="inlineStr">
        <is>
          <t>KHÔNG</t>
        </is>
      </c>
      <c r="E13" s="3" t="n">
        <v>1</v>
      </c>
      <c r="F13" s="3" t="n">
        <v>1</v>
      </c>
      <c r="G13" s="3" t="n">
        <v>1</v>
      </c>
      <c r="H13" s="3" t="n">
        <v>19</v>
      </c>
      <c r="I13" s="3" t="inlineStr">
        <is>
          <t>Nhịp Đẹp</t>
        </is>
      </c>
      <c r="J13" s="3" t="n">
        <v>36</v>
      </c>
    </row>
    <row r="14">
      <c r="A14" s="2" t="inlineStr">
        <is>
          <t>Top 13</t>
        </is>
      </c>
      <c r="B14" s="2" t="inlineStr">
        <is>
          <t>25</t>
        </is>
      </c>
      <c r="C14" s="3" t="inlineStr">
        <is>
          <t>Tổng 7</t>
        </is>
      </c>
      <c r="D14" s="3" t="inlineStr">
        <is>
          <t>KHÔNG</t>
        </is>
      </c>
      <c r="E14" s="3" t="n">
        <v>1</v>
      </c>
      <c r="F14" s="3" t="n">
        <v>1</v>
      </c>
      <c r="G14" s="3" t="n">
        <v>1</v>
      </c>
      <c r="H14" s="3" t="n">
        <v>23</v>
      </c>
      <c r="I14" s="3" t="inlineStr">
        <is>
          <t>Nhịp Đẹp</t>
        </is>
      </c>
      <c r="J14" s="3" t="n">
        <v>36</v>
      </c>
    </row>
    <row r="15">
      <c r="A15" s="2" t="inlineStr">
        <is>
          <t>Top 14</t>
        </is>
      </c>
      <c r="B15" s="2" t="inlineStr">
        <is>
          <t>44</t>
        </is>
      </c>
      <c r="C15" s="3" t="inlineStr">
        <is>
          <t>Tổng 8</t>
        </is>
      </c>
      <c r="D15" s="3" t="inlineStr">
        <is>
          <t>KHÔNG</t>
        </is>
      </c>
      <c r="E15" s="3" t="n">
        <v>1</v>
      </c>
      <c r="F15" s="3" t="n">
        <v>1</v>
      </c>
      <c r="G15" s="3" t="n">
        <v>1</v>
      </c>
      <c r="H15" s="3" t="n">
        <v>14</v>
      </c>
      <c r="I15" s="3" t="inlineStr">
        <is>
          <t>Nhịp Đẹp</t>
        </is>
      </c>
      <c r="J15" s="3" t="n">
        <v>36</v>
      </c>
    </row>
    <row r="16">
      <c r="A16" s="2" t="inlineStr">
        <is>
          <t>Top 15</t>
        </is>
      </c>
      <c r="B16" s="2" t="inlineStr">
        <is>
          <t>61</t>
        </is>
      </c>
      <c r="C16" s="3" t="inlineStr">
        <is>
          <t>Tổng 7</t>
        </is>
      </c>
      <c r="D16" s="3" t="inlineStr">
        <is>
          <t>CÓ</t>
        </is>
      </c>
      <c r="E16" s="3" t="n">
        <v>1</v>
      </c>
      <c r="F16" s="3" t="n">
        <v>1</v>
      </c>
      <c r="G16" s="3" t="n">
        <v>1</v>
      </c>
      <c r="H16" s="3" t="n">
        <v>1</v>
      </c>
      <c r="I16" s="3" t="inlineStr">
        <is>
          <t>Vừa Ra</t>
        </is>
      </c>
      <c r="J16" s="3" t="n">
        <v>36</v>
      </c>
    </row>
    <row r="17">
      <c r="A17" s="2" t="inlineStr">
        <is>
          <t>Top 16</t>
        </is>
      </c>
      <c r="B17" s="2" t="inlineStr">
        <is>
          <t>34</t>
        </is>
      </c>
      <c r="C17" s="3" t="inlineStr">
        <is>
          <t>Tổng 7</t>
        </is>
      </c>
      <c r="D17" s="3" t="inlineStr">
        <is>
          <t>CÓ</t>
        </is>
      </c>
      <c r="E17" s="3" t="n">
        <v>1</v>
      </c>
      <c r="F17" s="3" t="n">
        <v>1</v>
      </c>
      <c r="G17" s="3" t="n">
        <v>1</v>
      </c>
      <c r="H17" s="3" t="n">
        <v>28</v>
      </c>
      <c r="I17" s="3" t="inlineStr">
        <is>
          <t>Gan Dài</t>
        </is>
      </c>
      <c r="J17" s="3" t="n">
        <v>31</v>
      </c>
    </row>
    <row r="18">
      <c r="A18" s="2" t="inlineStr">
        <is>
          <t>Top 17</t>
        </is>
      </c>
      <c r="B18" s="2" t="inlineStr">
        <is>
          <t>45</t>
        </is>
      </c>
      <c r="C18" s="3" t="inlineStr">
        <is>
          <t>Tổng 9</t>
        </is>
      </c>
      <c r="D18" s="3" t="inlineStr">
        <is>
          <t>KHÔNG</t>
        </is>
      </c>
      <c r="E18" s="3" t="n">
        <v>1</v>
      </c>
      <c r="F18" s="3" t="n">
        <v>1</v>
      </c>
      <c r="G18" s="3" t="n">
        <v>1</v>
      </c>
      <c r="H18" s="3" t="n">
        <v>0</v>
      </c>
      <c r="I18" s="3" t="inlineStr">
        <is>
          <t>Vừa Ra</t>
        </is>
      </c>
      <c r="J18" s="3" t="n">
        <v>31</v>
      </c>
    </row>
    <row r="19">
      <c r="A19" s="2" t="inlineStr">
        <is>
          <t>Top 18</t>
        </is>
      </c>
      <c r="B19" s="2" t="inlineStr">
        <is>
          <t>83</t>
        </is>
      </c>
      <c r="C19" s="3" t="inlineStr">
        <is>
          <t>Tổng 1</t>
        </is>
      </c>
      <c r="D19" s="3" t="inlineStr">
        <is>
          <t>CÓ</t>
        </is>
      </c>
      <c r="E19" s="3" t="n">
        <v>2</v>
      </c>
      <c r="F19" s="3" t="n">
        <v>2</v>
      </c>
      <c r="G19" s="3" t="n">
        <v>5</v>
      </c>
      <c r="H19" s="3" t="n">
        <v>9</v>
      </c>
      <c r="I19" s="3" t="inlineStr">
        <is>
          <t>Nhịp Đẹp</t>
        </is>
      </c>
      <c r="J19" s="3" t="n">
        <v>30</v>
      </c>
    </row>
    <row r="20">
      <c r="A20" s="2" t="inlineStr">
        <is>
          <t>Top 19</t>
        </is>
      </c>
      <c r="B20" s="2" t="inlineStr">
        <is>
          <t>16</t>
        </is>
      </c>
      <c r="C20" s="3" t="inlineStr">
        <is>
          <t>Tổng 7</t>
        </is>
      </c>
      <c r="D20" s="3" t="inlineStr">
        <is>
          <t>CÓ</t>
        </is>
      </c>
      <c r="E20" s="3" t="n">
        <v>0</v>
      </c>
      <c r="F20" s="3" t="n">
        <v>1</v>
      </c>
      <c r="G20" s="3" t="n">
        <v>2</v>
      </c>
      <c r="H20" s="3" t="n">
        <v>32</v>
      </c>
      <c r="I20" s="3" t="inlineStr">
        <is>
          <t>Gan Dài</t>
        </is>
      </c>
      <c r="J20" s="3" t="n">
        <v>29</v>
      </c>
    </row>
    <row r="21">
      <c r="A21" s="2" t="inlineStr">
        <is>
          <t>Top 20</t>
        </is>
      </c>
      <c r="B21" s="2" t="inlineStr">
        <is>
          <t>54</t>
        </is>
      </c>
      <c r="C21" s="3" t="inlineStr">
        <is>
          <t>Tổng 9</t>
        </is>
      </c>
      <c r="D21" s="3" t="inlineStr">
        <is>
          <t>KHÔNG</t>
        </is>
      </c>
      <c r="E21" s="3" t="n">
        <v>0</v>
      </c>
      <c r="F21" s="3" t="n">
        <v>3</v>
      </c>
      <c r="G21" s="3" t="n">
        <v>3</v>
      </c>
      <c r="H21" s="3" t="n">
        <v>35</v>
      </c>
      <c r="I21" s="3" t="inlineStr">
        <is>
          <t>Gan Dài</t>
        </is>
      </c>
      <c r="J21" s="3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9" customWidth="1" min="5" max="5"/>
    <col width="18" customWidth="1" min="6" max="6"/>
    <col width="13" customWidth="1" min="7" max="7"/>
    <col width="19" customWidth="1" min="8" max="8"/>
    <col width="18" customWidth="1" min="9" max="9"/>
    <col width="13" customWidth="1" min="10" max="10"/>
    <col width="19" customWidth="1" min="11" max="11"/>
    <col width="18" customWidth="1" min="12" max="12"/>
    <col width="13" customWidth="1" min="13" max="13"/>
    <col width="19" customWidth="1" min="14" max="14"/>
    <col width="28" customWidth="1" min="15" max="15"/>
    <col width="54" customWidth="1" min="16" max="16"/>
    <col width="44" customWidth="1" min="17" max="17"/>
    <col width="30" customWidth="1" min="18" max="18"/>
  </cols>
  <sheetData>
    <row r="1">
      <c r="A1" s="1" t="inlineStr">
        <is>
          <t>Thứ Trong Tuần</t>
        </is>
      </c>
      <c r="B1" s="1" t="inlineStr">
        <is>
          <t>Số Ngày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Ưu Tiên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2 (6.1%)</t>
        </is>
      </c>
      <c r="D2" s="3" t="inlineStr">
        <is>
          <t>4 (12.1%)</t>
        </is>
      </c>
      <c r="E2" s="3" t="inlineStr">
        <is>
          <t>6 (18.2%)</t>
        </is>
      </c>
      <c r="F2" s="3" t="inlineStr">
        <is>
          <t>1 (3.0%)</t>
        </is>
      </c>
      <c r="G2" s="3" t="inlineStr">
        <is>
          <t>4 (12.1%)</t>
        </is>
      </c>
      <c r="H2" s="3" t="inlineStr">
        <is>
          <t>5 (15.2%)</t>
        </is>
      </c>
      <c r="I2" s="3" t="inlineStr">
        <is>
          <t>6 (18.2%)</t>
        </is>
      </c>
      <c r="J2" s="3" t="inlineStr">
        <is>
          <t>2 (6.1%)</t>
        </is>
      </c>
      <c r="K2" s="3" t="inlineStr">
        <is>
          <t>8 (24.2%)</t>
        </is>
      </c>
      <c r="L2" s="3" t="inlineStr">
        <is>
          <t>2 (6.1%)</t>
        </is>
      </c>
      <c r="M2" s="3" t="inlineStr">
        <is>
          <t>3 (9.1%)</t>
        </is>
      </c>
      <c r="N2" s="3" t="inlineStr">
        <is>
          <t>5 (15.2%)</t>
        </is>
      </c>
      <c r="O2" s="3" t="inlineStr">
        <is>
          <t>26 (78.8%)</t>
        </is>
      </c>
      <c r="P2" s="3" t="inlineStr">
        <is>
          <t>15 (45.5%)</t>
        </is>
      </c>
      <c r="Q2" s="3" t="inlineStr">
        <is>
          <t>TB ~48 con</t>
        </is>
      </c>
      <c r="R2" s="3" t="inlineStr">
        <is>
          <t>Tối Ưu Theo Thứ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0 (0.0%)</t>
        </is>
      </c>
      <c r="D3" s="3" t="inlineStr">
        <is>
          <t>3 (9.1%)</t>
        </is>
      </c>
      <c r="E3" s="3" t="inlineStr">
        <is>
          <t>3 (9.1%)</t>
        </is>
      </c>
      <c r="F3" s="3" t="inlineStr">
        <is>
          <t>2 (6.1%)</t>
        </is>
      </c>
      <c r="G3" s="3" t="inlineStr">
        <is>
          <t>5 (15.2%)</t>
        </is>
      </c>
      <c r="H3" s="3" t="inlineStr">
        <is>
          <t>7 (21.2%)</t>
        </is>
      </c>
      <c r="I3" s="3" t="inlineStr">
        <is>
          <t>1 (3.0%)</t>
        </is>
      </c>
      <c r="J3" s="3" t="inlineStr">
        <is>
          <t>4 (12.1%)</t>
        </is>
      </c>
      <c r="K3" s="3" t="inlineStr">
        <is>
          <t>5 (15.2%)</t>
        </is>
      </c>
      <c r="L3" s="3" t="inlineStr">
        <is>
          <t>2 (6.1%)</t>
        </is>
      </c>
      <c r="M3" s="3" t="inlineStr">
        <is>
          <t>3 (9.1%)</t>
        </is>
      </c>
      <c r="N3" s="3" t="inlineStr">
        <is>
          <t>5 (15.2%)</t>
        </is>
      </c>
      <c r="O3" s="3" t="inlineStr">
        <is>
          <t>26 (78.8%)</t>
        </is>
      </c>
      <c r="P3" s="3" t="inlineStr">
        <is>
          <t>13 (39.4%)</t>
        </is>
      </c>
      <c r="Q3" s="3" t="inlineStr">
        <is>
          <t>TB ~48 con</t>
        </is>
      </c>
      <c r="R3" s="3" t="inlineStr">
        <is>
          <t>Tối Ưu Theo Thứ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3 (9.1%)</t>
        </is>
      </c>
      <c r="D4" s="3" t="inlineStr">
        <is>
          <t>6 (18.2%)</t>
        </is>
      </c>
      <c r="E4" s="3" t="inlineStr">
        <is>
          <t>9 (27.3%)</t>
        </is>
      </c>
      <c r="F4" s="3" t="inlineStr">
        <is>
          <t>2 (6.1%)</t>
        </is>
      </c>
      <c r="G4" s="3" t="inlineStr">
        <is>
          <t>3 (9.1%)</t>
        </is>
      </c>
      <c r="H4" s="3" t="inlineStr">
        <is>
          <t>5 (15.2%)</t>
        </is>
      </c>
      <c r="I4" s="3" t="inlineStr">
        <is>
          <t>1 (3.0%)</t>
        </is>
      </c>
      <c r="J4" s="3" t="inlineStr">
        <is>
          <t>3 (9.1%)</t>
        </is>
      </c>
      <c r="K4" s="3" t="inlineStr">
        <is>
          <t>4 (12.1%)</t>
        </is>
      </c>
      <c r="L4" s="3" t="inlineStr">
        <is>
          <t>0 (0.0%)</t>
        </is>
      </c>
      <c r="M4" s="3" t="inlineStr">
        <is>
          <t>1 (3.0%)</t>
        </is>
      </c>
      <c r="N4" s="3" t="inlineStr">
        <is>
          <t>1 (3.0%)</t>
        </is>
      </c>
      <c r="O4" s="3" t="inlineStr">
        <is>
          <t>32 (97.0%)</t>
        </is>
      </c>
      <c r="P4" s="3" t="inlineStr">
        <is>
          <t>13 (39.4%)</t>
        </is>
      </c>
      <c r="Q4" s="3" t="inlineStr">
        <is>
          <t>TB ~48 con</t>
        </is>
      </c>
      <c r="R4" s="3" t="inlineStr">
        <is>
          <t>Tối Ưu Theo Thứ</t>
        </is>
      </c>
    </row>
    <row r="5">
      <c r="A5" s="2" t="inlineStr">
        <is>
          <t>Thứ Năm</t>
        </is>
      </c>
      <c r="B5" s="2" t="inlineStr">
        <is>
          <t>33 ngày</t>
        </is>
      </c>
      <c r="C5" s="3" t="inlineStr">
        <is>
          <t>3 (9.1%)</t>
        </is>
      </c>
      <c r="D5" s="3" t="inlineStr">
        <is>
          <t>8 (24.2%)</t>
        </is>
      </c>
      <c r="E5" s="3" t="inlineStr">
        <is>
          <t>11 (33.3%)</t>
        </is>
      </c>
      <c r="F5" s="3" t="inlineStr">
        <is>
          <t>2 (6.1%)</t>
        </is>
      </c>
      <c r="G5" s="3" t="inlineStr">
        <is>
          <t>1 (3.0%)</t>
        </is>
      </c>
      <c r="H5" s="3" t="inlineStr">
        <is>
          <t>3 (9.1%)</t>
        </is>
      </c>
      <c r="I5" s="3" t="inlineStr">
        <is>
          <t>3 (9.1%)</t>
        </is>
      </c>
      <c r="J5" s="3" t="inlineStr">
        <is>
          <t>9 (27.3%)</t>
        </is>
      </c>
      <c r="K5" s="3" t="inlineStr">
        <is>
          <t>12 (36.4%)</t>
        </is>
      </c>
      <c r="L5" s="3" t="inlineStr">
        <is>
          <t>2 (6.1%)</t>
        </is>
      </c>
      <c r="M5" s="3" t="inlineStr">
        <is>
          <t>2 (6.1%)</t>
        </is>
      </c>
      <c r="N5" s="3" t="inlineStr">
        <is>
          <t>4 (12.1%)</t>
        </is>
      </c>
      <c r="O5" s="3" t="inlineStr">
        <is>
          <t>27 (81.8%)</t>
        </is>
      </c>
      <c r="P5" s="3" t="inlineStr">
        <is>
          <t>19 (57.6%)</t>
        </is>
      </c>
      <c r="Q5" s="3" t="inlineStr">
        <is>
          <t>TB ~48 con</t>
        </is>
      </c>
      <c r="R5" s="3" t="inlineStr">
        <is>
          <t>Tối Ưu Theo Thứ</t>
        </is>
      </c>
    </row>
    <row r="6">
      <c r="A6" s="2" t="inlineStr">
        <is>
          <t>Thứ Sáu</t>
        </is>
      </c>
      <c r="B6" s="2" t="inlineStr">
        <is>
          <t>34 ngày</t>
        </is>
      </c>
      <c r="C6" s="3" t="inlineStr">
        <is>
          <t>1 (2.9%)</t>
        </is>
      </c>
      <c r="D6" s="3" t="inlineStr">
        <is>
          <t>0 (0.0%)</t>
        </is>
      </c>
      <c r="E6" s="3" t="inlineStr">
        <is>
          <t>1 (2.9%)</t>
        </is>
      </c>
      <c r="F6" s="3" t="inlineStr">
        <is>
          <t>3 (8.8%)</t>
        </is>
      </c>
      <c r="G6" s="3" t="inlineStr">
        <is>
          <t>3 (8.8%)</t>
        </is>
      </c>
      <c r="H6" s="3" t="inlineStr">
        <is>
          <t>6 (17.6%)</t>
        </is>
      </c>
      <c r="I6" s="3" t="inlineStr">
        <is>
          <t>3 (8.8%)</t>
        </is>
      </c>
      <c r="J6" s="3" t="inlineStr">
        <is>
          <t>6 (17.6%)</t>
        </is>
      </c>
      <c r="K6" s="3" t="inlineStr">
        <is>
          <t>9 (26.5%)</t>
        </is>
      </c>
      <c r="L6" s="3" t="inlineStr">
        <is>
          <t>1 (2.9%)</t>
        </is>
      </c>
      <c r="M6" s="3" t="inlineStr">
        <is>
          <t>6 (17.6%)</t>
        </is>
      </c>
      <c r="N6" s="3" t="inlineStr">
        <is>
          <t>7 (20.6%)</t>
        </is>
      </c>
      <c r="O6" s="3" t="inlineStr">
        <is>
          <t>29 (85.3%)</t>
        </is>
      </c>
      <c r="P6" s="3" t="inlineStr">
        <is>
          <t>13 (38.2%)</t>
        </is>
      </c>
      <c r="Q6" s="3" t="inlineStr">
        <is>
          <t>TB ~48 con</t>
        </is>
      </c>
      <c r="R6" s="3" t="inlineStr">
        <is>
          <t>Tối Ưu Theo Thứ</t>
        </is>
      </c>
    </row>
    <row r="7">
      <c r="A7" s="2" t="inlineStr">
        <is>
          <t>Thứ Bảy</t>
        </is>
      </c>
      <c r="B7" s="2" t="inlineStr">
        <is>
          <t>34 ngày</t>
        </is>
      </c>
      <c r="C7" s="3" t="inlineStr">
        <is>
          <t>5 (14.7%)</t>
        </is>
      </c>
      <c r="D7" s="3" t="inlineStr">
        <is>
          <t>1 (2.9%)</t>
        </is>
      </c>
      <c r="E7" s="3" t="inlineStr">
        <is>
          <t>6 (17.6%)</t>
        </is>
      </c>
      <c r="F7" s="3" t="inlineStr">
        <is>
          <t>2 (5.9%)</t>
        </is>
      </c>
      <c r="G7" s="3" t="inlineStr">
        <is>
          <t>6 (17.6%)</t>
        </is>
      </c>
      <c r="H7" s="3" t="inlineStr">
        <is>
          <t>8 (23.5%)</t>
        </is>
      </c>
      <c r="I7" s="3" t="inlineStr">
        <is>
          <t>1 (2.9%)</t>
        </is>
      </c>
      <c r="J7" s="3" t="inlineStr">
        <is>
          <t>5 (14.7%)</t>
        </is>
      </c>
      <c r="K7" s="3" t="inlineStr">
        <is>
          <t>6 (17.6%)</t>
        </is>
      </c>
      <c r="L7" s="3" t="inlineStr">
        <is>
          <t>2 (5.9%)</t>
        </is>
      </c>
      <c r="M7" s="3" t="inlineStr">
        <is>
          <t>5 (14.7%)</t>
        </is>
      </c>
      <c r="N7" s="3" t="inlineStr">
        <is>
          <t>7 (20.6%)</t>
        </is>
      </c>
      <c r="O7" s="3" t="inlineStr">
        <is>
          <t>29 (85.3%)</t>
        </is>
      </c>
      <c r="P7" s="3" t="inlineStr">
        <is>
          <t>15 (44.1%)</t>
        </is>
      </c>
      <c r="Q7" s="3" t="inlineStr">
        <is>
          <t>TB ~48 con</t>
        </is>
      </c>
      <c r="R7" s="3" t="inlineStr">
        <is>
          <t>Tối Ưu Theo Thứ</t>
        </is>
      </c>
    </row>
    <row r="8">
      <c r="A8" s="2" t="inlineStr">
        <is>
          <t>Chủ Nhật</t>
        </is>
      </c>
      <c r="B8" s="2" t="inlineStr">
        <is>
          <t>34 ngày</t>
        </is>
      </c>
      <c r="C8" s="3" t="inlineStr">
        <is>
          <t>2 (5.9%)</t>
        </is>
      </c>
      <c r="D8" s="3" t="inlineStr">
        <is>
          <t>1 (2.9%)</t>
        </is>
      </c>
      <c r="E8" s="3" t="inlineStr">
        <is>
          <t>3 (8.8%)</t>
        </is>
      </c>
      <c r="F8" s="3" t="inlineStr">
        <is>
          <t>3 (8.8%)</t>
        </is>
      </c>
      <c r="G8" s="3" t="inlineStr">
        <is>
          <t>4 (11.8%)</t>
        </is>
      </c>
      <c r="H8" s="3" t="inlineStr">
        <is>
          <t>7 (20.6%)</t>
        </is>
      </c>
      <c r="I8" s="3" t="inlineStr">
        <is>
          <t>3 (8.8%)</t>
        </is>
      </c>
      <c r="J8" s="3" t="inlineStr">
        <is>
          <t>2 (5.9%)</t>
        </is>
      </c>
      <c r="K8" s="3" t="inlineStr">
        <is>
          <t>5 (14.7%)</t>
        </is>
      </c>
      <c r="L8" s="3" t="inlineStr">
        <is>
          <t>4 (11.8%)</t>
        </is>
      </c>
      <c r="M8" s="3" t="inlineStr">
        <is>
          <t>3 (8.8%)</t>
        </is>
      </c>
      <c r="N8" s="3" t="inlineStr">
        <is>
          <t>7 (20.6%)</t>
        </is>
      </c>
      <c r="O8" s="3" t="inlineStr">
        <is>
          <t>29 (85.3%)</t>
        </is>
      </c>
      <c r="P8" s="3" t="inlineStr">
        <is>
          <t>14 (41.2%)</t>
        </is>
      </c>
      <c r="Q8" s="3" t="inlineStr">
        <is>
          <t>TB ~48 con</t>
        </is>
      </c>
      <c r="R8" s="3" t="inlineStr">
        <is>
          <t>Tối Ưu Theo Thứ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Hạng Mục Dự Đoán</t>
        </is>
      </c>
      <c r="B2" s="2" t="inlineStr">
        <is>
          <t>Chi Tiết Kế Thừa &amp; Dự Đoán Theo Thứ</t>
        </is>
      </c>
    </row>
    <row r="3">
      <c r="A3" s="2" t="inlineStr">
        <is>
          <t>Ngày Dự Đoán Tiếp Theo</t>
        </is>
      </c>
      <c r="B3" s="2" t="inlineStr">
        <is>
          <t>Thứ Sáu (Kế thừa phong độ Thứ Sáu năm 2026)</t>
        </is>
      </c>
    </row>
    <row r="4">
      <c r="A4" s="2" t="inlineStr">
        <is>
          <t>Top 2 Vị Trí G7 Ưu Tiên</t>
        </is>
      </c>
      <c r="B4" s="2" t="inlineStr">
        <is>
          <t>G7.1, G7.4</t>
        </is>
      </c>
    </row>
    <row r="5">
      <c r="A5" s="2" t="inlineStr">
        <is>
          <t>Các Tổng &amp; Bóng Ưu Tiên Nổ</t>
        </is>
      </c>
      <c r="B5" s="2" t="inlineStr">
        <is>
          <t>Tổng 1, Tổng 3, Tổng 6, Tổng 8</t>
        </is>
      </c>
    </row>
    <row r="6">
      <c r="A6" s="2" t="inlineStr">
        <is>
          <t>Tập Chạm Ngày Ưu Tiên</t>
        </is>
      </c>
      <c r="B6" s="2" t="inlineStr">
        <is>
          <t>01235678</t>
        </is>
      </c>
    </row>
    <row r="7">
      <c r="A7" s="2" t="inlineStr">
        <is>
          <t>Cầu Ghép Góc (G7.1[0] + G7.4[1])</t>
        </is>
      </c>
      <c r="B7" s="2" t="inlineStr">
        <is>
          <t>Tổng 1 - Bóng 6</t>
        </is>
      </c>
    </row>
    <row r="8">
      <c r="A8" s="2" t="inlineStr">
        <is>
          <t>Dàn Giao Thoa Dự Đoán (~47 con)</t>
        </is>
      </c>
      <c r="B8" s="2" t="inlineStr">
        <is>
          <t>01, 03, 06, 08, 10, 12, 15, 17, 21, 24, 26, 29, 30, 33, 35, 38, 42, 47, 51, 53, 56, 58, 60, 62, 65, 67, 71, 74, 76, 79, 80, 83, 85, 88, 92, 97</t>
        </is>
      </c>
    </row>
    <row r="9">
      <c r="A9" s="2" t="inlineStr">
        <is>
          <t>Dàn Hạ Số Hỏa Lực Top 20</t>
        </is>
      </c>
      <c r="B9" s="2" t="inlineStr">
        <is>
          <t>38, 83, 17, 33, 80, 79, 26, 21, 47, 67, 60, 10, 42, 65, 97, 01, 71, 85, 53, 51</t>
        </is>
      </c>
    </row>
    <row r="10">
      <c r="A10" s="4" t="inlineStr">
        <is>
          <t>--- XU HƯỚNG VỊ TRÍ G7 THEO TỪNG THỨ (2026) ---</t>
        </is>
      </c>
      <c r="B10" s="4" t="inlineStr"/>
    </row>
    <row r="11">
      <c r="A11" s="2" t="inlineStr">
        <is>
          <t>Phong Độ Thứ Hai</t>
        </is>
      </c>
      <c r="B11" s="2" t="inlineStr">
        <is>
          <t>Top 1 Vị Trí G7.3 (Trúng 8/33 ngày - 24.2%)</t>
        </is>
      </c>
    </row>
    <row r="12">
      <c r="A12" s="2" t="inlineStr">
        <is>
          <t>Phong Độ Thứ Ba</t>
        </is>
      </c>
      <c r="B12" s="2" t="inlineStr">
        <is>
          <t>Top 1 Vị Trí G7.2 (Trúng 7/33 ngày - 21.2%)</t>
        </is>
      </c>
    </row>
    <row r="13">
      <c r="A13" s="2" t="inlineStr">
        <is>
          <t>Phong Độ Thứ Tư</t>
        </is>
      </c>
      <c r="B13" s="2" t="inlineStr">
        <is>
          <t>Top 1 Vị Trí G7.1 (Trúng 9/33 ngày - 27.3%)</t>
        </is>
      </c>
    </row>
    <row r="14">
      <c r="A14" s="2" t="inlineStr">
        <is>
          <t>Phong Độ Thứ Năm</t>
        </is>
      </c>
      <c r="B14" s="2" t="inlineStr">
        <is>
          <t>Top 1 Vị Trí G7.3 (Trúng 12/33 ngày - 36.4%)</t>
        </is>
      </c>
    </row>
    <row r="15">
      <c r="A15" s="2" t="inlineStr">
        <is>
          <t>Phong Độ Thứ Sáu</t>
        </is>
      </c>
      <c r="B15" s="2" t="inlineStr">
        <is>
          <t>Top 1 Vị Trí G7.3 (Trúng 9/34 ngày - 26.5%)</t>
        </is>
      </c>
    </row>
    <row r="16">
      <c r="A16" s="2" t="inlineStr">
        <is>
          <t>Phong Độ Thứ Bảy</t>
        </is>
      </c>
      <c r="B16" s="2" t="inlineStr">
        <is>
          <t>Top 1 Vị Trí G7.2 (Trúng 8/34 ngày - 23.5%)</t>
        </is>
      </c>
    </row>
    <row r="17">
      <c r="A17" s="2" t="inlineStr">
        <is>
          <t>Phong Độ Chủ Nhật</t>
        </is>
      </c>
      <c r="B17" s="2" t="inlineStr">
        <is>
          <t>Top 1 Vị Trí G7.2 (Trúng 7/34 ngày - 20.6%)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33 ngày</t>
        </is>
      </c>
      <c r="C2" s="3" t="inlineStr">
        <is>
          <t>6 lần (18.2%)</t>
        </is>
      </c>
      <c r="D2" s="3" t="inlineStr">
        <is>
          <t>5 lần (15.2%)</t>
        </is>
      </c>
      <c r="E2" s="3" t="inlineStr">
        <is>
          <t>8 lần (24.2%)</t>
        </is>
      </c>
      <c r="F2" s="3" t="inlineStr">
        <is>
          <t>5 lần (15.2%)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33 ngày</t>
        </is>
      </c>
      <c r="C3" s="3" t="inlineStr">
        <is>
          <t>3 lần (9.1%)</t>
        </is>
      </c>
      <c r="D3" s="3" t="inlineStr">
        <is>
          <t>7 lần (21.2%)</t>
        </is>
      </c>
      <c r="E3" s="3" t="inlineStr">
        <is>
          <t>5 lần (15.2%)</t>
        </is>
      </c>
      <c r="F3" s="3" t="inlineStr">
        <is>
          <t>5 lần (15.2%)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33 ngày</t>
        </is>
      </c>
      <c r="C4" s="3" t="inlineStr">
        <is>
          <t>9 lần (27.3%)</t>
        </is>
      </c>
      <c r="D4" s="3" t="inlineStr">
        <is>
          <t>5 lần (15.2%)</t>
        </is>
      </c>
      <c r="E4" s="3" t="inlineStr">
        <is>
          <t>4 lần (12.1%)</t>
        </is>
      </c>
      <c r="F4" s="3" t="inlineStr">
        <is>
          <t>1 lần (3.0%)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33 ngày</t>
        </is>
      </c>
      <c r="C5" s="3" t="inlineStr">
        <is>
          <t>11 lần (33.3%)</t>
        </is>
      </c>
      <c r="D5" s="3" t="inlineStr">
        <is>
          <t>3 lần (9.1%)</t>
        </is>
      </c>
      <c r="E5" s="3" t="inlineStr">
        <is>
          <t>12 lần (36.4%)</t>
        </is>
      </c>
      <c r="F5" s="3" t="inlineStr">
        <is>
          <t>4 lần (12.1%)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34 ngày</t>
        </is>
      </c>
      <c r="C6" s="3" t="inlineStr">
        <is>
          <t>1 lần (2.9%)</t>
        </is>
      </c>
      <c r="D6" s="3" t="inlineStr">
        <is>
          <t>6 lần (17.6%)</t>
        </is>
      </c>
      <c r="E6" s="3" t="inlineStr">
        <is>
          <t>9 lần (26.5%)</t>
        </is>
      </c>
      <c r="F6" s="3" t="inlineStr">
        <is>
          <t>7 lần (20.6%)</t>
        </is>
      </c>
      <c r="G6" s="3" t="inlineStr">
        <is>
          <t>Top 1: G7.3 | Top 2: G7.4</t>
        </is>
      </c>
      <c r="H6" s="3" t="inlineStr">
        <is>
          <t>Ưu tiên ép Tổng G7.3 &amp; G7.4</t>
        </is>
      </c>
    </row>
    <row r="7">
      <c r="A7" s="2" t="inlineStr">
        <is>
          <t>Thứ Bảy</t>
        </is>
      </c>
      <c r="B7" s="2" t="inlineStr">
        <is>
          <t>34 ngày</t>
        </is>
      </c>
      <c r="C7" s="3" t="inlineStr">
        <is>
          <t>6 lần (17.6%)</t>
        </is>
      </c>
      <c r="D7" s="3" t="inlineStr">
        <is>
          <t>8 lần (23.5%)</t>
        </is>
      </c>
      <c r="E7" s="3" t="inlineStr">
        <is>
          <t>6 lần (17.6%)</t>
        </is>
      </c>
      <c r="F7" s="3" t="inlineStr">
        <is>
          <t>7 lần (20.6%)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34 ngày</t>
        </is>
      </c>
      <c r="C8" s="3" t="inlineStr">
        <is>
          <t>3 lần (8.8%)</t>
        </is>
      </c>
      <c r="D8" s="3" t="inlineStr">
        <is>
          <t>7 lần (20.6%)</t>
        </is>
      </c>
      <c r="E8" s="3" t="inlineStr">
        <is>
          <t>5 lần (14.7%)</t>
        </is>
      </c>
      <c r="F8" s="3" t="inlineStr">
        <is>
          <t>7 lần (20.6%)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7" customWidth="1" min="4" max="4"/>
    <col width="12" customWidth="1" min="5" max="5"/>
    <col width="21" customWidth="1" min="6" max="6"/>
    <col width="50" customWidth="1" min="7" max="7"/>
    <col width="17" customWidth="1" min="8" max="8"/>
    <col width="17" customWidth="1" min="9" max="9"/>
    <col width="15" customWidth="1" min="10" max="10"/>
    <col width="30" customWidth="1" min="11" max="11"/>
    <col width="65" customWidth="1" min="12" max="12"/>
    <col width="34" customWidth="1" min="13" max="13"/>
    <col width="36" customWidth="1" min="14" max="14"/>
    <col width="65" customWidth="1" min="15" max="15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Thứ</t>
        </is>
      </c>
      <c r="D1" s="1" t="inlineStr">
        <is>
          <t>Giải Đặc Biệt</t>
        </is>
      </c>
      <c r="E1" s="1" t="inlineStr">
        <is>
          <t>Số Đề</t>
        </is>
      </c>
      <c r="F1" s="1" t="inlineStr">
        <is>
          <t>Top 2 G7 Theo Thứ</t>
        </is>
      </c>
      <c r="G1" s="1" t="inlineStr">
        <is>
          <t>Tổng &amp; Bóng Dự Đoán</t>
        </is>
      </c>
      <c r="H1" s="1" t="inlineStr">
        <is>
          <t>Tập Chạm Ngày</t>
        </is>
      </c>
      <c r="I1" s="1" t="inlineStr">
        <is>
          <t>Cầu Ghép Góc</t>
        </is>
      </c>
      <c r="J1" s="1" t="inlineStr">
        <is>
          <t>Số Con Dàn</t>
        </is>
      </c>
      <c r="K1" s="1" t="inlineStr">
        <is>
          <t>Kết Quả Trúng 1 Ngày (K1)</t>
        </is>
      </c>
      <c r="L1" s="1" t="inlineStr">
        <is>
          <t>Dàn Hạ Số Hỏa Lực</t>
        </is>
      </c>
      <c r="M1" s="1" t="inlineStr">
        <is>
          <t>Kết Quả Dàn Hạ Số</t>
        </is>
      </c>
      <c r="N1" s="1" t="inlineStr">
        <is>
          <t>Kết Quả Nuôi Khung 3 Ngày</t>
        </is>
      </c>
      <c r="O1" s="1" t="inlineStr">
        <is>
          <t>Danh Sách Dàn Giao Thoa</t>
        </is>
      </c>
    </row>
    <row r="2">
      <c r="A2" s="4" t="inlineStr">
        <is>
          <t>TỔNG CỘNG 2026</t>
        </is>
      </c>
      <c r="B2" s="4" t="inlineStr">
        <is>
          <t>Tổng: 234 Ngày</t>
        </is>
      </c>
      <c r="C2" s="5" t="inlineStr">
        <is>
          <t>---</t>
        </is>
      </c>
      <c r="D2" s="5" t="inlineStr">
        <is>
          <t>TỔNG QUAN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---</t>
        </is>
      </c>
      <c r="H2" s="5" t="inlineStr">
        <is>
          <t>---</t>
        </is>
      </c>
      <c r="I2" s="5" t="inlineStr">
        <is>
          <t>---</t>
        </is>
      </c>
      <c r="J2" s="5" t="inlineStr">
        <is>
          <t>TB 47.6 con</t>
        </is>
      </c>
      <c r="K2" s="5" t="inlineStr">
        <is>
          <t>Trúng 1N: 102/234 (43.59%)</t>
        </is>
      </c>
      <c r="L2" s="5" t="inlineStr">
        <is>
          <t>TB 19.9 con</t>
        </is>
      </c>
      <c r="M2" s="5" t="inlineStr">
        <is>
          <t>Trúng Hỏa Lực: 30/234 (12.82%)</t>
        </is>
      </c>
      <c r="N2" s="5" t="inlineStr">
        <is>
          <t>Trúng Khung 3N: 202/232 (87.07%)</t>
        </is>
      </c>
      <c r="O2" s="5" t="inlineStr">
        <is>
          <t>Mô Hình Giao Thoa G7 Theo Thứ</t>
        </is>
      </c>
    </row>
    <row r="3">
      <c r="A3" s="2" t="n">
        <v>234</v>
      </c>
      <c r="B3" s="2" t="inlineStr">
        <is>
          <t>Thứ năm ngày 27-08-2026</t>
        </is>
      </c>
      <c r="C3" s="3" t="inlineStr">
        <is>
          <t>Thứ Tư</t>
        </is>
      </c>
      <c r="D3" s="3" t="inlineStr">
        <is>
          <t>82645</t>
        </is>
      </c>
      <c r="E3" s="3" t="inlineStr">
        <is>
          <t>45</t>
        </is>
      </c>
      <c r="F3" s="3" t="inlineStr">
        <is>
          <t>G7.2, G7.4</t>
        </is>
      </c>
      <c r="G3" s="3" t="inlineStr">
        <is>
          <t>Tổng 0, Tổng 1, Tổng 4, Tổng 5, Tổng 6, Tổng 9</t>
        </is>
      </c>
      <c r="H3" s="3" t="inlineStr">
        <is>
          <t>12346789</t>
        </is>
      </c>
      <c r="I3" s="3" t="inlineStr">
        <is>
          <t>Tổng 1-Bóng 6</t>
        </is>
      </c>
      <c r="J3" s="3" t="n">
        <v>56</v>
      </c>
      <c r="K3" s="6" t="inlineStr">
        <is>
          <t>TRÚNG N1 🎯</t>
        </is>
      </c>
      <c r="L3" s="3" t="inlineStr">
        <is>
          <t>09, 10, 13, 18, 22, 23, 28, 33, 38, 42, 47, 54, 60, 65, 68, 78, 79, 83, 91, 96</t>
        </is>
      </c>
      <c r="M3" s="7" t="inlineStr">
        <is>
          <t>TRƯỢT ❌</t>
        </is>
      </c>
      <c r="N3" s="7" t="inlineStr">
        <is>
          <t>TRƯỢT KHUNG ❌</t>
        </is>
      </c>
      <c r="O3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4">
      <c r="A4" s="2" t="n">
        <v>233</v>
      </c>
      <c r="B4" s="2" t="inlineStr">
        <is>
          <t>Thứ tư ngày 26-08-2026</t>
        </is>
      </c>
      <c r="C4" s="3" t="inlineStr">
        <is>
          <t>Thứ Ba</t>
        </is>
      </c>
      <c r="D4" s="3" t="inlineStr">
        <is>
          <t>85361</t>
        </is>
      </c>
      <c r="E4" s="3" t="inlineStr">
        <is>
          <t>61</t>
        </is>
      </c>
      <c r="F4" s="3" t="inlineStr">
        <is>
          <t>G7.3, G7.4</t>
        </is>
      </c>
      <c r="G4" s="3" t="inlineStr">
        <is>
          <t>Tổng 2, Tổng 3, Tổng 4, Tổng 7, Tổng 8, Tổng 9</t>
        </is>
      </c>
      <c r="H4" s="3" t="inlineStr">
        <is>
          <t>01345689</t>
        </is>
      </c>
      <c r="I4" s="3" t="inlineStr">
        <is>
          <t>Tổng 3-Bóng 8</t>
        </is>
      </c>
      <c r="J4" s="3" t="n">
        <v>56</v>
      </c>
      <c r="K4" s="6" t="inlineStr">
        <is>
          <t>TRÚNG N1 🎯</t>
        </is>
      </c>
      <c r="L4" s="3" t="inlineStr">
        <is>
          <t>09, 13, 16, 17, 18, 21, 25, 26, 34, 39, 43, 44, 53, 54, 57, 67, 68, 80, 89, 94</t>
        </is>
      </c>
      <c r="M4" s="7" t="inlineStr">
        <is>
          <t>TRƯỢT ❌</t>
        </is>
      </c>
      <c r="N4" s="7" t="inlineStr">
        <is>
          <t>TRƯỢT KHUNG ❌</t>
        </is>
      </c>
      <c r="O4" s="3" t="inlineStr">
        <is>
          <t>02, 03, 04, 07, 08, 09, 11, 12, 13, 16, 17, 18, 20, 21, 25, 26, 30, 31, 34, 35, 36, 39, 40, 43, 44, 45, 48, 49, 52, 53, 54, 57, 58, 59, 61, 62, 63, 66, 67, 68, 70, 71, 75, 76, 80, 81, 84, 85, 86, 89, 90, 93, 94, 95, 98, 99</t>
        </is>
      </c>
    </row>
    <row r="5">
      <c r="A5" s="2" t="n">
        <v>232</v>
      </c>
      <c r="B5" s="2" t="inlineStr">
        <is>
          <t>Thứ ba ngày 25-08-2026</t>
        </is>
      </c>
      <c r="C5" s="3" t="inlineStr">
        <is>
          <t>Thứ Hai</t>
        </is>
      </c>
      <c r="D5" s="3" t="inlineStr">
        <is>
          <t>85080</t>
        </is>
      </c>
      <c r="E5" s="3" t="inlineStr">
        <is>
          <t>80</t>
        </is>
      </c>
      <c r="F5" s="3" t="inlineStr">
        <is>
          <t>G7.2, G7.4</t>
        </is>
      </c>
      <c r="G5" s="3" t="inlineStr">
        <is>
          <t>Tổng 2, Tổng 3, Tổng 7, Tổng 8</t>
        </is>
      </c>
      <c r="H5" s="3" t="inlineStr">
        <is>
          <t>0123456789</t>
        </is>
      </c>
      <c r="I5" s="3" t="inlineStr">
        <is>
          <t>Tổng 2-Bóng 7</t>
        </is>
      </c>
      <c r="J5" s="3" t="n">
        <v>40</v>
      </c>
      <c r="K5" s="6" t="inlineStr">
        <is>
          <t>TRÚNG N1 🎯</t>
        </is>
      </c>
      <c r="L5" s="3" t="inlineStr">
        <is>
          <t>03, 16, 17, 21, 25, 26, 34, 39, 43, 44, 52, 53, 57, 67, 70, 71, 85, 89, 94, 99</t>
        </is>
      </c>
      <c r="M5" s="7" t="inlineStr">
        <is>
          <t>TRƯỢT ❌</t>
        </is>
      </c>
      <c r="N5" s="6" t="inlineStr">
        <is>
          <t>TRÚNG N1 🎯</t>
        </is>
      </c>
      <c r="O5" s="3" t="inlineStr">
        <is>
          <t>02, 03, 07, 08, 11, 12, 16, 17, 20, 21, 25, 26, 30, 34, 35, 39, 43, 44, 48, 49, 52, 53, 57, 58, 61, 62, 66, 67, 70, 71, 75, 76, 80, 84, 85, 89, 93, 94, 98, 99</t>
        </is>
      </c>
    </row>
    <row r="6">
      <c r="A6" s="2" t="n">
        <v>231</v>
      </c>
      <c r="B6" s="2" t="inlineStr">
        <is>
          <t>Thứ hai ngày 24-08-2026</t>
        </is>
      </c>
      <c r="C6" s="3" t="inlineStr">
        <is>
          <t>Chủ Nhật</t>
        </is>
      </c>
      <c r="D6" s="3" t="inlineStr">
        <is>
          <t>36917</t>
        </is>
      </c>
      <c r="E6" s="3" t="inlineStr">
        <is>
          <t>17</t>
        </is>
      </c>
      <c r="F6" s="3" t="inlineStr">
        <is>
          <t>G7.3, G7.1</t>
        </is>
      </c>
      <c r="G6" s="3" t="inlineStr">
        <is>
          <t>Tổng 0, Tổng 1, Tổng 4, Tổng 5, Tổng 6, Tổng 9</t>
        </is>
      </c>
      <c r="H6" s="3" t="inlineStr">
        <is>
          <t>12346789</t>
        </is>
      </c>
      <c r="I6" s="3" t="inlineStr">
        <is>
          <t>Tổng 5-Bóng 0</t>
        </is>
      </c>
      <c r="J6" s="3" t="n">
        <v>56</v>
      </c>
      <c r="K6" s="7" t="inlineStr">
        <is>
          <t>TRƯỢT ❌</t>
        </is>
      </c>
      <c r="L6" s="3" t="inlineStr">
        <is>
          <t>09, 10, 13, 18, 22, 23, 28, 33, 38, 42, 47, 54, 60, 65, 68, 78, 79, 83, 91, 96</t>
        </is>
      </c>
      <c r="M6" s="7" t="inlineStr">
        <is>
          <t>TRƯỢT ❌</t>
        </is>
      </c>
      <c r="N6" s="7" t="inlineStr">
        <is>
          <t>TRƯỢT KHUNG ❌</t>
        </is>
      </c>
      <c r="O6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7">
      <c r="A7" s="2" t="n">
        <v>230</v>
      </c>
      <c r="B7" s="2" t="inlineStr">
        <is>
          <t>Chủ nhật ngày 23-08-2026</t>
        </is>
      </c>
      <c r="C7" s="3" t="inlineStr">
        <is>
          <t>Thứ Bảy</t>
        </is>
      </c>
      <c r="D7" s="3" t="inlineStr">
        <is>
          <t>37938</t>
        </is>
      </c>
      <c r="E7" s="3" t="inlineStr">
        <is>
          <t>38</t>
        </is>
      </c>
      <c r="F7" s="3" t="inlineStr">
        <is>
          <t>G7.1, G7.3</t>
        </is>
      </c>
      <c r="G7" s="3" t="inlineStr">
        <is>
          <t>Tổng 1, Tổng 3, Tổng 6, Tổng 8</t>
        </is>
      </c>
      <c r="H7" s="3" t="inlineStr">
        <is>
          <t>01245679</t>
        </is>
      </c>
      <c r="I7" s="3" t="inlineStr">
        <is>
          <t>Tổng 6-Bóng 1</t>
        </is>
      </c>
      <c r="J7" s="3" t="n">
        <v>36</v>
      </c>
      <c r="K7" s="7" t="inlineStr">
        <is>
          <t>TRƯỢT ❌</t>
        </is>
      </c>
      <c r="L7" s="3" t="inlineStr">
        <is>
          <t>01, 03, 10, 21, 26, 42, 44, 47, 51, 53, 60, 65, 67, 71, 79, 80, 85, 94, 97, 99</t>
        </is>
      </c>
      <c r="M7" s="7" t="inlineStr">
        <is>
          <t>TRƯỢT ❌</t>
        </is>
      </c>
      <c r="N7" s="6" t="inlineStr">
        <is>
          <t>TRÚNG N2 🎯</t>
        </is>
      </c>
      <c r="O7" s="3" t="inlineStr">
        <is>
          <t>01, 03, 06, 08, 10, 12, 15, 17, 21, 24, 26, 29, 30, 35, 42, 44, 47, 49, 51, 53, 56, 58, 60, 62, 65, 67, 71, 74, 76, 79, 80, 85, 92, 94, 97, 99</t>
        </is>
      </c>
    </row>
    <row r="8">
      <c r="A8" s="2" t="n">
        <v>229</v>
      </c>
      <c r="B8" s="2" t="inlineStr">
        <is>
          <t>Thứ bảy ngày 22-08-2026</t>
        </is>
      </c>
      <c r="C8" s="3" t="inlineStr">
        <is>
          <t>Thứ Sáu</t>
        </is>
      </c>
      <c r="D8" s="3" t="inlineStr">
        <is>
          <t>60213</t>
        </is>
      </c>
      <c r="E8" s="3" t="inlineStr">
        <is>
          <t>13</t>
        </is>
      </c>
      <c r="F8" s="3" t="inlineStr">
        <is>
          <t>G7.1, G7.4</t>
        </is>
      </c>
      <c r="G8" s="3" t="inlineStr">
        <is>
          <t>Tổng 1, Tổng 3, Tổng 4, Tổng 6, Tổng 8, Tổng 9</t>
        </is>
      </c>
      <c r="H8" s="3" t="inlineStr">
        <is>
          <t>0123456789</t>
        </is>
      </c>
      <c r="I8" s="3" t="inlineStr">
        <is>
          <t>Tổng 6-Bóng 1</t>
        </is>
      </c>
      <c r="J8" s="3" t="n">
        <v>60</v>
      </c>
      <c r="K8" s="6" t="inlineStr">
        <is>
          <t>TRÚNG N1 🎯</t>
        </is>
      </c>
      <c r="L8" s="3" t="inlineStr">
        <is>
          <t>04, 09, 10, 18, 21, 22, 26, 33, 38, 42, 44, 47, 51, 53, 54, 60, 65, 67, 79, 83</t>
        </is>
      </c>
      <c r="M8" s="7" t="inlineStr">
        <is>
          <t>TRƯỢT ❌</t>
        </is>
      </c>
      <c r="N8" s="6" t="inlineStr">
        <is>
          <t>TRÚNG N1 🎯</t>
        </is>
      </c>
      <c r="O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">
      <c r="A9" s="2" t="n">
        <v>228</v>
      </c>
      <c r="B9" s="2" t="inlineStr">
        <is>
          <t>Thứ sáu ngày 21-08-2026</t>
        </is>
      </c>
      <c r="C9" s="3" t="inlineStr">
        <is>
          <t>Thứ Năm</t>
        </is>
      </c>
      <c r="D9" s="3" t="inlineStr">
        <is>
          <t>94533</t>
        </is>
      </c>
      <c r="E9" s="3" t="inlineStr">
        <is>
          <t>33</t>
        </is>
      </c>
      <c r="F9" s="3" t="inlineStr">
        <is>
          <t>G7.1, G7.4</t>
        </is>
      </c>
      <c r="G9" s="3" t="inlineStr">
        <is>
          <t>Tổng 0, Tổng 1, Tổng 3, Tổng 5, Tổng 6, Tổng 8</t>
        </is>
      </c>
      <c r="H9" s="3" t="inlineStr">
        <is>
          <t>02345789</t>
        </is>
      </c>
      <c r="I9" s="3" t="inlineStr">
        <is>
          <t>Tổng 8-Bóng 3</t>
        </is>
      </c>
      <c r="J9" s="3" t="n">
        <v>60</v>
      </c>
      <c r="K9" s="6" t="inlineStr">
        <is>
          <t>TRÚNG N1 🎯</t>
        </is>
      </c>
      <c r="L9" s="3" t="inlineStr">
        <is>
          <t>00, 10, 21, 23, 26, 28, 38, 42, 44, 47, 51, 53, 60, 65, 67, 78, 79, 83, 91, 96</t>
        </is>
      </c>
      <c r="M9" s="7" t="inlineStr">
        <is>
          <t>TRƯỢT ❌</t>
        </is>
      </c>
      <c r="N9" s="6" t="inlineStr">
        <is>
          <t>TRÚNG N1 🎯</t>
        </is>
      </c>
      <c r="O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0">
      <c r="A10" s="2" t="n">
        <v>227</v>
      </c>
      <c r="B10" s="2" t="inlineStr">
        <is>
          <t>Thứ năm ngày 20-08-2026</t>
        </is>
      </c>
      <c r="C10" s="3" t="inlineStr">
        <is>
          <t>Thứ Tư</t>
        </is>
      </c>
      <c r="D10" s="3" t="inlineStr">
        <is>
          <t>07523</t>
        </is>
      </c>
      <c r="E10" s="3" t="inlineStr">
        <is>
          <t>23</t>
        </is>
      </c>
      <c r="F10" s="3" t="inlineStr">
        <is>
          <t>G7.2, G7.4</t>
        </is>
      </c>
      <c r="G10" s="3" t="inlineStr">
        <is>
          <t>Tổng 0, Tổng 2, Tổng 4, Tổng 5, Tổng 7, Tổng 9</t>
        </is>
      </c>
      <c r="H10" s="3" t="inlineStr">
        <is>
          <t>0123456789</t>
        </is>
      </c>
      <c r="I10" s="3" t="inlineStr">
        <is>
          <t>Tổng 5-Bóng 0</t>
        </is>
      </c>
      <c r="J10" s="3" t="n">
        <v>60</v>
      </c>
      <c r="K10" s="6" t="inlineStr">
        <is>
          <t>TRÚNG N1 🎯</t>
        </is>
      </c>
      <c r="L10" s="3" t="inlineStr">
        <is>
          <t>00, 04, 09, 16, 18, 22, 23, 25, 28, 34, 36, 39, 43, 54, 57, 70, 78, 89, 91, 96</t>
        </is>
      </c>
      <c r="M10" s="6" t="inlineStr">
        <is>
          <t>TRÚNG HỎA LỰC 🎯</t>
        </is>
      </c>
      <c r="N10" s="6" t="inlineStr">
        <is>
          <t>TRÚNG N1 🎯</t>
        </is>
      </c>
      <c r="O1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">
      <c r="A11" s="2" t="n">
        <v>226</v>
      </c>
      <c r="B11" s="2" t="inlineStr">
        <is>
          <t>Thứ tư ngày 19-08-2026</t>
        </is>
      </c>
      <c r="C11" s="3" t="inlineStr">
        <is>
          <t>Thứ Ba</t>
        </is>
      </c>
      <c r="D11" s="3" t="inlineStr">
        <is>
          <t>13643</t>
        </is>
      </c>
      <c r="E11" s="3" t="inlineStr">
        <is>
          <t>43</t>
        </is>
      </c>
      <c r="F11" s="3" t="inlineStr">
        <is>
          <t>G7.3, G7.4</t>
        </is>
      </c>
      <c r="G11" s="3" t="inlineStr">
        <is>
          <t>Tổng 1, Tổng 3, Tổng 4, Tổng 6, Tổng 8, Tổng 9</t>
        </is>
      </c>
      <c r="H11" s="3" t="inlineStr">
        <is>
          <t>0123456789</t>
        </is>
      </c>
      <c r="I11" s="3" t="inlineStr">
        <is>
          <t>Tổng 8-Bóng 3</t>
        </is>
      </c>
      <c r="J11" s="3" t="n">
        <v>60</v>
      </c>
      <c r="K11" s="7" t="inlineStr">
        <is>
          <t>TRƯỢT ❌</t>
        </is>
      </c>
      <c r="L11" s="3" t="inlineStr">
        <is>
          <t>04, 09, 10, 18, 21, 22, 26, 38, 42, 44, 47, 51, 53, 54, 60, 65, 67, 79, 83, 85</t>
        </is>
      </c>
      <c r="M11" s="7" t="inlineStr">
        <is>
          <t>TRƯỢT ❌</t>
        </is>
      </c>
      <c r="N11" s="6" t="inlineStr">
        <is>
          <t>TRÚNG N3 🎯</t>
        </is>
      </c>
      <c r="O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2">
      <c r="A12" s="2" t="n">
        <v>225</v>
      </c>
      <c r="B12" s="2" t="inlineStr">
        <is>
          <t>Thứ ba ngày 18-08-2026</t>
        </is>
      </c>
      <c r="C12" s="3" t="inlineStr">
        <is>
          <t>Thứ Hai</t>
        </is>
      </c>
      <c r="D12" s="3" t="inlineStr">
        <is>
          <t>29183</t>
        </is>
      </c>
      <c r="E12" s="3" t="inlineStr">
        <is>
          <t>83</t>
        </is>
      </c>
      <c r="F12" s="3" t="inlineStr">
        <is>
          <t>G7.2, G7.4</t>
        </is>
      </c>
      <c r="G12" s="3" t="inlineStr">
        <is>
          <t>Tổng 2, Tổng 3, Tổng 4, Tổng 7, Tổng 8, Tổng 9</t>
        </is>
      </c>
      <c r="H12" s="3" t="inlineStr">
        <is>
          <t>12346789</t>
        </is>
      </c>
      <c r="I12" s="3" t="inlineStr">
        <is>
          <t>Tổng 9-Bóng 4</t>
        </is>
      </c>
      <c r="J12" s="3" t="n">
        <v>60</v>
      </c>
      <c r="K12" s="7" t="inlineStr">
        <is>
          <t>TRƯỢT ❌</t>
        </is>
      </c>
      <c r="L12" s="3" t="inlineStr">
        <is>
          <t>04, 09, 16, 18, 21, 22, 25, 26, 34, 36, 39, 44, 53, 54, 57, 67, 68, 70, 85, 89</t>
        </is>
      </c>
      <c r="M12" s="7" t="inlineStr">
        <is>
          <t>TRƯỢT ❌</t>
        </is>
      </c>
      <c r="N12" s="6" t="inlineStr">
        <is>
          <t>TRÚNG N2 🎯</t>
        </is>
      </c>
      <c r="O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3">
      <c r="A13" s="2" t="n">
        <v>224</v>
      </c>
      <c r="B13" s="2" t="inlineStr">
        <is>
          <t>Thứ hai ngày 17-08-2026</t>
        </is>
      </c>
      <c r="C13" s="3" t="inlineStr">
        <is>
          <t>Chủ Nhật</t>
        </is>
      </c>
      <c r="D13" s="3" t="inlineStr">
        <is>
          <t>01939</t>
        </is>
      </c>
      <c r="E13" s="3" t="inlineStr">
        <is>
          <t>39</t>
        </is>
      </c>
      <c r="F13" s="3" t="inlineStr">
        <is>
          <t>G7.3, G7.1</t>
        </is>
      </c>
      <c r="G13" s="3" t="inlineStr">
        <is>
          <t>Tổng 0, Tổng 1, Tổng 2, Tổng 5, Tổng 6, Tổng 7</t>
        </is>
      </c>
      <c r="H13" s="3" t="inlineStr">
        <is>
          <t>02345789</t>
        </is>
      </c>
      <c r="I13" s="3" t="inlineStr">
        <is>
          <t>Tổng 1-Bóng 6</t>
        </is>
      </c>
      <c r="J13" s="3" t="n">
        <v>56</v>
      </c>
      <c r="K13" s="6" t="inlineStr">
        <is>
          <t>TRÚNG N1 🎯</t>
        </is>
      </c>
      <c r="L13" s="3" t="inlineStr">
        <is>
          <t>00, 10, 23, 25, 28, 34, 38, 39, 42, 47, 51, 57, 60, 70, 78, 79, 83, 89, 91, 96</t>
        </is>
      </c>
      <c r="M13" s="6" t="inlineStr">
        <is>
          <t>TRÚNG HỎA LỰC 🎯</t>
        </is>
      </c>
      <c r="N13" s="6" t="inlineStr">
        <is>
          <t>TRÚNG N1 🎯</t>
        </is>
      </c>
      <c r="O13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4">
      <c r="A14" s="2" t="n">
        <v>223</v>
      </c>
      <c r="B14" s="2" t="inlineStr">
        <is>
          <t>Chủ nhật ngày 16-08-2026</t>
        </is>
      </c>
      <c r="C14" s="3" t="inlineStr">
        <is>
          <t>Thứ Bảy</t>
        </is>
      </c>
      <c r="D14" s="3" t="inlineStr">
        <is>
          <t>14696</t>
        </is>
      </c>
      <c r="E14" s="3" t="inlineStr">
        <is>
          <t>96</t>
        </is>
      </c>
      <c r="F14" s="3" t="inlineStr">
        <is>
          <t>G7.1, G7.3</t>
        </is>
      </c>
      <c r="G14" s="3" t="inlineStr">
        <is>
          <t>Tổng 1, Tổng 2, Tổng 6, Tổng 7</t>
        </is>
      </c>
      <c r="H14" s="3" t="inlineStr">
        <is>
          <t>0123456789</t>
        </is>
      </c>
      <c r="I14" s="3" t="inlineStr">
        <is>
          <t>Tổng 7-Bóng 2</t>
        </is>
      </c>
      <c r="J14" s="3" t="n">
        <v>40</v>
      </c>
      <c r="K14" s="7" t="inlineStr">
        <is>
          <t>TRƯỢT ❌</t>
        </is>
      </c>
      <c r="L14" s="3" t="inlineStr">
        <is>
          <t>01, 10, 16, 25, 34, 38, 39, 42, 47, 51, 52, 57, 60, 61, 65, 70, 79, 83, 89, 97</t>
        </is>
      </c>
      <c r="M14" s="7" t="inlineStr">
        <is>
          <t>TRƯỢT ❌</t>
        </is>
      </c>
      <c r="N14" s="6" t="inlineStr">
        <is>
          <t>TRÚNG N2 🎯</t>
        </is>
      </c>
      <c r="O14" s="3" t="inlineStr">
        <is>
          <t>01, 02, 06, 07, 10, 11, 15, 16, 20, 24, 25, 29, 33, 34, 38, 39, 42, 43, 47, 48, 51, 52, 56, 57, 60, 61, 65, 66, 70, 74, 75, 79, 83, 84, 88, 89, 92, 93, 97, 98</t>
        </is>
      </c>
    </row>
    <row r="15">
      <c r="A15" s="2" t="n">
        <v>222</v>
      </c>
      <c r="B15" s="2" t="inlineStr">
        <is>
          <t>Thứ bảy ngày 15-08-2026</t>
        </is>
      </c>
      <c r="C15" s="3" t="inlineStr">
        <is>
          <t>Thứ Sáu</t>
        </is>
      </c>
      <c r="D15" s="3" t="inlineStr">
        <is>
          <t>80278</t>
        </is>
      </c>
      <c r="E15" s="3" t="inlineStr">
        <is>
          <t>78</t>
        </is>
      </c>
      <c r="F15" s="3" t="inlineStr">
        <is>
          <t>G7.1, G7.4</t>
        </is>
      </c>
      <c r="G15" s="3" t="inlineStr">
        <is>
          <t>Tổng 0, Tổng 2, Tổng 3, Tổng 5, Tổng 7, Tổng 8</t>
        </is>
      </c>
      <c r="H15" s="3" t="inlineStr">
        <is>
          <t>01345689</t>
        </is>
      </c>
      <c r="I15" s="3" t="inlineStr">
        <is>
          <t>Tổng 8-Bóng 3</t>
        </is>
      </c>
      <c r="J15" s="3" t="n">
        <v>60</v>
      </c>
      <c r="K15" s="6" t="inlineStr">
        <is>
          <t>TRÚNG N1 🎯</t>
        </is>
      </c>
      <c r="L15" s="3" t="inlineStr">
        <is>
          <t>00, 03, 16, 21, 23, 25, 26, 28, 34, 39, 44, 53, 57, 67, 70, 84, 85, 89, 91, 96</t>
        </is>
      </c>
      <c r="M15" s="7" t="inlineStr">
        <is>
          <t>TRƯỢT ❌</t>
        </is>
      </c>
      <c r="N15" s="6" t="inlineStr">
        <is>
          <t>TRÚNG N1 🎯</t>
        </is>
      </c>
      <c r="O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">
      <c r="A16" s="2" t="n">
        <v>221</v>
      </c>
      <c r="B16" s="2" t="inlineStr">
        <is>
          <t>Thứ sáu ngày 14-08-2026</t>
        </is>
      </c>
      <c r="C16" s="3" t="inlineStr">
        <is>
          <t>Thứ Năm</t>
        </is>
      </c>
      <c r="D16" s="3" t="inlineStr">
        <is>
          <t>80018</t>
        </is>
      </c>
      <c r="E16" s="3" t="inlineStr">
        <is>
          <t>18</t>
        </is>
      </c>
      <c r="F16" s="3" t="inlineStr">
        <is>
          <t>G7.1, G7.4</t>
        </is>
      </c>
      <c r="G16" s="3" t="inlineStr">
        <is>
          <t>Tổng 0, Tổng 2, Tổng 5, Tổng 7</t>
        </is>
      </c>
      <c r="H16" s="3" t="inlineStr">
        <is>
          <t>12346789</t>
        </is>
      </c>
      <c r="I16" s="3" t="inlineStr">
        <is>
          <t>Tổng 5-Bóng 0</t>
        </is>
      </c>
      <c r="J16" s="3" t="n">
        <v>36</v>
      </c>
      <c r="K16" s="7" t="inlineStr">
        <is>
          <t>TRƯỢT ❌</t>
        </is>
      </c>
      <c r="L16" s="3" t="inlineStr">
        <is>
          <t>11, 16, 19, 23, 25, 28, 32, 34, 37, 39, 52, 57, 61, 70, 78, 84, 87, 89, 91, 96</t>
        </is>
      </c>
      <c r="M16" s="7" t="inlineStr">
        <is>
          <t>TRƯỢT ❌</t>
        </is>
      </c>
      <c r="N16" s="6" t="inlineStr">
        <is>
          <t>TRÚNG N2 🎯</t>
        </is>
      </c>
      <c r="O16" s="3" t="inlineStr">
        <is>
          <t>02, 07, 11, 14, 16, 19, 20, 23, 25, 28, 32, 34, 37, 39, 41, 43, 46, 48, 52, 57, 61, 64, 66, 69, 70, 73, 75, 78, 82, 84, 87, 89, 91, 93, 96, 98</t>
        </is>
      </c>
    </row>
    <row r="17">
      <c r="A17" s="2" t="n">
        <v>220</v>
      </c>
      <c r="B17" s="2" t="inlineStr">
        <is>
          <t>Thứ năm ngày 13-08-2026</t>
        </is>
      </c>
      <c r="C17" s="3" t="inlineStr">
        <is>
          <t>Thứ Tư</t>
        </is>
      </c>
      <c r="D17" s="3" t="inlineStr">
        <is>
          <t>79344</t>
        </is>
      </c>
      <c r="E17" s="3" t="inlineStr">
        <is>
          <t>44</t>
        </is>
      </c>
      <c r="F17" s="3" t="inlineStr">
        <is>
          <t>G7.2, G7.4</t>
        </is>
      </c>
      <c r="G17" s="3" t="inlineStr">
        <is>
          <t>Tổng 0, Tổng 1, Tổng 2, Tổng 5, Tổng 6, Tổng 7</t>
        </is>
      </c>
      <c r="H17" s="3" t="inlineStr">
        <is>
          <t>01245679</t>
        </is>
      </c>
      <c r="I17" s="3" t="inlineStr">
        <is>
          <t>Tổng 2-Bóng 7</t>
        </is>
      </c>
      <c r="J17" s="3" t="n">
        <v>56</v>
      </c>
      <c r="K17" s="7" t="inlineStr">
        <is>
          <t>TRƯỢT ❌</t>
        </is>
      </c>
      <c r="L17" s="3" t="inlineStr">
        <is>
          <t>00, 10, 16, 19, 23, 25, 28, 34, 39, 42, 47, 51, 57, 60, 70, 79, 84, 89, 91, 96</t>
        </is>
      </c>
      <c r="M17" s="7" t="inlineStr">
        <is>
          <t>TRƯỢT ❌</t>
        </is>
      </c>
      <c r="N17" s="6" t="inlineStr">
        <is>
          <t>TRÚNG N3 🎯</t>
        </is>
      </c>
      <c r="O17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8">
      <c r="A18" s="2" t="n">
        <v>219</v>
      </c>
      <c r="B18" s="2" t="inlineStr">
        <is>
          <t>Thứ tư ngày 12-08-2026</t>
        </is>
      </c>
      <c r="C18" s="3" t="inlineStr">
        <is>
          <t>Thứ Ba</t>
        </is>
      </c>
      <c r="D18" s="3" t="inlineStr">
        <is>
          <t>82326</t>
        </is>
      </c>
      <c r="E18" s="3" t="inlineStr">
        <is>
          <t>26</t>
        </is>
      </c>
      <c r="F18" s="3" t="inlineStr">
        <is>
          <t>G7.3, G7.4</t>
        </is>
      </c>
      <c r="G18" s="3" t="inlineStr">
        <is>
          <t>Tổng 0, Tổng 2, Tổng 4, Tổng 5, Tổng 7, Tổng 9</t>
        </is>
      </c>
      <c r="H18" s="3" t="inlineStr">
        <is>
          <t>024579</t>
        </is>
      </c>
      <c r="I18" s="3" t="inlineStr">
        <is>
          <t>Tổng 2-Bóng 7</t>
        </is>
      </c>
      <c r="J18" s="3" t="n">
        <v>48</v>
      </c>
      <c r="K18" s="7" t="inlineStr">
        <is>
          <t>TRƯỢT ❌</t>
        </is>
      </c>
      <c r="L18" s="3" t="inlineStr">
        <is>
          <t>00, 04, 09, 19, 22, 23, 25, 28, 32, 34, 39, 54, 57, 70, 84, 87, 89, 90, 91, 96</t>
        </is>
      </c>
      <c r="M18" s="7" t="inlineStr">
        <is>
          <t>TRƯỢT ❌</t>
        </is>
      </c>
      <c r="N18" s="7" t="inlineStr">
        <is>
          <t>TRƯỢT KHUNG ❌</t>
        </is>
      </c>
      <c r="O18" s="3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19">
      <c r="A19" s="2" t="n">
        <v>218</v>
      </c>
      <c r="B19" s="2" t="inlineStr">
        <is>
          <t>Thứ ba ngày 11-08-2026</t>
        </is>
      </c>
      <c r="C19" s="3" t="inlineStr">
        <is>
          <t>Thứ Hai</t>
        </is>
      </c>
      <c r="D19" s="3" t="inlineStr">
        <is>
          <t>92191</t>
        </is>
      </c>
      <c r="E19" s="3" t="inlineStr">
        <is>
          <t>91</t>
        </is>
      </c>
      <c r="F19" s="3" t="inlineStr">
        <is>
          <t>G7.2, G7.4</t>
        </is>
      </c>
      <c r="G19" s="3" t="inlineStr">
        <is>
          <t>Tổng 0, Tổng 1, Tổng 2, Tổng 5, Tổng 6, Tổng 7</t>
        </is>
      </c>
      <c r="H19" s="3" t="inlineStr">
        <is>
          <t>0123456789</t>
        </is>
      </c>
      <c r="I19" s="3" t="inlineStr">
        <is>
          <t>Tổng 5-Bóng 0</t>
        </is>
      </c>
      <c r="J19" s="3" t="n">
        <v>60</v>
      </c>
      <c r="K19" s="6" t="inlineStr">
        <is>
          <t>TRÚNG N1 🎯</t>
        </is>
      </c>
      <c r="L19" s="3" t="inlineStr">
        <is>
          <t>00, 10, 16, 19, 23, 25, 28, 34, 38, 39, 42, 47, 51, 57, 60, 70, 79, 83, 89, 96</t>
        </is>
      </c>
      <c r="M19" s="7" t="inlineStr">
        <is>
          <t>TRƯỢT ❌</t>
        </is>
      </c>
      <c r="N19" s="6" t="inlineStr">
        <is>
          <t>TRÚNG N1 🎯</t>
        </is>
      </c>
      <c r="O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0">
      <c r="A20" s="2" t="n">
        <v>217</v>
      </c>
      <c r="B20" s="2" t="inlineStr">
        <is>
          <t>Thứ hai ngày 10-08-2026</t>
        </is>
      </c>
      <c r="C20" s="3" t="inlineStr">
        <is>
          <t>Chủ Nhật</t>
        </is>
      </c>
      <c r="D20" s="3" t="inlineStr">
        <is>
          <t>92957</t>
        </is>
      </c>
      <c r="E20" s="3" t="inlineStr">
        <is>
          <t>57</t>
        </is>
      </c>
      <c r="F20" s="3" t="inlineStr">
        <is>
          <t>G7.3, G7.1</t>
        </is>
      </c>
      <c r="G20" s="3" t="inlineStr">
        <is>
          <t>Tổng 1, Tổng 3, Tổng 4, Tổng 6, Tổng 8, Tổng 9</t>
        </is>
      </c>
      <c r="H20" s="3" t="inlineStr">
        <is>
          <t>124679</t>
        </is>
      </c>
      <c r="I20" s="3" t="inlineStr">
        <is>
          <t>Tổng 9-Bóng 4</t>
        </is>
      </c>
      <c r="J20" s="3" t="n">
        <v>48</v>
      </c>
      <c r="K20" s="7" t="inlineStr">
        <is>
          <t>TRƯỢT ❌</t>
        </is>
      </c>
      <c r="L20" s="3" t="inlineStr">
        <is>
          <t>01, 04, 09, 10, 21, 22, 36, 42, 47, 51, 54, 60, 63, 65, 67, 68, 79, 90, 94, 99</t>
        </is>
      </c>
      <c r="M20" s="7" t="inlineStr">
        <is>
          <t>TRƯỢT ❌</t>
        </is>
      </c>
      <c r="N20" s="6" t="inlineStr">
        <is>
          <t>TRÚNG N3 🎯</t>
        </is>
      </c>
      <c r="O20" s="3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21">
      <c r="A21" s="2" t="n">
        <v>216</v>
      </c>
      <c r="B21" s="2" t="inlineStr">
        <is>
          <t>Chủ nhật ngày 09-08-2026</t>
        </is>
      </c>
      <c r="C21" s="3" t="inlineStr">
        <is>
          <t>Thứ Bảy</t>
        </is>
      </c>
      <c r="D21" s="3" t="inlineStr">
        <is>
          <t>12221</t>
        </is>
      </c>
      <c r="E21" s="3" t="inlineStr">
        <is>
          <t>21</t>
        </is>
      </c>
      <c r="F21" s="3" t="inlineStr">
        <is>
          <t>G7.1, G7.3</t>
        </is>
      </c>
      <c r="G21" s="3" t="inlineStr">
        <is>
          <t>Tổng 3, Tổng 4, Tổng 8, Tổng 9</t>
        </is>
      </c>
      <c r="H21" s="3" t="inlineStr">
        <is>
          <t>02345789</t>
        </is>
      </c>
      <c r="I21" s="3" t="inlineStr">
        <is>
          <t>Tổng 4-Bóng 9</t>
        </is>
      </c>
      <c r="J21" s="3" t="n">
        <v>40</v>
      </c>
      <c r="K21" s="6" t="inlineStr">
        <is>
          <t>TRÚNG N1 🎯</t>
        </is>
      </c>
      <c r="L21" s="3" t="inlineStr">
        <is>
          <t>03, 04, 08, 09, 13, 17, 22, 36, 53, 54, 63, 67, 68, 71, 80, 81, 85, 90, 94, 99</t>
        </is>
      </c>
      <c r="M21" s="7" t="inlineStr">
        <is>
          <t>TRƯỢT ❌</t>
        </is>
      </c>
      <c r="N21" s="6" t="inlineStr">
        <is>
          <t>TRÚNG N1 🎯</t>
        </is>
      </c>
      <c r="O21" s="3" t="inlineStr">
        <is>
          <t>03, 04, 08, 09, 12, 13, 17, 18, 21, 22, 26, 27, 30, 31, 35, 36, 40, 44, 45, 49, 53, 54, 58, 59, 62, 63, 67, 68, 71, 72, 76, 77, 80, 81, 85, 86, 90, 94, 95, 99</t>
        </is>
      </c>
    </row>
    <row r="22">
      <c r="A22" s="2" t="n">
        <v>215</v>
      </c>
      <c r="B22" s="2" t="inlineStr">
        <is>
          <t>Thứ bảy ngày 08-08-2026</t>
        </is>
      </c>
      <c r="C22" s="3" t="inlineStr">
        <is>
          <t>Thứ Sáu</t>
        </is>
      </c>
      <c r="D22" s="3" t="inlineStr">
        <is>
          <t>04922</t>
        </is>
      </c>
      <c r="E22" s="3" t="inlineStr">
        <is>
          <t>22</t>
        </is>
      </c>
      <c r="F22" s="3" t="inlineStr">
        <is>
          <t>G7.1, G7.4</t>
        </is>
      </c>
      <c r="G22" s="3" t="inlineStr">
        <is>
          <t>Tổng 1, Tổng 3, Tổng 4, Tổng 6, Tổng 8, Tổng 9</t>
        </is>
      </c>
      <c r="H22" s="3" t="inlineStr">
        <is>
          <t>0123456789</t>
        </is>
      </c>
      <c r="I22" s="3" t="inlineStr">
        <is>
          <t>Tổng 4-Bóng 9</t>
        </is>
      </c>
      <c r="J22" s="3" t="n">
        <v>60</v>
      </c>
      <c r="K22" s="6" t="inlineStr">
        <is>
          <t>TRÚNG N1 🎯</t>
        </is>
      </c>
      <c r="L22" s="3" t="inlineStr">
        <is>
          <t>01, 04, 09, 10, 38, 42, 47, 51, 53, 54, 60, 63, 67, 68, 79, 83, 85, 90, 94, 99</t>
        </is>
      </c>
      <c r="M22" s="7" t="inlineStr">
        <is>
          <t>TRƯỢT ❌</t>
        </is>
      </c>
      <c r="N22" s="6" t="inlineStr">
        <is>
          <t>TRÚNG N1 🎯</t>
        </is>
      </c>
      <c r="O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3">
      <c r="A23" s="2" t="n">
        <v>214</v>
      </c>
      <c r="B23" s="2" t="inlineStr">
        <is>
          <t>Thứ sáu ngày 07-08-2026</t>
        </is>
      </c>
      <c r="C23" s="3" t="inlineStr">
        <is>
          <t>Thứ Năm</t>
        </is>
      </c>
      <c r="D23" s="3" t="inlineStr">
        <is>
          <t>16479</t>
        </is>
      </c>
      <c r="E23" s="3" t="inlineStr">
        <is>
          <t>79</t>
        </is>
      </c>
      <c r="F23" s="3" t="inlineStr">
        <is>
          <t>G7.4, G7.1</t>
        </is>
      </c>
      <c r="G23" s="3" t="inlineStr">
        <is>
          <t>Tổng 2, Tổng 3, Tổng 7, Tổng 8</t>
        </is>
      </c>
      <c r="H23" s="3" t="inlineStr">
        <is>
          <t>01345689</t>
        </is>
      </c>
      <c r="I23" s="3" t="inlineStr">
        <is>
          <t>Tổng 2-Bóng 7</t>
        </is>
      </c>
      <c r="J23" s="3" t="n">
        <v>40</v>
      </c>
      <c r="K23" s="7" t="inlineStr">
        <is>
          <t>TRƯỢT ❌</t>
        </is>
      </c>
      <c r="L23" s="3" t="inlineStr">
        <is>
          <t>03, 08, 11, 16, 17, 25, 34, 39, 52, 53, 61, 67, 70, 71, 80, 84, 85, 89, 94, 99</t>
        </is>
      </c>
      <c r="M23" s="7" t="inlineStr">
        <is>
          <t>TRƯỢT ❌</t>
        </is>
      </c>
      <c r="N23" s="6" t="inlineStr">
        <is>
          <t>TRÚNG N3 🎯</t>
        </is>
      </c>
      <c r="O23" s="3" t="inlineStr">
        <is>
          <t>02, 03, 07, 08, 11, 12, 16, 17, 20, 21, 25, 26, 30, 34, 35, 39, 43, 44, 48, 49, 52, 53, 57, 58, 61, 62, 66, 67, 70, 71, 75, 76, 80, 84, 85, 89, 93, 94, 98, 99</t>
        </is>
      </c>
    </row>
    <row r="24">
      <c r="A24" s="2" t="n">
        <v>213</v>
      </c>
      <c r="B24" s="2" t="inlineStr">
        <is>
          <t>Thứ năm ngày 06-08-2026</t>
        </is>
      </c>
      <c r="C24" s="3" t="inlineStr">
        <is>
          <t>Thứ Tư</t>
        </is>
      </c>
      <c r="D24" s="3" t="inlineStr">
        <is>
          <t>26167</t>
        </is>
      </c>
      <c r="E24" s="3" t="inlineStr">
        <is>
          <t>67</t>
        </is>
      </c>
      <c r="F24" s="3" t="inlineStr">
        <is>
          <t>G7.2, G7.4</t>
        </is>
      </c>
      <c r="G24" s="3" t="inlineStr">
        <is>
          <t>Tổng 0, Tổng 1, Tổng 4, Tổng 5, Tổng 6, Tổng 9</t>
        </is>
      </c>
      <c r="H24" s="3" t="inlineStr">
        <is>
          <t>0123456789</t>
        </is>
      </c>
      <c r="I24" s="3" t="inlineStr">
        <is>
          <t>Tổng 0-Bóng 5</t>
        </is>
      </c>
      <c r="J24" s="3" t="n">
        <v>60</v>
      </c>
      <c r="K24" s="7" t="inlineStr">
        <is>
          <t>TRƯỢT ❌</t>
        </is>
      </c>
      <c r="L24" s="3" t="inlineStr">
        <is>
          <t>00, 01, 04, 09, 10, 19, 23, 28, 38, 42, 47, 51, 54, 60, 63, 68, 79, 83, 90, 96</t>
        </is>
      </c>
      <c r="M24" s="7" t="inlineStr">
        <is>
          <t>TRƯỢT ❌</t>
        </is>
      </c>
      <c r="N24" s="6" t="inlineStr">
        <is>
          <t>TRÚNG N2 🎯</t>
        </is>
      </c>
      <c r="O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5">
      <c r="A25" s="2" t="n">
        <v>212</v>
      </c>
      <c r="B25" s="2" t="inlineStr">
        <is>
          <t>Thứ tư ngày 05-08-2026</t>
        </is>
      </c>
      <c r="C25" s="3" t="inlineStr">
        <is>
          <t>Thứ Ba</t>
        </is>
      </c>
      <c r="D25" s="3" t="inlineStr">
        <is>
          <t>59760</t>
        </is>
      </c>
      <c r="E25" s="3" t="inlineStr">
        <is>
          <t>60</t>
        </is>
      </c>
      <c r="F25" s="3" t="inlineStr">
        <is>
          <t>G7.3, G7.4</t>
        </is>
      </c>
      <c r="G25" s="3" t="inlineStr">
        <is>
          <t>Tổng 0, Tổng 3, Tổng 4, Tổng 5, Tổng 8, Tổng 9</t>
        </is>
      </c>
      <c r="H25" s="3" t="inlineStr">
        <is>
          <t>234789</t>
        </is>
      </c>
      <c r="I25" s="3" t="inlineStr">
        <is>
          <t>Tổng 9-Bóng 4</t>
        </is>
      </c>
      <c r="J25" s="3" t="n">
        <v>56</v>
      </c>
      <c r="K25" s="7" t="inlineStr">
        <is>
          <t>TRƯỢT ❌</t>
        </is>
      </c>
      <c r="L25" s="3" t="inlineStr">
        <is>
          <t>03, 04, 09, 19, 23, 28, 32, 36, 53, 54, 63, 67, 68, 80, 85, 87, 90, 94, 96, 99</t>
        </is>
      </c>
      <c r="M25" s="7" t="inlineStr">
        <is>
          <t>TRƯỢT ❌</t>
        </is>
      </c>
      <c r="N25" s="6" t="inlineStr">
        <is>
          <t>TRÚNG N2 🎯</t>
        </is>
      </c>
      <c r="O25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26">
      <c r="A26" s="2" t="n">
        <v>211</v>
      </c>
      <c r="B26" s="2" t="inlineStr">
        <is>
          <t>Thứ ba ngày 04-08-2026</t>
        </is>
      </c>
      <c r="C26" s="3" t="inlineStr">
        <is>
          <t>Thứ Hai</t>
        </is>
      </c>
      <c r="D26" s="3" t="inlineStr">
        <is>
          <t>51125</t>
        </is>
      </c>
      <c r="E26" s="3" t="inlineStr">
        <is>
          <t>25</t>
        </is>
      </c>
      <c r="F26" s="3" t="inlineStr">
        <is>
          <t>G7.2, G7.4</t>
        </is>
      </c>
      <c r="G26" s="3" t="inlineStr">
        <is>
          <t>Tổng 0, Tổng 1, Tổng 4, Tổng 5, Tổng 6, Tổng 9</t>
        </is>
      </c>
      <c r="H26" s="3" t="inlineStr">
        <is>
          <t>0123456789</t>
        </is>
      </c>
      <c r="I26" s="3" t="inlineStr">
        <is>
          <t>Tổng 6-Bóng 1</t>
        </is>
      </c>
      <c r="J26" s="3" t="n">
        <v>60</v>
      </c>
      <c r="K26" s="7" t="inlineStr">
        <is>
          <t>TRƯỢT ❌</t>
        </is>
      </c>
      <c r="L26" s="3" t="inlineStr">
        <is>
          <t>00, 01, 04, 09, 10, 19, 23, 28, 38, 47, 51, 54, 63, 65, 68, 79, 83, 90, 96, 97</t>
        </is>
      </c>
      <c r="M26" s="7" t="inlineStr">
        <is>
          <t>TRƯỢT ❌</t>
        </is>
      </c>
      <c r="N26" s="6" t="inlineStr">
        <is>
          <t>TRÚNG N2 🎯</t>
        </is>
      </c>
      <c r="O2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7">
      <c r="A27" s="2" t="n">
        <v>210</v>
      </c>
      <c r="B27" s="2" t="inlineStr">
        <is>
          <t>Thứ hai ngày 03-08-2026</t>
        </is>
      </c>
      <c r="C27" s="3" t="inlineStr">
        <is>
          <t>Chủ Nhật</t>
        </is>
      </c>
      <c r="D27" s="3" t="inlineStr">
        <is>
          <t>79247</t>
        </is>
      </c>
      <c r="E27" s="3" t="inlineStr">
        <is>
          <t>47</t>
        </is>
      </c>
      <c r="F27" s="3" t="inlineStr">
        <is>
          <t>G7.3, G7.1</t>
        </is>
      </c>
      <c r="G27" s="3" t="inlineStr">
        <is>
          <t>Tổng 0, Tổng 2, Tổng 4, Tổng 5, Tổng 7, Tổng 9</t>
        </is>
      </c>
      <c r="H27" s="3" t="inlineStr">
        <is>
          <t>0123456789</t>
        </is>
      </c>
      <c r="I27" s="3" t="inlineStr">
        <is>
          <t>Tổng 9-Bóng 4</t>
        </is>
      </c>
      <c r="J27" s="3" t="n">
        <v>60</v>
      </c>
      <c r="K27" s="7" t="inlineStr">
        <is>
          <t>TRƯỢT ❌</t>
        </is>
      </c>
      <c r="L27" s="3" t="inlineStr">
        <is>
          <t>00, 04, 09, 16, 19, 23, 28, 34, 36, 39, 54, 63, 68, 70, 78, 84, 87, 89, 90, 96</t>
        </is>
      </c>
      <c r="M27" s="7" t="inlineStr">
        <is>
          <t>TRƯỢT ❌</t>
        </is>
      </c>
      <c r="N27" s="6" t="inlineStr">
        <is>
          <t>TRÚNG N2 🎯</t>
        </is>
      </c>
      <c r="O2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8">
      <c r="A28" s="2" t="n">
        <v>209</v>
      </c>
      <c r="B28" s="2" t="inlineStr">
        <is>
          <t>Chủ nhật ngày 02-08-2026</t>
        </is>
      </c>
      <c r="C28" s="3" t="inlineStr">
        <is>
          <t>Thứ Bảy</t>
        </is>
      </c>
      <c r="D28" s="3" t="inlineStr">
        <is>
          <t>11909</t>
        </is>
      </c>
      <c r="E28" s="3" t="inlineStr">
        <is>
          <t>09</t>
        </is>
      </c>
      <c r="F28" s="3" t="inlineStr">
        <is>
          <t>G7.1, G7.3</t>
        </is>
      </c>
      <c r="G28" s="3" t="inlineStr">
        <is>
          <t>Tổng 0, Tổng 1, Tổng 2, Tổng 5, Tổng 6, Tổng 7</t>
        </is>
      </c>
      <c r="H28" s="3" t="inlineStr">
        <is>
          <t>0123456789</t>
        </is>
      </c>
      <c r="I28" s="3" t="inlineStr">
        <is>
          <t>Tổng 5-Bóng 0</t>
        </is>
      </c>
      <c r="J28" s="3" t="n">
        <v>60</v>
      </c>
      <c r="K28" s="7" t="inlineStr">
        <is>
          <t>TRƯỢT ❌</t>
        </is>
      </c>
      <c r="L28" s="3" t="inlineStr">
        <is>
          <t>00, 01, 10, 16, 19, 23, 28, 34, 38, 39, 47, 51, 65, 70, 79, 83, 87, 89, 96, 97</t>
        </is>
      </c>
      <c r="M28" s="7" t="inlineStr">
        <is>
          <t>TRƯỢT ❌</t>
        </is>
      </c>
      <c r="N28" s="6" t="inlineStr">
        <is>
          <t>TRÚNG N2 🎯</t>
        </is>
      </c>
      <c r="O2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9">
      <c r="A29" s="2" t="n">
        <v>208</v>
      </c>
      <c r="B29" s="2" t="inlineStr">
        <is>
          <t>Thứ bảy ngày 01-08-2026</t>
        </is>
      </c>
      <c r="C29" s="3" t="inlineStr">
        <is>
          <t>Thứ Sáu</t>
        </is>
      </c>
      <c r="D29" s="3" t="inlineStr">
        <is>
          <t>44823</t>
        </is>
      </c>
      <c r="E29" s="3" t="inlineStr">
        <is>
          <t>23</t>
        </is>
      </c>
      <c r="F29" s="3" t="inlineStr">
        <is>
          <t>G7.1, G7.4</t>
        </is>
      </c>
      <c r="G29" s="3" t="inlineStr">
        <is>
          <t>Tổng 1, Tổng 4, Tổng 6, Tổng 9</t>
        </is>
      </c>
      <c r="H29" s="3" t="inlineStr">
        <is>
          <t>01345689</t>
        </is>
      </c>
      <c r="I29" s="3" t="inlineStr">
        <is>
          <t>Tổng 4-Bóng 9</t>
        </is>
      </c>
      <c r="J29" s="3" t="n">
        <v>36</v>
      </c>
      <c r="K29" s="7" t="inlineStr">
        <is>
          <t>TRƯỢT ❌</t>
        </is>
      </c>
      <c r="L29" s="3" t="inlineStr">
        <is>
          <t>01, 04, 10, 13, 36, 38, 40, 42, 47, 51, 54, 60, 63, 65, 68, 79, 81, 83, 90, 97</t>
        </is>
      </c>
      <c r="M29" s="7" t="inlineStr">
        <is>
          <t>TRƯỢT ❌</t>
        </is>
      </c>
      <c r="N29" s="6" t="inlineStr">
        <is>
          <t>TRÚNG N2 🎯</t>
        </is>
      </c>
      <c r="O29" s="3" t="inlineStr">
        <is>
          <t>01, 04, 06, 09, 10, 13, 15, 18, 24, 29, 31, 33, 36, 38, 40, 42, 45, 47, 51, 54, 56, 59, 60, 63, 65, 68, 74, 79, 81, 83, 86, 88, 90, 92, 95, 97</t>
        </is>
      </c>
    </row>
    <row r="30">
      <c r="A30" s="2" t="n">
        <v>207</v>
      </c>
      <c r="B30" s="2" t="inlineStr">
        <is>
          <t>Thứ sáu ngày 31-07-2026</t>
        </is>
      </c>
      <c r="C30" s="3" t="inlineStr">
        <is>
          <t>Thứ Năm</t>
        </is>
      </c>
      <c r="D30" s="3" t="inlineStr">
        <is>
          <t>41710</t>
        </is>
      </c>
      <c r="E30" s="3" t="inlineStr">
        <is>
          <t>10</t>
        </is>
      </c>
      <c r="F30" s="3" t="inlineStr">
        <is>
          <t>G7.4, G7.1</t>
        </is>
      </c>
      <c r="G30" s="3" t="inlineStr">
        <is>
          <t>Tổng 0, Tổng 1, Tổng 4, Tổng 5, Tổng 6, Tổng 9</t>
        </is>
      </c>
      <c r="H30" s="3" t="inlineStr">
        <is>
          <t>0123456789</t>
        </is>
      </c>
      <c r="I30" s="3" t="inlineStr">
        <is>
          <t>Tổng 0-Bóng 5</t>
        </is>
      </c>
      <c r="J30" s="3" t="n">
        <v>60</v>
      </c>
      <c r="K30" s="6" t="inlineStr">
        <is>
          <t>TRÚNG N1 🎯</t>
        </is>
      </c>
      <c r="L30" s="3" t="inlineStr">
        <is>
          <t>00, 01, 04, 19, 28, 36, 38, 42, 47, 51, 54, 63, 65, 68, 79, 83, 87, 90, 96, 97</t>
        </is>
      </c>
      <c r="M30" s="7" t="inlineStr">
        <is>
          <t>TRƯỢT ❌</t>
        </is>
      </c>
      <c r="N30" s="6" t="inlineStr">
        <is>
          <t>TRÚNG N1 🎯</t>
        </is>
      </c>
      <c r="O3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1">
      <c r="A31" s="2" t="n">
        <v>206</v>
      </c>
      <c r="B31" s="2" t="inlineStr">
        <is>
          <t>Thứ năm ngày 30-07-2026</t>
        </is>
      </c>
      <c r="C31" s="3" t="inlineStr">
        <is>
          <t>Thứ Tư</t>
        </is>
      </c>
      <c r="D31" s="3" t="inlineStr">
        <is>
          <t>50834</t>
        </is>
      </c>
      <c r="E31" s="3" t="inlineStr">
        <is>
          <t>34</t>
        </is>
      </c>
      <c r="F31" s="3" t="inlineStr">
        <is>
          <t>G7.2, G7.4</t>
        </is>
      </c>
      <c r="G31" s="3" t="inlineStr">
        <is>
          <t>Tổng 2, Tổng 3, Tổng 4, Tổng 7, Tổng 8, Tổng 9</t>
        </is>
      </c>
      <c r="H31" s="3" t="inlineStr">
        <is>
          <t>0123456789</t>
        </is>
      </c>
      <c r="I31" s="3" t="inlineStr">
        <is>
          <t>Tổng 8-Bóng 3</t>
        </is>
      </c>
      <c r="J31" s="3" t="n">
        <v>60</v>
      </c>
      <c r="K31" s="6" t="inlineStr">
        <is>
          <t>TRÚNG N1 🎯</t>
        </is>
      </c>
      <c r="L31" s="3" t="inlineStr">
        <is>
          <t>03, 04, 16, 36, 39, 52, 53, 54, 63, 67, 68, 70, 71, 80, 84, 85, 89, 90, 94, 99</t>
        </is>
      </c>
      <c r="M31" s="7" t="inlineStr">
        <is>
          <t>TRƯỢT ❌</t>
        </is>
      </c>
      <c r="N31" s="6" t="inlineStr">
        <is>
          <t>TRÚNG N1 🎯</t>
        </is>
      </c>
      <c r="O3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2">
      <c r="A32" s="2" t="n">
        <v>205</v>
      </c>
      <c r="B32" s="2" t="inlineStr">
        <is>
          <t>Thứ tư ngày 29-07-2026</t>
        </is>
      </c>
      <c r="C32" s="3" t="inlineStr">
        <is>
          <t>Thứ Ba</t>
        </is>
      </c>
      <c r="D32" s="3" t="inlineStr">
        <is>
          <t>39983</t>
        </is>
      </c>
      <c r="E32" s="3" t="inlineStr">
        <is>
          <t>83</t>
        </is>
      </c>
      <c r="F32" s="3" t="inlineStr">
        <is>
          <t>G7.3, G7.4</t>
        </is>
      </c>
      <c r="G32" s="3" t="inlineStr">
        <is>
          <t>Tổng 0, Tổng 1, Tổng 5, Tổng 6</t>
        </is>
      </c>
      <c r="H32" s="3" t="inlineStr">
        <is>
          <t>01345689</t>
        </is>
      </c>
      <c r="I32" s="3" t="inlineStr">
        <is>
          <t>Tổng 6-Bóng 1</t>
        </is>
      </c>
      <c r="J32" s="3" t="n">
        <v>40</v>
      </c>
      <c r="K32" s="6" t="inlineStr">
        <is>
          <t>TRÚNG N1 🎯</t>
        </is>
      </c>
      <c r="L32" s="3" t="inlineStr">
        <is>
          <t>00, 01, 05, 19, 23, 28, 32, 37, 38, 42, 47, 51, 55, 65, 78, 79, 83, 87, 96, 97</t>
        </is>
      </c>
      <c r="M32" s="6" t="inlineStr">
        <is>
          <t>TRÚNG HỎA LỰC 🎯</t>
        </is>
      </c>
      <c r="N32" s="6" t="inlineStr">
        <is>
          <t>TRÚNG N1 🎯</t>
        </is>
      </c>
      <c r="O32" s="3" t="inlineStr">
        <is>
          <t>00, 01, 05, 06, 10, 14, 15, 19, 23, 24, 28, 29, 32, 33, 37, 38, 41, 42, 46, 47, 50, 51, 55, 56, 60, 64, 65, 69, 73, 74, 78, 79, 82, 83, 87, 88, 91, 92, 96, 97</t>
        </is>
      </c>
    </row>
    <row r="33">
      <c r="A33" s="2" t="n">
        <v>204</v>
      </c>
      <c r="B33" s="2" t="inlineStr">
        <is>
          <t>Thứ ba ngày 28-07-2026</t>
        </is>
      </c>
      <c r="C33" s="3" t="inlineStr">
        <is>
          <t>Thứ Hai</t>
        </is>
      </c>
      <c r="D33" s="3" t="inlineStr">
        <is>
          <t>65000</t>
        </is>
      </c>
      <c r="E33" s="3" t="inlineStr">
        <is>
          <t>00</t>
        </is>
      </c>
      <c r="F33" s="3" t="inlineStr">
        <is>
          <t>G7.4, G7.2</t>
        </is>
      </c>
      <c r="G33" s="3" t="inlineStr">
        <is>
          <t>Tổng 0, Tổng 1, Tổng 2, Tổng 5, Tổng 6, Tổng 7</t>
        </is>
      </c>
      <c r="H33" s="3" t="inlineStr">
        <is>
          <t>02345789</t>
        </is>
      </c>
      <c r="I33" s="3" t="inlineStr">
        <is>
          <t>Tổng 0-Bóng 5</t>
        </is>
      </c>
      <c r="J33" s="3" t="n">
        <v>56</v>
      </c>
      <c r="K33" s="6" t="inlineStr">
        <is>
          <t>TRÚNG N1 🎯</t>
        </is>
      </c>
      <c r="L33" s="3" t="inlineStr">
        <is>
          <t>01, 19, 28, 32, 37, 38, 39, 42, 47, 51, 52, 65, 70, 79, 83, 84, 87, 89, 96, 97</t>
        </is>
      </c>
      <c r="M33" s="7" t="inlineStr">
        <is>
          <t>TRƯỢT ❌</t>
        </is>
      </c>
      <c r="N33" s="6" t="inlineStr">
        <is>
          <t>TRÚNG N1 🎯</t>
        </is>
      </c>
      <c r="O33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34">
      <c r="A34" s="2" t="n">
        <v>203</v>
      </c>
      <c r="B34" s="2" t="inlineStr">
        <is>
          <t>Thứ hai ngày 27-07-2026</t>
        </is>
      </c>
      <c r="C34" s="3" t="inlineStr">
        <is>
          <t>Chủ Nhật</t>
        </is>
      </c>
      <c r="D34" s="3" t="inlineStr">
        <is>
          <t>54796</t>
        </is>
      </c>
      <c r="E34" s="3" t="inlineStr">
        <is>
          <t>96</t>
        </is>
      </c>
      <c r="F34" s="3" t="inlineStr">
        <is>
          <t>G7.3, G7.1</t>
        </is>
      </c>
      <c r="G34" s="3" t="inlineStr">
        <is>
          <t>Tổng 0, Tổng 2, Tổng 3, Tổng 5, Tổng 7, Tổng 8</t>
        </is>
      </c>
      <c r="H34" s="3" t="inlineStr">
        <is>
          <t>01235678</t>
        </is>
      </c>
      <c r="I34" s="3" t="inlineStr">
        <is>
          <t>Tổng 3-Bóng 8</t>
        </is>
      </c>
      <c r="J34" s="3" t="n">
        <v>56</v>
      </c>
      <c r="K34" s="6" t="inlineStr">
        <is>
          <t>TRÚNG N1 🎯</t>
        </is>
      </c>
      <c r="L34" s="3" t="inlineStr">
        <is>
          <t>03, 05, 16, 19, 23, 28, 32, 37, 39, 50, 52, 53, 67, 70, 71, 78, 84, 85, 87, 89</t>
        </is>
      </c>
      <c r="M34" s="7" t="inlineStr">
        <is>
          <t>TRƯỢT ❌</t>
        </is>
      </c>
      <c r="N34" s="6" t="inlineStr">
        <is>
          <t>TRÚNG N1 🎯</t>
        </is>
      </c>
      <c r="O34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35">
      <c r="A35" s="2" t="n">
        <v>202</v>
      </c>
      <c r="B35" s="2" t="inlineStr">
        <is>
          <t>Chủ nhật ngày 26-07-2026</t>
        </is>
      </c>
      <c r="C35" s="3" t="inlineStr">
        <is>
          <t>Thứ Bảy</t>
        </is>
      </c>
      <c r="D35" s="3" t="inlineStr">
        <is>
          <t>42916</t>
        </is>
      </c>
      <c r="E35" s="3" t="inlineStr">
        <is>
          <t>16</t>
        </is>
      </c>
      <c r="F35" s="3" t="inlineStr">
        <is>
          <t>G7.1, G7.3</t>
        </is>
      </c>
      <c r="G35" s="3" t="inlineStr">
        <is>
          <t>Tổng 0, Tổng 3, Tổng 5, Tổng 8</t>
        </is>
      </c>
      <c r="H35" s="3" t="inlineStr">
        <is>
          <t>0123456789</t>
        </is>
      </c>
      <c r="I35" s="3" t="inlineStr">
        <is>
          <t>Tổng 5-Bóng 0</t>
        </is>
      </c>
      <c r="J35" s="3" t="n">
        <v>40</v>
      </c>
      <c r="K35" s="7" t="inlineStr">
        <is>
          <t>TRƯỢT ❌</t>
        </is>
      </c>
      <c r="L35" s="3" t="inlineStr">
        <is>
          <t>03, 05, 08, 14, 19, 23, 28, 32, 37, 50, 53, 55, 67, 71, 78, 80, 85, 87, 94, 99</t>
        </is>
      </c>
      <c r="M35" s="7" t="inlineStr">
        <is>
          <t>TRƯỢT ❌</t>
        </is>
      </c>
      <c r="N35" s="6" t="inlineStr">
        <is>
          <t>TRÚNG N2 🎯</t>
        </is>
      </c>
      <c r="O35" s="3" t="inlineStr">
        <is>
          <t>00, 03, 05, 08, 12, 14, 17, 19, 21, 23, 26, 28, 30, 32, 35, 37, 41, 44, 46, 49, 50, 53, 55, 58, 62, 64, 67, 69, 71, 73, 76, 78, 80, 82, 85, 87, 91, 94, 96, 99</t>
        </is>
      </c>
    </row>
    <row r="36">
      <c r="A36" s="2" t="n">
        <v>201</v>
      </c>
      <c r="B36" s="2" t="inlineStr">
        <is>
          <t>Thứ bảy ngày 25-07-2026</t>
        </is>
      </c>
      <c r="C36" s="3" t="inlineStr">
        <is>
          <t>Thứ Sáu</t>
        </is>
      </c>
      <c r="D36" s="3" t="inlineStr">
        <is>
          <t>89228</t>
        </is>
      </c>
      <c r="E36" s="3" t="inlineStr">
        <is>
          <t>28</t>
        </is>
      </c>
      <c r="F36" s="3" t="inlineStr">
        <is>
          <t>G7.4, G7.1</t>
        </is>
      </c>
      <c r="G36" s="3" t="inlineStr">
        <is>
          <t>Tổng 0, Tổng 1, Tổng 2, Tổng 5, Tổng 6, Tổng 7</t>
        </is>
      </c>
      <c r="H36" s="3" t="inlineStr">
        <is>
          <t>0123456789</t>
        </is>
      </c>
      <c r="I36" s="3" t="inlineStr">
        <is>
          <t>Tổng 2-Bóng 7</t>
        </is>
      </c>
      <c r="J36" s="3" t="n">
        <v>60</v>
      </c>
      <c r="K36" s="6" t="inlineStr">
        <is>
          <t>TRÚNG N1 🎯</t>
        </is>
      </c>
      <c r="L36" s="3" t="inlineStr">
        <is>
          <t>01, 16, 19, 28, 32, 37, 38, 39, 42, 47, 51, 52, 65, 70, 79, 83, 84, 87, 89, 97</t>
        </is>
      </c>
      <c r="M36" s="6" t="inlineStr">
        <is>
          <t>TRÚNG HỎA LỰC 🎯</t>
        </is>
      </c>
      <c r="N36" s="6" t="inlineStr">
        <is>
          <t>TRÚNG N1 🎯</t>
        </is>
      </c>
      <c r="O3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37">
      <c r="A37" s="2" t="n">
        <v>200</v>
      </c>
      <c r="B37" s="2" t="inlineStr">
        <is>
          <t>Thứ sáu ngày 24-07-2026</t>
        </is>
      </c>
      <c r="C37" s="3" t="inlineStr">
        <is>
          <t>Thứ Năm</t>
        </is>
      </c>
      <c r="D37" s="3" t="inlineStr">
        <is>
          <t>94738</t>
        </is>
      </c>
      <c r="E37" s="3" t="inlineStr">
        <is>
          <t>38</t>
        </is>
      </c>
      <c r="F37" s="3" t="inlineStr">
        <is>
          <t>G7.4, G7.1</t>
        </is>
      </c>
      <c r="G37" s="3" t="inlineStr">
        <is>
          <t>Tổng 0, Tổng 3, Tổng 4, Tổng 5, Tổng 8, Tổng 9</t>
        </is>
      </c>
      <c r="H37" s="3" t="inlineStr">
        <is>
          <t>0123456789</t>
        </is>
      </c>
      <c r="I37" s="3" t="inlineStr">
        <is>
          <t>Tổng 5-Bóng 0</t>
        </is>
      </c>
      <c r="J37" s="3" t="n">
        <v>60</v>
      </c>
      <c r="K37" s="7" t="inlineStr">
        <is>
          <t>TRƯỢT ❌</t>
        </is>
      </c>
      <c r="L37" s="3" t="inlineStr">
        <is>
          <t>03, 04, 19, 23, 28, 32, 36, 37, 53, 54, 63, 67, 68, 71, 78, 85, 87, 90, 94, 99</t>
        </is>
      </c>
      <c r="M37" s="7" t="inlineStr">
        <is>
          <t>TRƯỢT ❌</t>
        </is>
      </c>
      <c r="N37" s="6" t="inlineStr">
        <is>
          <t>TRÚNG N2 🎯</t>
        </is>
      </c>
      <c r="O3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8">
      <c r="A38" s="2" t="n">
        <v>199</v>
      </c>
      <c r="B38" s="2" t="inlineStr">
        <is>
          <t>Thứ năm ngày 23-07-2026</t>
        </is>
      </c>
      <c r="C38" s="3" t="inlineStr">
        <is>
          <t>Thứ Tư</t>
        </is>
      </c>
      <c r="D38" s="3" t="inlineStr">
        <is>
          <t>78754</t>
        </is>
      </c>
      <c r="E38" s="3" t="inlineStr">
        <is>
          <t>54</t>
        </is>
      </c>
      <c r="F38" s="3" t="inlineStr">
        <is>
          <t>G7.2, G7.4</t>
        </is>
      </c>
      <c r="G38" s="3" t="inlineStr">
        <is>
          <t>Tổng 0, Tổng 2, Tổng 4, Tổng 5, Tổng 7, Tổng 9</t>
        </is>
      </c>
      <c r="H38" s="3" t="inlineStr">
        <is>
          <t>01245679</t>
        </is>
      </c>
      <c r="I38" s="3" t="inlineStr">
        <is>
          <t>Tổng 2-Bóng 7</t>
        </is>
      </c>
      <c r="J38" s="3" t="n">
        <v>60</v>
      </c>
      <c r="K38" s="6" t="inlineStr">
        <is>
          <t>TRÚNG N1 🎯</t>
        </is>
      </c>
      <c r="L38" s="3" t="inlineStr">
        <is>
          <t>04, 11, 16, 19, 23, 28, 32, 36, 37, 39, 52, 54, 63, 68, 70, 78, 84, 87, 89, 90</t>
        </is>
      </c>
      <c r="M38" s="6" t="inlineStr">
        <is>
          <t>TRÚNG HỎA LỰC 🎯</t>
        </is>
      </c>
      <c r="N38" s="6" t="inlineStr">
        <is>
          <t>TRÚNG N1 🎯</t>
        </is>
      </c>
      <c r="O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9">
      <c r="A39" s="2" t="n">
        <v>198</v>
      </c>
      <c r="B39" s="2" t="inlineStr">
        <is>
          <t>Thứ tư ngày 22-07-2026</t>
        </is>
      </c>
      <c r="C39" s="3" t="inlineStr">
        <is>
          <t>Thứ Ba</t>
        </is>
      </c>
      <c r="D39" s="3" t="inlineStr">
        <is>
          <t>92154</t>
        </is>
      </c>
      <c r="E39" s="3" t="inlineStr">
        <is>
          <t>54</t>
        </is>
      </c>
      <c r="F39" s="3" t="inlineStr">
        <is>
          <t>G7.3, G7.4</t>
        </is>
      </c>
      <c r="G39" s="3" t="inlineStr">
        <is>
          <t>Tổng 1, Tổng 3, Tổng 4, Tổng 6, Tổng 8, Tổng 9</t>
        </is>
      </c>
      <c r="H39" s="3" t="inlineStr">
        <is>
          <t>02345789</t>
        </is>
      </c>
      <c r="I39" s="3" t="inlineStr">
        <is>
          <t>Tổng 8-Bóng 3</t>
        </is>
      </c>
      <c r="J39" s="3" t="n">
        <v>60</v>
      </c>
      <c r="K39" s="6" t="inlineStr">
        <is>
          <t>TRÚNG N1 🎯</t>
        </is>
      </c>
      <c r="L39" s="3" t="inlineStr">
        <is>
          <t>01, 04, 36, 38, 42, 47, 51, 53, 54, 63, 65, 67, 71, 79, 83, 85, 90, 94, 97, 99</t>
        </is>
      </c>
      <c r="M39" s="6" t="inlineStr">
        <is>
          <t>TRÚNG HỎA LỰC 🎯</t>
        </is>
      </c>
      <c r="N39" s="6" t="inlineStr">
        <is>
          <t>TRÚNG N1 🎯</t>
        </is>
      </c>
      <c r="O3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0">
      <c r="A40" s="2" t="n">
        <v>197</v>
      </c>
      <c r="B40" s="2" t="inlineStr">
        <is>
          <t>Thứ ba ngày 21-07-2026</t>
        </is>
      </c>
      <c r="C40" s="3" t="inlineStr">
        <is>
          <t>Thứ Hai</t>
        </is>
      </c>
      <c r="D40" s="3" t="inlineStr">
        <is>
          <t>73070</t>
        </is>
      </c>
      <c r="E40" s="3" t="inlineStr">
        <is>
          <t>70</t>
        </is>
      </c>
      <c r="F40" s="3" t="inlineStr">
        <is>
          <t>G7.4, G7.2</t>
        </is>
      </c>
      <c r="G40" s="3" t="inlineStr">
        <is>
          <t>Tổng 3, Tổng 4, Tổng 8, Tổng 9</t>
        </is>
      </c>
      <c r="H40" s="3" t="inlineStr">
        <is>
          <t>01345689</t>
        </is>
      </c>
      <c r="I40" s="3" t="inlineStr">
        <is>
          <t>Tổng 3-Bóng 8</t>
        </is>
      </c>
      <c r="J40" s="3" t="n">
        <v>36</v>
      </c>
      <c r="K40" s="7" t="inlineStr">
        <is>
          <t>TRƯỢT ❌</t>
        </is>
      </c>
      <c r="L40" s="3" t="inlineStr">
        <is>
          <t>03, 04, 08, 13, 17, 21, 36, 53, 54, 63, 67, 68, 71, 76, 80, 81, 85, 90, 94, 99</t>
        </is>
      </c>
      <c r="M40" s="7" t="inlineStr">
        <is>
          <t>TRƯỢT ❌</t>
        </is>
      </c>
      <c r="N40" s="6" t="inlineStr">
        <is>
          <t>TRÚNG N2 🎯</t>
        </is>
      </c>
      <c r="O40" s="3" t="inlineStr">
        <is>
          <t>03, 04, 08, 09, 12, 13, 17, 18, 21, 26, 30, 31, 35, 36, 40, 44, 45, 49, 53, 54, 58, 59, 62, 63, 67, 68, 71, 76, 80, 81, 85, 86, 90, 94, 95, 99</t>
        </is>
      </c>
    </row>
    <row r="41">
      <c r="A41" s="2" t="n">
        <v>196</v>
      </c>
      <c r="B41" s="2" t="inlineStr">
        <is>
          <t>Thứ hai ngày 20-07-2026</t>
        </is>
      </c>
      <c r="C41" s="3" t="inlineStr">
        <is>
          <t>Chủ Nhật</t>
        </is>
      </c>
      <c r="D41" s="3" t="inlineStr">
        <is>
          <t>39128</t>
        </is>
      </c>
      <c r="E41" s="3" t="inlineStr">
        <is>
          <t>28</t>
        </is>
      </c>
      <c r="F41" s="3" t="inlineStr">
        <is>
          <t>G7.3, G7.1</t>
        </is>
      </c>
      <c r="G41" s="3" t="inlineStr">
        <is>
          <t>Tổng 0, Tổng 2, Tổng 4, Tổng 5, Tổng 7, Tổng 9</t>
        </is>
      </c>
      <c r="H41" s="3" t="inlineStr">
        <is>
          <t>01235678</t>
        </is>
      </c>
      <c r="I41" s="3" t="inlineStr">
        <is>
          <t>Tổng 5-Bóng 0</t>
        </is>
      </c>
      <c r="J41" s="3" t="n">
        <v>60</v>
      </c>
      <c r="K41" s="6" t="inlineStr">
        <is>
          <t>TRÚNG N1 🎯</t>
        </is>
      </c>
      <c r="L41" s="3" t="inlineStr">
        <is>
          <t>04, 05, 11, 16, 19, 23, 32, 36, 37, 39, 52, 54, 63, 68, 78, 81, 84, 87, 89, 90</t>
        </is>
      </c>
      <c r="M41" s="7" t="inlineStr">
        <is>
          <t>TRƯỢT ❌</t>
        </is>
      </c>
      <c r="N41" s="6" t="inlineStr">
        <is>
          <t>TRÚNG N1 🎯</t>
        </is>
      </c>
      <c r="O4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2">
      <c r="A42" s="2" t="n">
        <v>195</v>
      </c>
      <c r="B42" s="2" t="inlineStr">
        <is>
          <t>Chủ nhật ngày 19-07-2026</t>
        </is>
      </c>
      <c r="C42" s="3" t="inlineStr">
        <is>
          <t>Thứ Bảy</t>
        </is>
      </c>
      <c r="D42" s="3" t="inlineStr">
        <is>
          <t>46438</t>
        </is>
      </c>
      <c r="E42" s="3" t="inlineStr">
        <is>
          <t>38</t>
        </is>
      </c>
      <c r="F42" s="3" t="inlineStr">
        <is>
          <t>G7.1, G7.3</t>
        </is>
      </c>
      <c r="G42" s="3" t="inlineStr">
        <is>
          <t>Tổng 3, Tổng 4, Tổng 8, Tổng 9</t>
        </is>
      </c>
      <c r="H42" s="3" t="inlineStr">
        <is>
          <t>01345689</t>
        </is>
      </c>
      <c r="I42" s="3" t="inlineStr">
        <is>
          <t>Tổng 8-Bóng 3</t>
        </is>
      </c>
      <c r="J42" s="3" t="n">
        <v>36</v>
      </c>
      <c r="K42" s="7" t="inlineStr">
        <is>
          <t>TRƯỢT ❌</t>
        </is>
      </c>
      <c r="L42" s="3" t="inlineStr">
        <is>
          <t>03, 04, 08, 13, 17, 21, 36, 53, 54, 63, 67, 68, 71, 76, 80, 81, 85, 90, 94, 99</t>
        </is>
      </c>
      <c r="M42" s="7" t="inlineStr">
        <is>
          <t>TRƯỢT ❌</t>
        </is>
      </c>
      <c r="N42" s="7" t="inlineStr">
        <is>
          <t>TRƯỢT KHUNG ❌</t>
        </is>
      </c>
      <c r="O42" s="3" t="inlineStr">
        <is>
          <t>03, 04, 08, 09, 12, 13, 17, 18, 21, 26, 30, 31, 35, 36, 40, 44, 45, 49, 53, 54, 58, 59, 62, 63, 67, 68, 71, 76, 80, 81, 85, 86, 90, 94, 95, 99</t>
        </is>
      </c>
    </row>
    <row r="43">
      <c r="A43" s="2" t="n">
        <v>194</v>
      </c>
      <c r="B43" s="2" t="inlineStr">
        <is>
          <t>Thứ bảy ngày 18-07-2026</t>
        </is>
      </c>
      <c r="C43" s="3" t="inlineStr">
        <is>
          <t>Thứ Sáu</t>
        </is>
      </c>
      <c r="D43" s="3" t="inlineStr">
        <is>
          <t>26890</t>
        </is>
      </c>
      <c r="E43" s="3" t="inlineStr">
        <is>
          <t>90</t>
        </is>
      </c>
      <c r="F43" s="3" t="inlineStr">
        <is>
          <t>G7.4, G7.2</t>
        </is>
      </c>
      <c r="G43" s="3" t="inlineStr">
        <is>
          <t>Tổng 3, Tổng 4, Tổng 8, Tổng 9</t>
        </is>
      </c>
      <c r="H43" s="3" t="inlineStr">
        <is>
          <t>0123456789</t>
        </is>
      </c>
      <c r="I43" s="3" t="inlineStr">
        <is>
          <t>Tổng 8-Bóng 3</t>
        </is>
      </c>
      <c r="J43" s="3" t="n">
        <v>40</v>
      </c>
      <c r="K43" s="6" t="inlineStr">
        <is>
          <t>TRÚNG N1 🎯</t>
        </is>
      </c>
      <c r="L43" s="3" t="inlineStr">
        <is>
          <t>03, 04, 08, 13, 17, 21, 36, 53, 54, 59, 63, 67, 68, 71, 76, 80, 81, 85, 94, 99</t>
        </is>
      </c>
      <c r="M43" s="7" t="inlineStr">
        <is>
          <t>TRƯỢT ❌</t>
        </is>
      </c>
      <c r="N43" s="6" t="inlineStr">
        <is>
          <t>TRÚNG N1 🎯</t>
        </is>
      </c>
      <c r="O43" s="3" t="inlineStr">
        <is>
          <t>03, 04, 08, 09, 12, 13, 17, 18, 21, 22, 26, 27, 30, 31, 35, 36, 40, 44, 45, 49, 53, 54, 58, 59, 62, 63, 67, 68, 71, 72, 76, 77, 80, 81, 85, 86, 90, 94, 95, 99</t>
        </is>
      </c>
    </row>
    <row r="44">
      <c r="A44" s="2" t="n">
        <v>193</v>
      </c>
      <c r="B44" s="2" t="inlineStr">
        <is>
          <t>Thứ sáu ngày 17-07-2026</t>
        </is>
      </c>
      <c r="C44" s="3" t="inlineStr">
        <is>
          <t>Thứ Năm</t>
        </is>
      </c>
      <c r="D44" s="3" t="inlineStr">
        <is>
          <t>45739</t>
        </is>
      </c>
      <c r="E44" s="3" t="inlineStr">
        <is>
          <t>39</t>
        </is>
      </c>
      <c r="F44" s="3" t="inlineStr">
        <is>
          <t>G7.4, G7.1</t>
        </is>
      </c>
      <c r="G44" s="3" t="inlineStr">
        <is>
          <t>Tổng 2, Tổng 7</t>
        </is>
      </c>
      <c r="H44" s="3" t="inlineStr">
        <is>
          <t>01345689</t>
        </is>
      </c>
      <c r="I44" s="3" t="inlineStr">
        <is>
          <t>Tổng 7-Bóng 2</t>
        </is>
      </c>
      <c r="J44" s="3" t="n">
        <v>20</v>
      </c>
      <c r="K44" s="6" t="inlineStr">
        <is>
          <t>TRÚNG N1 🎯</t>
        </is>
      </c>
      <c r="L44" s="3" t="inlineStr">
        <is>
          <t>02, 07, 11, 16, 20, 25, 34, 39, 43, 48, 52, 57, 61, 66, 70, 75, 84, 89, 93, 98</t>
        </is>
      </c>
      <c r="M44" s="6" t="inlineStr">
        <is>
          <t>TRÚNG HỎA LỰC 🎯</t>
        </is>
      </c>
      <c r="N44" s="6" t="inlineStr">
        <is>
          <t>TRÚNG N1 🎯</t>
        </is>
      </c>
      <c r="O44" s="3" t="inlineStr">
        <is>
          <t>02, 07, 11, 16, 20, 25, 34, 39, 43, 48, 52, 57, 61, 66, 70, 75, 84, 89, 93, 98</t>
        </is>
      </c>
    </row>
    <row r="45">
      <c r="A45" s="2" t="n">
        <v>192</v>
      </c>
      <c r="B45" s="2" t="inlineStr">
        <is>
          <t>Thứ năm ngày 16-07-2026</t>
        </is>
      </c>
      <c r="C45" s="3" t="inlineStr">
        <is>
          <t>Thứ Tư</t>
        </is>
      </c>
      <c r="D45" s="3" t="inlineStr">
        <is>
          <t>96763</t>
        </is>
      </c>
      <c r="E45" s="3" t="inlineStr">
        <is>
          <t>63</t>
        </is>
      </c>
      <c r="F45" s="3" t="inlineStr">
        <is>
          <t>G7.2, G7.4</t>
        </is>
      </c>
      <c r="G45" s="3" t="inlineStr">
        <is>
          <t>Tổng 1, Tổng 3, Tổng 4, Tổng 6, Tổng 8, Tổng 9</t>
        </is>
      </c>
      <c r="H45" s="3" t="inlineStr">
        <is>
          <t>02345789</t>
        </is>
      </c>
      <c r="I45" s="3" t="inlineStr">
        <is>
          <t>Tổng 9-Bóng 4</t>
        </is>
      </c>
      <c r="J45" s="3" t="n">
        <v>60</v>
      </c>
      <c r="K45" s="6" t="inlineStr">
        <is>
          <t>TRÚNG N1 🎯</t>
        </is>
      </c>
      <c r="L45" s="3" t="inlineStr">
        <is>
          <t>01, 03, 04, 36, 42, 47, 51, 53, 54, 60, 65, 67, 68, 71, 79, 83, 85, 94, 97, 99</t>
        </is>
      </c>
      <c r="M45" s="7" t="inlineStr">
        <is>
          <t>TRƯỢT ❌</t>
        </is>
      </c>
      <c r="N45" s="6" t="inlineStr">
        <is>
          <t>TRÚNG N1 🎯</t>
        </is>
      </c>
      <c r="O4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46">
      <c r="A46" s="2" t="n">
        <v>191</v>
      </c>
      <c r="B46" s="2" t="inlineStr">
        <is>
          <t>Thứ tư ngày 15-07-2026</t>
        </is>
      </c>
      <c r="C46" s="3" t="inlineStr">
        <is>
          <t>Thứ Ba</t>
        </is>
      </c>
      <c r="D46" s="3" t="inlineStr">
        <is>
          <t>36119</t>
        </is>
      </c>
      <c r="E46" s="3" t="inlineStr">
        <is>
          <t>19</t>
        </is>
      </c>
      <c r="F46" s="3" t="inlineStr">
        <is>
          <t>G7.3, G7.1</t>
        </is>
      </c>
      <c r="G46" s="3" t="inlineStr">
        <is>
          <t>Tổng 0, Tổng 1, Tổng 4, Tổng 5, Tổng 6, Tổng 9</t>
        </is>
      </c>
      <c r="H46" s="3" t="inlineStr">
        <is>
          <t>0123456789</t>
        </is>
      </c>
      <c r="I46" s="3" t="inlineStr">
        <is>
          <t>Tổng 1-Bóng 6</t>
        </is>
      </c>
      <c r="J46" s="3" t="n">
        <v>60</v>
      </c>
      <c r="K46" s="6" t="inlineStr">
        <is>
          <t>TRÚNG N1 🎯</t>
        </is>
      </c>
      <c r="L46" s="3" t="inlineStr">
        <is>
          <t>01, 04, 23, 32, 36, 37, 42, 47, 51, 54, 55, 60, 65, 68, 78, 79, 81, 83, 87, 97</t>
        </is>
      </c>
      <c r="M46" s="7" t="inlineStr">
        <is>
          <t>TRƯỢT ❌</t>
        </is>
      </c>
      <c r="N46" s="6" t="inlineStr">
        <is>
          <t>TRÚNG N1 🎯</t>
        </is>
      </c>
      <c r="O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7">
      <c r="A47" s="2" t="n">
        <v>190</v>
      </c>
      <c r="B47" s="2" t="inlineStr">
        <is>
          <t>Thứ ba ngày 14-07-2026</t>
        </is>
      </c>
      <c r="C47" s="3" t="inlineStr">
        <is>
          <t>Thứ Hai</t>
        </is>
      </c>
      <c r="D47" s="3" t="inlineStr">
        <is>
          <t>59147</t>
        </is>
      </c>
      <c r="E47" s="3" t="inlineStr">
        <is>
          <t>47</t>
        </is>
      </c>
      <c r="F47" s="3" t="inlineStr">
        <is>
          <t>G7.4, G7.2</t>
        </is>
      </c>
      <c r="G47" s="3" t="inlineStr">
        <is>
          <t>Tổng 2, Tổng 3, Tổng 4, Tổng 7, Tổng 8, Tổng 9</t>
        </is>
      </c>
      <c r="H47" s="3" t="inlineStr">
        <is>
          <t>01245679</t>
        </is>
      </c>
      <c r="I47" s="3" t="inlineStr">
        <is>
          <t>Tổng 4-Bóng 9</t>
        </is>
      </c>
      <c r="J47" s="3" t="n">
        <v>60</v>
      </c>
      <c r="K47" s="7" t="inlineStr">
        <is>
          <t>TRƯỢT ❌</t>
        </is>
      </c>
      <c r="L47" s="3" t="inlineStr">
        <is>
          <t>03, 04, 11, 16, 36, 39, 43, 52, 53, 54, 61, 67, 68, 71, 80, 84, 85, 89, 94, 99</t>
        </is>
      </c>
      <c r="M47" s="7" t="inlineStr">
        <is>
          <t>TRƯỢT ❌</t>
        </is>
      </c>
      <c r="N47" s="6" t="inlineStr">
        <is>
          <t>TRÚNG N3 🎯</t>
        </is>
      </c>
      <c r="O4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48">
      <c r="A48" s="2" t="n">
        <v>189</v>
      </c>
      <c r="B48" s="2" t="inlineStr">
        <is>
          <t>Thứ hai ngày 13-07-2026</t>
        </is>
      </c>
      <c r="C48" s="3" t="inlineStr">
        <is>
          <t>Chủ Nhật</t>
        </is>
      </c>
      <c r="D48" s="3" t="inlineStr">
        <is>
          <t>74299</t>
        </is>
      </c>
      <c r="E48" s="3" t="inlineStr">
        <is>
          <t>99</t>
        </is>
      </c>
      <c r="F48" s="3" t="inlineStr">
        <is>
          <t>G7.3, G7.1</t>
        </is>
      </c>
      <c r="G48" s="3" t="inlineStr">
        <is>
          <t>Tổng 0, Tổng 2, Tổng 4, Tổng 5, Tổng 7, Tổng 9</t>
        </is>
      </c>
      <c r="H48" s="3" t="inlineStr">
        <is>
          <t>0123456789</t>
        </is>
      </c>
      <c r="I48" s="3" t="inlineStr">
        <is>
          <t>Tổng 7-Bóng 2</t>
        </is>
      </c>
      <c r="J48" s="3" t="n">
        <v>60</v>
      </c>
      <c r="K48" s="7" t="inlineStr">
        <is>
          <t>TRƯỢT ❌</t>
        </is>
      </c>
      <c r="L48" s="3" t="inlineStr">
        <is>
          <t>00, 04, 14, 16, 23, 32, 36, 37, 39, 43, 52, 54, 55, 61, 68, 69, 78, 84, 87, 89</t>
        </is>
      </c>
      <c r="M48" s="7" t="inlineStr">
        <is>
          <t>TRƯỢT ❌</t>
        </is>
      </c>
      <c r="N48" s="6" t="inlineStr">
        <is>
          <t>TRÚNG N3 🎯</t>
        </is>
      </c>
      <c r="O4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9">
      <c r="A49" s="2" t="n">
        <v>188</v>
      </c>
      <c r="B49" s="2" t="inlineStr">
        <is>
          <t>Chủ nhật ngày 12-07-2026</t>
        </is>
      </c>
      <c r="C49" s="3" t="inlineStr">
        <is>
          <t>Thứ Bảy</t>
        </is>
      </c>
      <c r="D49" s="3" t="inlineStr">
        <is>
          <t>10494</t>
        </is>
      </c>
      <c r="E49" s="3" t="inlineStr">
        <is>
          <t>94</t>
        </is>
      </c>
      <c r="F49" s="3" t="inlineStr">
        <is>
          <t>G7.1, G7.3</t>
        </is>
      </c>
      <c r="G49" s="3" t="inlineStr">
        <is>
          <t>Tổng 0, Tổng 1, Tổng 2, Tổng 5, Tổng 6, Tổng 7</t>
        </is>
      </c>
      <c r="H49" s="3" t="inlineStr">
        <is>
          <t>01235678</t>
        </is>
      </c>
      <c r="I49" s="3" t="inlineStr">
        <is>
          <t>Tổng 2-Bóng 7</t>
        </is>
      </c>
      <c r="J49" s="3" t="n">
        <v>60</v>
      </c>
      <c r="K49" s="7" t="inlineStr">
        <is>
          <t>TRƯỢT ❌</t>
        </is>
      </c>
      <c r="L49" s="3" t="inlineStr">
        <is>
          <t>00, 01, 14, 16, 32, 37, 38, 39, 42, 51, 52, 55, 60, 65, 79, 83, 84, 87, 89, 97</t>
        </is>
      </c>
      <c r="M49" s="7" t="inlineStr">
        <is>
          <t>TRƯỢT ❌</t>
        </is>
      </c>
      <c r="N49" s="6" t="inlineStr">
        <is>
          <t>TRÚNG N3 🎯</t>
        </is>
      </c>
      <c r="O4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50">
      <c r="A50" s="2" t="n">
        <v>187</v>
      </c>
      <c r="B50" s="2" t="inlineStr">
        <is>
          <t>Thứ bảy ngày 11-07-2026</t>
        </is>
      </c>
      <c r="C50" s="3" t="inlineStr">
        <is>
          <t>Thứ Sáu</t>
        </is>
      </c>
      <c r="D50" s="3" t="inlineStr">
        <is>
          <t>09401</t>
        </is>
      </c>
      <c r="E50" s="3" t="inlineStr">
        <is>
          <t>01</t>
        </is>
      </c>
      <c r="F50" s="3" t="inlineStr">
        <is>
          <t>G7.4, G7.1</t>
        </is>
      </c>
      <c r="G50" s="3" t="inlineStr">
        <is>
          <t>Tổng 0, Tổng 2, Tổng 5, Tổng 7</t>
        </is>
      </c>
      <c r="H50" s="3" t="inlineStr">
        <is>
          <t>0123456789</t>
        </is>
      </c>
      <c r="I50" s="3" t="inlineStr">
        <is>
          <t>Tổng 2-Bóng 7</t>
        </is>
      </c>
      <c r="J50" s="3" t="n">
        <v>40</v>
      </c>
      <c r="K50" s="7" t="inlineStr">
        <is>
          <t>TRƯỢT ❌</t>
        </is>
      </c>
      <c r="L50" s="3" t="inlineStr">
        <is>
          <t>00, 05, 11, 14, 16, 23, 32, 37, 39, 43, 50, 52, 55, 61, 69, 78, 84, 87, 89, 93</t>
        </is>
      </c>
      <c r="M50" s="7" t="inlineStr">
        <is>
          <t>TRƯỢT ❌</t>
        </is>
      </c>
      <c r="N50" s="7" t="inlineStr">
        <is>
          <t>TRƯỢT KHUNG ❌</t>
        </is>
      </c>
      <c r="O50" s="3" t="inlineStr">
        <is>
          <t>00, 02, 05, 07, 11, 14, 16, 19, 20, 23, 25, 28, 32, 34, 37, 39, 41, 43, 46, 48, 50, 52, 55, 57, 61, 64, 66, 69, 70, 73, 75, 78, 82, 84, 87, 89, 91, 93, 96, 98</t>
        </is>
      </c>
    </row>
    <row r="51">
      <c r="A51" s="2" t="n">
        <v>186</v>
      </c>
      <c r="B51" s="2" t="inlineStr">
        <is>
          <t>Thứ sáu ngày 10-07-2026</t>
        </is>
      </c>
      <c r="C51" s="3" t="inlineStr">
        <is>
          <t>Thứ Năm</t>
        </is>
      </c>
      <c r="D51" s="3" t="inlineStr">
        <is>
          <t>72767</t>
        </is>
      </c>
      <c r="E51" s="3" t="inlineStr">
        <is>
          <t>67</t>
        </is>
      </c>
      <c r="F51" s="3" t="inlineStr">
        <is>
          <t>G7.4, G7.1</t>
        </is>
      </c>
      <c r="G51" s="3" t="inlineStr">
        <is>
          <t>Tổng 0, Tổng 2, Tổng 4, Tổng 5, Tổng 7, Tổng 9</t>
        </is>
      </c>
      <c r="H51" s="3" t="inlineStr">
        <is>
          <t>01345689</t>
        </is>
      </c>
      <c r="I51" s="3" t="inlineStr">
        <is>
          <t>Tổng 7-Bóng 2</t>
        </is>
      </c>
      <c r="J51" s="3" t="n">
        <v>56</v>
      </c>
      <c r="K51" s="7" t="inlineStr">
        <is>
          <t>TRƯỢT ❌</t>
        </is>
      </c>
      <c r="L51" s="3" t="inlineStr">
        <is>
          <t>00, 04, 14, 16, 23, 32, 36, 37, 39, 43, 52, 54, 55, 61, 68, 69, 78, 84, 87, 89</t>
        </is>
      </c>
      <c r="M51" s="7" t="inlineStr">
        <is>
          <t>TRƯỢT ❌</t>
        </is>
      </c>
      <c r="N51" s="7" t="inlineStr">
        <is>
          <t>TRƯỢT KHUNG ❌</t>
        </is>
      </c>
      <c r="O51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52">
      <c r="A52" s="2" t="n">
        <v>185</v>
      </c>
      <c r="B52" s="2" t="inlineStr">
        <is>
          <t>Thứ năm ngày 09-07-2026</t>
        </is>
      </c>
      <c r="C52" s="3" t="inlineStr">
        <is>
          <t>Thứ Tư</t>
        </is>
      </c>
      <c r="D52" s="3" t="inlineStr">
        <is>
          <t>69185</t>
        </is>
      </c>
      <c r="E52" s="3" t="inlineStr">
        <is>
          <t>85</t>
        </is>
      </c>
      <c r="F52" s="3" t="inlineStr">
        <is>
          <t>G7.2, G7.4</t>
        </is>
      </c>
      <c r="G52" s="3" t="inlineStr">
        <is>
          <t>Tổng 0, Tổng 1, Tổng 5, Tổng 6</t>
        </is>
      </c>
      <c r="H52" s="3" t="inlineStr">
        <is>
          <t>0123456789</t>
        </is>
      </c>
      <c r="I52" s="3" t="inlineStr">
        <is>
          <t>Tổng 1-Bóng 6</t>
        </is>
      </c>
      <c r="J52" s="3" t="n">
        <v>40</v>
      </c>
      <c r="K52" s="7" t="inlineStr">
        <is>
          <t>TRƯỢT ❌</t>
        </is>
      </c>
      <c r="L52" s="3" t="inlineStr">
        <is>
          <t>00, 05, 14, 23, 32, 33, 37, 38, 42, 50, 51, 55, 60, 65, 69, 78, 79, 83, 87, 97</t>
        </is>
      </c>
      <c r="M52" s="7" t="inlineStr">
        <is>
          <t>TRƯỢT ❌</t>
        </is>
      </c>
      <c r="N52" s="6" t="inlineStr">
        <is>
          <t>TRÚNG N3 🎯</t>
        </is>
      </c>
      <c r="O52" s="3" t="inlineStr">
        <is>
          <t>00, 01, 05, 06, 10, 14, 15, 19, 23, 24, 28, 29, 32, 33, 37, 38, 41, 42, 46, 47, 50, 51, 55, 56, 60, 64, 65, 69, 73, 74, 78, 79, 82, 83, 87, 88, 91, 92, 96, 97</t>
        </is>
      </c>
    </row>
    <row r="53">
      <c r="A53" s="2" t="n">
        <v>184</v>
      </c>
      <c r="B53" s="2" t="inlineStr">
        <is>
          <t>Thứ tư ngày 08-07-2026</t>
        </is>
      </c>
      <c r="C53" s="3" t="inlineStr">
        <is>
          <t>Thứ Ba</t>
        </is>
      </c>
      <c r="D53" s="3" t="inlineStr">
        <is>
          <t>95089</t>
        </is>
      </c>
      <c r="E53" s="3" t="inlineStr">
        <is>
          <t>89</t>
        </is>
      </c>
      <c r="F53" s="3" t="inlineStr">
        <is>
          <t>G7.3, G7.1</t>
        </is>
      </c>
      <c r="G53" s="3" t="inlineStr">
        <is>
          <t>Tổng 3, Tổng 4, Tổng 8, Tổng 9</t>
        </is>
      </c>
      <c r="H53" s="3" t="inlineStr">
        <is>
          <t>0123456789</t>
        </is>
      </c>
      <c r="I53" s="3" t="inlineStr">
        <is>
          <t>Tổng 9-Bóng 4</t>
        </is>
      </c>
      <c r="J53" s="3" t="n">
        <v>40</v>
      </c>
      <c r="K53" s="7" t="inlineStr">
        <is>
          <t>TRƯỢT ❌</t>
        </is>
      </c>
      <c r="L53" s="3" t="inlineStr">
        <is>
          <t>03, 04, 08, 13, 17, 21, 35, 36, 40, 53, 54, 59, 63, 68, 71, 76, 80, 81, 85, 94</t>
        </is>
      </c>
      <c r="M53" s="7" t="inlineStr">
        <is>
          <t>TRƯỢT ❌</t>
        </is>
      </c>
      <c r="N53" s="6" t="inlineStr">
        <is>
          <t>TRÚNG N2 🎯</t>
        </is>
      </c>
      <c r="O53" s="3" t="inlineStr">
        <is>
          <t>03, 04, 08, 09, 12, 13, 17, 18, 21, 22, 26, 27, 30, 31, 35, 36, 40, 44, 45, 49, 53, 54, 58, 59, 62, 63, 67, 68, 71, 72, 76, 77, 80, 81, 85, 86, 90, 94, 95, 99</t>
        </is>
      </c>
    </row>
    <row r="54">
      <c r="A54" s="2" t="n">
        <v>183</v>
      </c>
      <c r="B54" s="2" t="inlineStr">
        <is>
          <t>Thứ ba ngày 07-07-2026</t>
        </is>
      </c>
      <c r="C54" s="3" t="inlineStr">
        <is>
          <t>Thứ Hai</t>
        </is>
      </c>
      <c r="D54" s="3" t="inlineStr">
        <is>
          <t>92579</t>
        </is>
      </c>
      <c r="E54" s="3" t="inlineStr">
        <is>
          <t>79</t>
        </is>
      </c>
      <c r="F54" s="3" t="inlineStr">
        <is>
          <t>G7.4, G7.2</t>
        </is>
      </c>
      <c r="G54" s="3" t="inlineStr">
        <is>
          <t>Tổng 0, Tổng 2, Tổng 3, Tổng 5, Tổng 7, Tổng 8</t>
        </is>
      </c>
      <c r="H54" s="3" t="inlineStr">
        <is>
          <t>02345789</t>
        </is>
      </c>
      <c r="I54" s="3" t="inlineStr">
        <is>
          <t>Tổng 3-Bóng 8</t>
        </is>
      </c>
      <c r="J54" s="3" t="n">
        <v>56</v>
      </c>
      <c r="K54" s="7" t="inlineStr">
        <is>
          <t>TRƯỢT ❌</t>
        </is>
      </c>
      <c r="L54" s="3" t="inlineStr">
        <is>
          <t>00, 03, 05, 08, 14, 17, 23, 32, 37, 39, 50, 52, 53, 55, 71, 80, 84, 87, 89, 93</t>
        </is>
      </c>
      <c r="M54" s="7" t="inlineStr">
        <is>
          <t>TRƯỢT ❌</t>
        </is>
      </c>
      <c r="N54" s="6" t="inlineStr">
        <is>
          <t>TRÚNG N2 🎯</t>
        </is>
      </c>
      <c r="O54" s="3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55">
      <c r="A55" s="2" t="n">
        <v>182</v>
      </c>
      <c r="B55" s="2" t="inlineStr">
        <is>
          <t>Thứ hai ngày 06-07-2026</t>
        </is>
      </c>
      <c r="C55" s="3" t="inlineStr">
        <is>
          <t>Chủ Nhật</t>
        </is>
      </c>
      <c r="D55" s="3" t="inlineStr">
        <is>
          <t>43497</t>
        </is>
      </c>
      <c r="E55" s="3" t="inlineStr">
        <is>
          <t>97</t>
        </is>
      </c>
      <c r="F55" s="3" t="inlineStr">
        <is>
          <t>G7.3, G7.1</t>
        </is>
      </c>
      <c r="G55" s="3" t="inlineStr">
        <is>
          <t>Tổng 0, Tổng 3, Tổng 5, Tổng 8</t>
        </is>
      </c>
      <c r="H55" s="3" t="inlineStr">
        <is>
          <t>01345689</t>
        </is>
      </c>
      <c r="I55" s="3" t="inlineStr">
        <is>
          <t>Tổng 5-Bóng 0</t>
        </is>
      </c>
      <c r="J55" s="3" t="n">
        <v>40</v>
      </c>
      <c r="K55" s="7" t="inlineStr">
        <is>
          <t>TRƯỢT ❌</t>
        </is>
      </c>
      <c r="L55" s="3" t="inlineStr">
        <is>
          <t>00, 03, 05, 08, 14, 17, 21, 23, 32, 37, 50, 53, 55, 69, 71, 78, 80, 85, 87, 94</t>
        </is>
      </c>
      <c r="M55" s="7" t="inlineStr">
        <is>
          <t>TRƯỢT ❌</t>
        </is>
      </c>
      <c r="N55" s="7" t="inlineStr">
        <is>
          <t>TRƯỢT KHUNG ❌</t>
        </is>
      </c>
      <c r="O55" s="3" t="inlineStr">
        <is>
          <t>00, 03, 05, 08, 12, 14, 17, 19, 21, 23, 26, 28, 30, 32, 35, 37, 41, 44, 46, 49, 50, 53, 55, 58, 62, 64, 67, 69, 71, 73, 76, 78, 80, 82, 85, 87, 91, 94, 96, 99</t>
        </is>
      </c>
    </row>
    <row r="56">
      <c r="A56" s="2" t="n">
        <v>181</v>
      </c>
      <c r="B56" s="2" t="inlineStr">
        <is>
          <t>Chủ nhật ngày 05-07-2026</t>
        </is>
      </c>
      <c r="C56" s="3" t="inlineStr">
        <is>
          <t>Thứ Bảy</t>
        </is>
      </c>
      <c r="D56" s="3" t="inlineStr">
        <is>
          <t>66771</t>
        </is>
      </c>
      <c r="E56" s="3" t="inlineStr">
        <is>
          <t>71</t>
        </is>
      </c>
      <c r="F56" s="3" t="inlineStr">
        <is>
          <t>G7.1, G7.3</t>
        </is>
      </c>
      <c r="G56" s="3" t="inlineStr">
        <is>
          <t>Tổng 0, Tổng 3, Tổng 5, Tổng 8</t>
        </is>
      </c>
      <c r="H56" s="3" t="inlineStr">
        <is>
          <t>0123456789</t>
        </is>
      </c>
      <c r="I56" s="3" t="inlineStr">
        <is>
          <t>Tổng 8-Bóng 3</t>
        </is>
      </c>
      <c r="J56" s="3" t="n">
        <v>40</v>
      </c>
      <c r="K56" s="6" t="inlineStr">
        <is>
          <t>TRÚNG N1 🎯</t>
        </is>
      </c>
      <c r="L56" s="3" t="inlineStr">
        <is>
          <t>00, 03, 05, 08, 14, 17, 21, 23, 32, 37, 41, 50, 53, 55, 69, 78, 80, 85, 87, 94</t>
        </is>
      </c>
      <c r="M56" s="7" t="inlineStr">
        <is>
          <t>TRƯỢT ❌</t>
        </is>
      </c>
      <c r="N56" s="6" t="inlineStr">
        <is>
          <t>TRÚNG N1 🎯</t>
        </is>
      </c>
      <c r="O56" s="3" t="inlineStr">
        <is>
          <t>00, 03, 05, 08, 12, 14, 17, 19, 21, 23, 26, 28, 30, 32, 35, 37, 41, 44, 46, 49, 50, 53, 55, 58, 62, 64, 67, 69, 71, 73, 76, 78, 80, 82, 85, 87, 91, 94, 96, 99</t>
        </is>
      </c>
    </row>
    <row r="57">
      <c r="A57" s="2" t="n">
        <v>180</v>
      </c>
      <c r="B57" s="2" t="inlineStr">
        <is>
          <t>Thứ bảy ngày 04-07-2026</t>
        </is>
      </c>
      <c r="C57" s="3" t="inlineStr">
        <is>
          <t>Thứ Sáu</t>
        </is>
      </c>
      <c r="D57" s="3" t="inlineStr">
        <is>
          <t>14887</t>
        </is>
      </c>
      <c r="E57" s="3" t="inlineStr">
        <is>
          <t>87</t>
        </is>
      </c>
      <c r="F57" s="3" t="inlineStr">
        <is>
          <t>G7.4, G7.1</t>
        </is>
      </c>
      <c r="G57" s="3" t="inlineStr">
        <is>
          <t>Tổng 2, Tổng 4, Tổng 7, Tổng 9</t>
        </is>
      </c>
      <c r="H57" s="3" t="inlineStr">
        <is>
          <t>0123456789</t>
        </is>
      </c>
      <c r="I57" s="3" t="inlineStr">
        <is>
          <t>Tổng 2-Bóng 7</t>
        </is>
      </c>
      <c r="J57" s="3" t="n">
        <v>40</v>
      </c>
      <c r="K57" s="7" t="inlineStr">
        <is>
          <t>TRƯỢT ❌</t>
        </is>
      </c>
      <c r="L57" s="3" t="inlineStr">
        <is>
          <t>04, 11, 13, 16, 20, 25, 36, 39, 40, 43, 52, 54, 59, 61, 68, 75, 81, 84, 89, 93</t>
        </is>
      </c>
      <c r="M57" s="7" t="inlineStr">
        <is>
          <t>TRƯỢT ❌</t>
        </is>
      </c>
      <c r="N57" s="7" t="inlineStr">
        <is>
          <t>TRƯỢT KHUNG ❌</t>
        </is>
      </c>
      <c r="O57" s="3" t="inlineStr">
        <is>
          <t>02, 04, 07, 09, 11, 13, 16, 18, 20, 22, 25, 27, 31, 34, 36, 39, 40, 43, 45, 48, 52, 54, 57, 59, 61, 63, 66, 68, 70, 72, 75, 77, 81, 84, 86, 89, 90, 93, 95, 98</t>
        </is>
      </c>
    </row>
    <row r="58">
      <c r="A58" s="2" t="n">
        <v>179</v>
      </c>
      <c r="B58" s="2" t="inlineStr">
        <is>
          <t>Thứ sáu ngày 03-07-2026</t>
        </is>
      </c>
      <c r="C58" s="3" t="inlineStr">
        <is>
          <t>Thứ Năm</t>
        </is>
      </c>
      <c r="D58" s="3" t="inlineStr">
        <is>
          <t>18165</t>
        </is>
      </c>
      <c r="E58" s="3" t="inlineStr">
        <is>
          <t>65</t>
        </is>
      </c>
      <c r="F58" s="3" t="inlineStr">
        <is>
          <t>G7.4, G7.1</t>
        </is>
      </c>
      <c r="G58" s="3" t="inlineStr">
        <is>
          <t>Tổng 0, Tổng 2, Tổng 4, Tổng 5, Tổng 7, Tổng 9</t>
        </is>
      </c>
      <c r="H58" s="3" t="inlineStr">
        <is>
          <t>02345789</t>
        </is>
      </c>
      <c r="I58" s="3" t="inlineStr">
        <is>
          <t>Tổng 5-Bóng 0</t>
        </is>
      </c>
      <c r="J58" s="3" t="n">
        <v>56</v>
      </c>
      <c r="K58" s="7" t="inlineStr">
        <is>
          <t>TRƯỢT ❌</t>
        </is>
      </c>
      <c r="L58" s="3" t="inlineStr">
        <is>
          <t>00, 04, 05, 14, 23, 32, 36, 37, 39, 43, 50, 52, 54, 55, 68, 69, 78, 84, 89, 93</t>
        </is>
      </c>
      <c r="M58" s="7" t="inlineStr">
        <is>
          <t>TRƯỢT ❌</t>
        </is>
      </c>
      <c r="N58" s="6" t="inlineStr">
        <is>
          <t>TRÚNG N2 🎯</t>
        </is>
      </c>
      <c r="O58" s="3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59">
      <c r="A59" s="2" t="n">
        <v>178</v>
      </c>
      <c r="B59" s="2" t="inlineStr">
        <is>
          <t>Thứ năm ngày 02-07-2026</t>
        </is>
      </c>
      <c r="C59" s="3" t="inlineStr">
        <is>
          <t>Thứ Tư</t>
        </is>
      </c>
      <c r="D59" s="3" t="inlineStr">
        <is>
          <t>51139</t>
        </is>
      </c>
      <c r="E59" s="3" t="inlineStr">
        <is>
          <t>39</t>
        </is>
      </c>
      <c r="F59" s="3" t="inlineStr">
        <is>
          <t>G7.2, G7.4</t>
        </is>
      </c>
      <c r="G59" s="3" t="inlineStr">
        <is>
          <t>Tổng 2, Tổng 3, Tổng 4, Tổng 7, Tổng 8, Tổng 9</t>
        </is>
      </c>
      <c r="H59" s="3" t="inlineStr">
        <is>
          <t>0123456789</t>
        </is>
      </c>
      <c r="I59" s="3" t="inlineStr">
        <is>
          <t>Tổng 9-Bóng 4</t>
        </is>
      </c>
      <c r="J59" s="3" t="n">
        <v>60</v>
      </c>
      <c r="K59" s="6" t="inlineStr">
        <is>
          <t>TRÚNG N1 🎯</t>
        </is>
      </c>
      <c r="L59" s="3" t="inlineStr">
        <is>
          <t>03, 04, 08, 11, 16, 17, 36, 39, 43, 52, 53, 54, 61, 68, 80, 81, 84, 89, 93, 94</t>
        </is>
      </c>
      <c r="M59" s="6" t="inlineStr">
        <is>
          <t>TRÚNG HỎA LỰC 🎯</t>
        </is>
      </c>
      <c r="N59" s="6" t="inlineStr">
        <is>
          <t>TRÚNG N1 🎯</t>
        </is>
      </c>
      <c r="O5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0">
      <c r="A60" s="2" t="n">
        <v>177</v>
      </c>
      <c r="B60" s="2" t="inlineStr">
        <is>
          <t>Thứ tư ngày 01-07-2026</t>
        </is>
      </c>
      <c r="C60" s="3" t="inlineStr">
        <is>
          <t>Thứ Ba</t>
        </is>
      </c>
      <c r="D60" s="3" t="inlineStr">
        <is>
          <t>31854</t>
        </is>
      </c>
      <c r="E60" s="3" t="inlineStr">
        <is>
          <t>54</t>
        </is>
      </c>
      <c r="F60" s="3" t="inlineStr">
        <is>
          <t>G7.3, G7.4</t>
        </is>
      </c>
      <c r="G60" s="3" t="inlineStr">
        <is>
          <t>Tổng 0, Tổng 1, Tổng 3, Tổng 5, Tổng 6, Tổng 8</t>
        </is>
      </c>
      <c r="H60" s="3" t="inlineStr">
        <is>
          <t>0123456789</t>
        </is>
      </c>
      <c r="I60" s="3" t="inlineStr">
        <is>
          <t>Tổng 5-Bóng 0</t>
        </is>
      </c>
      <c r="J60" s="3" t="n">
        <v>60</v>
      </c>
      <c r="K60" s="7" t="inlineStr">
        <is>
          <t>TRƯỢT ❌</t>
        </is>
      </c>
      <c r="L60" s="3" t="inlineStr">
        <is>
          <t>00, 03, 05, 08, 14, 17, 23, 32, 37, 38, 42, 50, 51, 53, 55, 60, 65, 78, 80, 83</t>
        </is>
      </c>
      <c r="M60" s="7" t="inlineStr">
        <is>
          <t>TRƯỢT ❌</t>
        </is>
      </c>
      <c r="N60" s="6" t="inlineStr">
        <is>
          <t>TRÚNG N3 🎯</t>
        </is>
      </c>
      <c r="O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1">
      <c r="A61" s="2" t="n">
        <v>176</v>
      </c>
      <c r="B61" s="2" t="inlineStr">
        <is>
          <t>Thứ ba ngày 30-06-2026</t>
        </is>
      </c>
      <c r="C61" s="3" t="inlineStr">
        <is>
          <t>Thứ Hai</t>
        </is>
      </c>
      <c r="D61" s="3" t="inlineStr">
        <is>
          <t>60468</t>
        </is>
      </c>
      <c r="E61" s="3" t="inlineStr">
        <is>
          <t>68</t>
        </is>
      </c>
      <c r="F61" s="3" t="inlineStr">
        <is>
          <t>G7.4, G7.2</t>
        </is>
      </c>
      <c r="G61" s="3" t="inlineStr">
        <is>
          <t>Tổng 2, Tổng 3, Tổng 4, Tổng 7, Tổng 8, Tổng 9</t>
        </is>
      </c>
      <c r="H61" s="3" t="inlineStr">
        <is>
          <t>02345789</t>
        </is>
      </c>
      <c r="I61" s="3" t="inlineStr">
        <is>
          <t>Tổng 9-Bóng 4</t>
        </is>
      </c>
      <c r="J61" s="3" t="n">
        <v>56</v>
      </c>
      <c r="K61" s="6" t="inlineStr">
        <is>
          <t>TRÚNG N1 🎯</t>
        </is>
      </c>
      <c r="L61" s="3" t="inlineStr">
        <is>
          <t>03, 04, 08, 13, 17, 36, 39, 40, 43, 52, 53, 54, 68, 80, 81, 84, 85, 89, 93, 94</t>
        </is>
      </c>
      <c r="M61" s="6" t="inlineStr">
        <is>
          <t>TRÚNG HỎA LỰC 🎯</t>
        </is>
      </c>
      <c r="N61" s="6" t="inlineStr">
        <is>
          <t>TRÚNG N1 🎯</t>
        </is>
      </c>
      <c r="O61" s="3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62">
      <c r="A62" s="2" t="n">
        <v>175</v>
      </c>
      <c r="B62" s="2" t="inlineStr">
        <is>
          <t>Thứ hai ngày 29-06-2026</t>
        </is>
      </c>
      <c r="C62" s="3" t="inlineStr">
        <is>
          <t>Chủ Nhật</t>
        </is>
      </c>
      <c r="D62" s="3" t="inlineStr">
        <is>
          <t>37642</t>
        </is>
      </c>
      <c r="E62" s="3" t="inlineStr">
        <is>
          <t>42</t>
        </is>
      </c>
      <c r="F62" s="3" t="inlineStr">
        <is>
          <t>G7.3, G7.4</t>
        </is>
      </c>
      <c r="G62" s="3" t="inlineStr">
        <is>
          <t>Tổng 0, Tổng 4, Tổng 5, Tổng 9</t>
        </is>
      </c>
      <c r="H62" s="3" t="inlineStr">
        <is>
          <t>01345689</t>
        </is>
      </c>
      <c r="I62" s="3" t="inlineStr">
        <is>
          <t>Tổng 4-Bóng 9</t>
        </is>
      </c>
      <c r="J62" s="3" t="n">
        <v>36</v>
      </c>
      <c r="K62" s="7" t="inlineStr">
        <is>
          <t>TRƯỢT ❌</t>
        </is>
      </c>
      <c r="L62" s="3" t="inlineStr">
        <is>
          <t>00, 04, 05, 13, 14, 23, 32, 36, 37, 40, 41, 50, 54, 55, 64, 68, 69, 78, 81, 91</t>
        </is>
      </c>
      <c r="M62" s="7" t="inlineStr">
        <is>
          <t>TRƯỢT ❌</t>
        </is>
      </c>
      <c r="N62" s="6" t="inlineStr">
        <is>
          <t>TRÚNG N2 🎯</t>
        </is>
      </c>
      <c r="O62" s="3" t="inlineStr">
        <is>
          <t>00, 04, 05, 09, 13, 14, 18, 19, 23, 28, 31, 32, 36, 37, 40, 41, 45, 46, 50, 54, 55, 59, 63, 64, 68, 69, 73, 78, 81, 82, 86, 87, 90, 91, 95, 96</t>
        </is>
      </c>
    </row>
    <row r="63">
      <c r="A63" s="2" t="n">
        <v>174</v>
      </c>
      <c r="B63" s="2" t="inlineStr">
        <is>
          <t>Chủ nhật ngày 28-06-2026</t>
        </is>
      </c>
      <c r="C63" s="3" t="inlineStr">
        <is>
          <t>Thứ Bảy</t>
        </is>
      </c>
      <c r="D63" s="3" t="inlineStr">
        <is>
          <t>12452</t>
        </is>
      </c>
      <c r="E63" s="3" t="inlineStr">
        <is>
          <t>52</t>
        </is>
      </c>
      <c r="F63" s="3" t="inlineStr">
        <is>
          <t>G7.1, G7.3</t>
        </is>
      </c>
      <c r="G63" s="3" t="inlineStr">
        <is>
          <t>Tổng 0, Tổng 2, Tổng 4, Tổng 5, Tổng 7, Tổng 9</t>
        </is>
      </c>
      <c r="H63" s="3" t="inlineStr">
        <is>
          <t>01345689</t>
        </is>
      </c>
      <c r="I63" s="3" t="inlineStr">
        <is>
          <t>Tổng 7-Bóng 2</t>
        </is>
      </c>
      <c r="J63" s="3" t="n">
        <v>56</v>
      </c>
      <c r="K63" s="6" t="inlineStr">
        <is>
          <t>TRÚNG N1 🎯</t>
        </is>
      </c>
      <c r="L63" s="3" t="inlineStr">
        <is>
          <t>00, 04, 05, 14, 16, 23, 32, 36, 37, 39, 43, 50, 54, 55, 64, 69, 78, 84, 89, 93</t>
        </is>
      </c>
      <c r="M63" s="7" t="inlineStr">
        <is>
          <t>TRƯỢT ❌</t>
        </is>
      </c>
      <c r="N63" s="6" t="inlineStr">
        <is>
          <t>TRÚNG N1 🎯</t>
        </is>
      </c>
      <c r="O63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64">
      <c r="A64" s="2" t="n">
        <v>173</v>
      </c>
      <c r="B64" s="2" t="inlineStr">
        <is>
          <t>Thứ bảy ngày 27-06-2026</t>
        </is>
      </c>
      <c r="C64" s="3" t="inlineStr">
        <is>
          <t>Thứ Sáu</t>
        </is>
      </c>
      <c r="D64" s="3" t="inlineStr">
        <is>
          <t>09253</t>
        </is>
      </c>
      <c r="E64" s="3" t="inlineStr">
        <is>
          <t>53</t>
        </is>
      </c>
      <c r="F64" s="3" t="inlineStr">
        <is>
          <t>G7.4, G7.1</t>
        </is>
      </c>
      <c r="G64" s="3" t="inlineStr">
        <is>
          <t>Tổng 0, Tổng 2, Tổng 5, Tổng 7</t>
        </is>
      </c>
      <c r="H64" s="3" t="inlineStr">
        <is>
          <t>02345789</t>
        </is>
      </c>
      <c r="I64" s="3" t="inlineStr">
        <is>
          <t>Tổng 0-Bóng 5</t>
        </is>
      </c>
      <c r="J64" s="3" t="n">
        <v>36</v>
      </c>
      <c r="K64" s="7" t="inlineStr">
        <is>
          <t>TRƯỢT ❌</t>
        </is>
      </c>
      <c r="L64" s="3" t="inlineStr">
        <is>
          <t>00, 05, 14, 23, 25, 32, 37, 39, 41, 43, 50, 55, 64, 69, 75, 78, 84, 89, 91, 93</t>
        </is>
      </c>
      <c r="M64" s="7" t="inlineStr">
        <is>
          <t>TRƯỢT ❌</t>
        </is>
      </c>
      <c r="N64" s="6" t="inlineStr">
        <is>
          <t>TRÚNG N2 🎯</t>
        </is>
      </c>
      <c r="O64" s="3" t="inlineStr">
        <is>
          <t>00, 02, 05, 07, 14, 19, 20, 23, 25, 28, 32, 34, 37, 39, 41, 43, 46, 48, 50, 52, 55, 57, 64, 69, 70, 73, 75, 78, 82, 84, 87, 89, 91, 93, 96, 98</t>
        </is>
      </c>
    </row>
    <row r="65">
      <c r="A65" s="2" t="n">
        <v>172</v>
      </c>
      <c r="B65" s="2" t="inlineStr">
        <is>
          <t>Thứ sáu ngày 26-06-2026</t>
        </is>
      </c>
      <c r="C65" s="3" t="inlineStr">
        <is>
          <t>Thứ Năm</t>
        </is>
      </c>
      <c r="D65" s="3" t="inlineStr">
        <is>
          <t>54804</t>
        </is>
      </c>
      <c r="E65" s="3" t="inlineStr">
        <is>
          <t>04</t>
        </is>
      </c>
      <c r="F65" s="3" t="inlineStr">
        <is>
          <t>G7.4, G7.1</t>
        </is>
      </c>
      <c r="G65" s="3" t="inlineStr">
        <is>
          <t>Tổng 0, Tổng 1, Tổng 3, Tổng 5, Tổng 6, Tổng 8</t>
        </is>
      </c>
      <c r="H65" s="3" t="inlineStr">
        <is>
          <t>013568</t>
        </is>
      </c>
      <c r="I65" s="3" t="inlineStr">
        <is>
          <t>Tổng 3-Bóng 8</t>
        </is>
      </c>
      <c r="J65" s="3" t="n">
        <v>48</v>
      </c>
      <c r="K65" s="7" t="inlineStr">
        <is>
          <t>TRƯỢT ❌</t>
        </is>
      </c>
      <c r="L65" s="3" t="inlineStr">
        <is>
          <t>00, 03, 05, 08, 14, 17, 23, 32, 37, 38, 50, 51, 53, 55, 60, 65, 69, 78, 80, 83</t>
        </is>
      </c>
      <c r="M65" s="7" t="inlineStr">
        <is>
          <t>TRƯỢT ❌</t>
        </is>
      </c>
      <c r="N65" s="6" t="inlineStr">
        <is>
          <t>TRÚNG N2 🎯</t>
        </is>
      </c>
      <c r="O65" s="3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66">
      <c r="A66" s="2" t="n">
        <v>171</v>
      </c>
      <c r="B66" s="2" t="inlineStr">
        <is>
          <t>Thứ năm ngày 25-06-2026</t>
        </is>
      </c>
      <c r="C66" s="3" t="inlineStr">
        <is>
          <t>Thứ Tư</t>
        </is>
      </c>
      <c r="D66" s="3" t="inlineStr">
        <is>
          <t>01816</t>
        </is>
      </c>
      <c r="E66" s="3" t="inlineStr">
        <is>
          <t>16</t>
        </is>
      </c>
      <c r="F66" s="3" t="inlineStr">
        <is>
          <t>G7.2, G7.4</t>
        </is>
      </c>
      <c r="G66" s="3" t="inlineStr">
        <is>
          <t>Tổng 0, Tổng 3, Tổng 4, Tổng 5, Tổng 8, Tổng 9</t>
        </is>
      </c>
      <c r="H66" s="3" t="inlineStr">
        <is>
          <t>0123456789</t>
        </is>
      </c>
      <c r="I66" s="3" t="inlineStr">
        <is>
          <t>Tổng 0-Bóng 5</t>
        </is>
      </c>
      <c r="J66" s="3" t="n">
        <v>60</v>
      </c>
      <c r="K66" s="7" t="inlineStr">
        <is>
          <t>TRƯỢT ❌</t>
        </is>
      </c>
      <c r="L66" s="3" t="inlineStr">
        <is>
          <t>00, 03, 04, 05, 08, 13, 14, 17, 23, 32, 36, 37, 50, 53, 54, 55, 64, 69, 78, 80</t>
        </is>
      </c>
      <c r="M66" s="7" t="inlineStr">
        <is>
          <t>TRƯỢT ❌</t>
        </is>
      </c>
      <c r="N66" s="6" t="inlineStr">
        <is>
          <t>TRÚNG N2 🎯</t>
        </is>
      </c>
      <c r="O6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67">
      <c r="A67" s="2" t="n">
        <v>170</v>
      </c>
      <c r="B67" s="2" t="inlineStr">
        <is>
          <t>Thứ tư ngày 24-06-2026</t>
        </is>
      </c>
      <c r="C67" s="3" t="inlineStr">
        <is>
          <t>Thứ Ba</t>
        </is>
      </c>
      <c r="D67" s="3" t="inlineStr">
        <is>
          <t>52751</t>
        </is>
      </c>
      <c r="E67" s="3" t="inlineStr">
        <is>
          <t>51</t>
        </is>
      </c>
      <c r="F67" s="3" t="inlineStr">
        <is>
          <t>G7.3, G7.4</t>
        </is>
      </c>
      <c r="G67" s="3" t="inlineStr">
        <is>
          <t>Tổng 0, Tổng 2, Tổng 3, Tổng 5, Tổng 7, Tổng 8</t>
        </is>
      </c>
      <c r="H67" s="3" t="inlineStr">
        <is>
          <t>12346789</t>
        </is>
      </c>
      <c r="I67" s="3" t="inlineStr">
        <is>
          <t>Tổng 5-Bóng 0</t>
        </is>
      </c>
      <c r="J67" s="3" t="n">
        <v>56</v>
      </c>
      <c r="K67" s="7" t="inlineStr">
        <is>
          <t>TRƯỢT ❌</t>
        </is>
      </c>
      <c r="L67" s="3" t="inlineStr">
        <is>
          <t>03, 08, 11, 14, 17, 23, 32, 37, 39, 43, 53, 61, 64, 69, 78, 80, 84, 89, 93, 94</t>
        </is>
      </c>
      <c r="M67" s="7" t="inlineStr">
        <is>
          <t>TRƯỢT ❌</t>
        </is>
      </c>
      <c r="N67" s="6" t="inlineStr">
        <is>
          <t>TRÚNG N2 🎯</t>
        </is>
      </c>
      <c r="O67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68">
      <c r="A68" s="2" t="n">
        <v>169</v>
      </c>
      <c r="B68" s="2" t="inlineStr">
        <is>
          <t>Thứ ba ngày 23-06-2026</t>
        </is>
      </c>
      <c r="C68" s="3" t="inlineStr">
        <is>
          <t>Thứ Hai</t>
        </is>
      </c>
      <c r="D68" s="3" t="inlineStr">
        <is>
          <t>50437</t>
        </is>
      </c>
      <c r="E68" s="3" t="inlineStr">
        <is>
          <t>37</t>
        </is>
      </c>
      <c r="F68" s="3" t="inlineStr">
        <is>
          <t>G7.2, G7.4</t>
        </is>
      </c>
      <c r="G68" s="3" t="inlineStr">
        <is>
          <t>Tổng 1, Tổng 4, Tổng 6, Tổng 9</t>
        </is>
      </c>
      <c r="H68" s="3" t="inlineStr">
        <is>
          <t>02345789</t>
        </is>
      </c>
      <c r="I68" s="3" t="inlineStr">
        <is>
          <t>Tổng 6-Bóng 1</t>
        </is>
      </c>
      <c r="J68" s="3" t="n">
        <v>40</v>
      </c>
      <c r="K68" s="7" t="inlineStr">
        <is>
          <t>TRƯỢT ❌</t>
        </is>
      </c>
      <c r="L68" s="3" t="inlineStr">
        <is>
          <t>04, 13, 22, 33, 36, 38, 40, 42, 47, 51, 54, 59, 60, 65, 68, 81, 83, 88, 92, 97</t>
        </is>
      </c>
      <c r="M68" s="7" t="inlineStr">
        <is>
          <t>TRƯỢT ❌</t>
        </is>
      </c>
      <c r="N68" s="6" t="inlineStr">
        <is>
          <t>TRÚNG N2 🎯</t>
        </is>
      </c>
      <c r="O68" s="3" t="inlineStr">
        <is>
          <t>01, 04, 06, 09, 10, 13, 15, 18, 22, 24, 27, 29, 31, 33, 36, 38, 40, 42, 45, 47, 51, 54, 56, 59, 60, 63, 65, 68, 72, 74, 77, 79, 81, 83, 86, 88, 90, 92, 95, 97</t>
        </is>
      </c>
    </row>
    <row r="69">
      <c r="A69" s="2" t="n">
        <v>168</v>
      </c>
      <c r="B69" s="2" t="inlineStr">
        <is>
          <t>Thứ hai ngày 22-06-2026</t>
        </is>
      </c>
      <c r="C69" s="3" t="inlineStr">
        <is>
          <t>Chủ Nhật</t>
        </is>
      </c>
      <c r="D69" s="3" t="inlineStr">
        <is>
          <t>62136</t>
        </is>
      </c>
      <c r="E69" s="3" t="inlineStr">
        <is>
          <t>36</t>
        </is>
      </c>
      <c r="F69" s="3" t="inlineStr">
        <is>
          <t>G7.3, G7.4</t>
        </is>
      </c>
      <c r="G69" s="3" t="inlineStr">
        <is>
          <t>Tổng 2, Tổng 4, Tổng 7, Tổng 9</t>
        </is>
      </c>
      <c r="H69" s="3" t="inlineStr">
        <is>
          <t>0123456789</t>
        </is>
      </c>
      <c r="I69" s="3" t="inlineStr">
        <is>
          <t>Tổng 2-Bóng 7</t>
        </is>
      </c>
      <c r="J69" s="3" t="n">
        <v>40</v>
      </c>
      <c r="K69" s="6" t="inlineStr">
        <is>
          <t>TRÚNG N1 🎯</t>
        </is>
      </c>
      <c r="L69" s="3" t="inlineStr">
        <is>
          <t>04, 11, 13, 20, 22, 25, 36, 39, 40, 43, 54, 59, 61, 66, 68, 75, 81, 84, 89, 93</t>
        </is>
      </c>
      <c r="M69" s="6" t="inlineStr">
        <is>
          <t>TRÚNG HỎA LỰC 🎯</t>
        </is>
      </c>
      <c r="N69" s="6" t="inlineStr">
        <is>
          <t>TRÚNG N1 🎯</t>
        </is>
      </c>
      <c r="O69" s="3" t="inlineStr">
        <is>
          <t>02, 04, 07, 09, 11, 13, 16, 18, 20, 22, 25, 27, 31, 34, 36, 39, 40, 43, 45, 48, 52, 54, 57, 59, 61, 63, 66, 68, 70, 72, 75, 77, 81, 84, 86, 89, 90, 93, 95, 98</t>
        </is>
      </c>
    </row>
    <row r="70">
      <c r="A70" s="2" t="n">
        <v>167</v>
      </c>
      <c r="B70" s="2" t="inlineStr">
        <is>
          <t>Chủ nhật ngày 21-06-2026</t>
        </is>
      </c>
      <c r="C70" s="3" t="inlineStr">
        <is>
          <t>Thứ Bảy</t>
        </is>
      </c>
      <c r="D70" s="3" t="inlineStr">
        <is>
          <t>28083</t>
        </is>
      </c>
      <c r="E70" s="3" t="inlineStr">
        <is>
          <t>83</t>
        </is>
      </c>
      <c r="F70" s="3" t="inlineStr">
        <is>
          <t>G7.1, G7.3</t>
        </is>
      </c>
      <c r="G70" s="3" t="inlineStr">
        <is>
          <t>Tổng 0, Tổng 2, Tổng 3, Tổng 5, Tổng 7, Tổng 8</t>
        </is>
      </c>
      <c r="H70" s="3" t="inlineStr">
        <is>
          <t>0123456789</t>
        </is>
      </c>
      <c r="I70" s="3" t="inlineStr">
        <is>
          <t>Tổng 7-Bóng 2</t>
        </is>
      </c>
      <c r="J70" s="3" t="n">
        <v>60</v>
      </c>
      <c r="K70" s="7" t="inlineStr">
        <is>
          <t>TRƯỢT ❌</t>
        </is>
      </c>
      <c r="L70" s="3" t="inlineStr">
        <is>
          <t>00, 03, 05, 08, 11, 14, 17, 21, 23, 32, 39, 43, 50, 53, 55, 78, 80, 84, 89, 93</t>
        </is>
      </c>
      <c r="M70" s="7" t="inlineStr">
        <is>
          <t>TRƯỢT ❌</t>
        </is>
      </c>
      <c r="N70" s="6" t="inlineStr">
        <is>
          <t>TRÚNG N3 🎯</t>
        </is>
      </c>
      <c r="O7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1">
      <c r="A71" s="2" t="n">
        <v>166</v>
      </c>
      <c r="B71" s="2" t="inlineStr">
        <is>
          <t>Thứ bảy ngày 20-06-2026</t>
        </is>
      </c>
      <c r="C71" s="3" t="inlineStr">
        <is>
          <t>Thứ Sáu</t>
        </is>
      </c>
      <c r="D71" s="3" t="inlineStr">
        <is>
          <t>54860</t>
        </is>
      </c>
      <c r="E71" s="3" t="inlineStr">
        <is>
          <t>60</t>
        </is>
      </c>
      <c r="F71" s="3" t="inlineStr">
        <is>
          <t>G7.4, G7.1</t>
        </is>
      </c>
      <c r="G71" s="3" t="inlineStr">
        <is>
          <t>Tổng 0, Tổng 3, Tổng 5, Tổng 8</t>
        </is>
      </c>
      <c r="H71" s="3" t="inlineStr">
        <is>
          <t>01345689</t>
        </is>
      </c>
      <c r="I71" s="3" t="inlineStr">
        <is>
          <t>Tổng 0-Bóng 5</t>
        </is>
      </c>
      <c r="J71" s="3" t="n">
        <v>40</v>
      </c>
      <c r="K71" s="7" t="inlineStr">
        <is>
          <t>TRƯỢT ❌</t>
        </is>
      </c>
      <c r="L71" s="3" t="inlineStr">
        <is>
          <t>00, 03, 05, 08, 14, 17, 21, 23, 32, 37, 50, 53, 55, 64, 69, 76, 78, 80, 85, 94</t>
        </is>
      </c>
      <c r="M71" s="7" t="inlineStr">
        <is>
          <t>TRƯỢT ❌</t>
        </is>
      </c>
      <c r="N71" s="7" t="inlineStr">
        <is>
          <t>TRƯỢT KHUNG ❌</t>
        </is>
      </c>
      <c r="O71" s="3" t="inlineStr">
        <is>
          <t>00, 03, 05, 08, 12, 14, 17, 19, 21, 23, 26, 28, 30, 32, 35, 37, 41, 44, 46, 49, 50, 53, 55, 58, 62, 64, 67, 69, 71, 73, 76, 78, 80, 82, 85, 87, 91, 94, 96, 99</t>
        </is>
      </c>
    </row>
    <row r="72">
      <c r="A72" s="2" t="n">
        <v>165</v>
      </c>
      <c r="B72" s="2" t="inlineStr">
        <is>
          <t>Thứ sáu ngày 19-06-2026</t>
        </is>
      </c>
      <c r="C72" s="3" t="inlineStr">
        <is>
          <t>Thứ Năm</t>
        </is>
      </c>
      <c r="D72" s="3" t="inlineStr">
        <is>
          <t>63155</t>
        </is>
      </c>
      <c r="E72" s="3" t="inlineStr">
        <is>
          <t>55</t>
        </is>
      </c>
      <c r="F72" s="3" t="inlineStr">
        <is>
          <t>G7.4, G7.1</t>
        </is>
      </c>
      <c r="G72" s="3" t="inlineStr">
        <is>
          <t>Tổng 1, Tổng 4, Tổng 6, Tổng 9</t>
        </is>
      </c>
      <c r="H72" s="3" t="inlineStr">
        <is>
          <t>013568</t>
        </is>
      </c>
      <c r="I72" s="3" t="inlineStr">
        <is>
          <t>Tổng 1-Bóng 6</t>
        </is>
      </c>
      <c r="J72" s="3" t="n">
        <v>28</v>
      </c>
      <c r="K72" s="7" t="inlineStr">
        <is>
          <t>TRƯỢT ❌</t>
        </is>
      </c>
      <c r="L72" s="3" t="inlineStr">
        <is>
          <t>04, 06, 13, 18, 31, 33, 36, 38, 40, 51, 54, 56, 59, 63, 65, 68, 81, 83, 88, 95</t>
        </is>
      </c>
      <c r="M72" s="7" t="inlineStr">
        <is>
          <t>TRƯỢT ❌</t>
        </is>
      </c>
      <c r="N72" s="6" t="inlineStr">
        <is>
          <t>TRÚNG N2 🎯</t>
        </is>
      </c>
      <c r="O72" s="3" t="inlineStr">
        <is>
          <t>01, 04, 06, 09, 10, 13, 15, 18, 31, 33, 36, 38, 40, 45, 51, 54, 56, 59, 60, 63, 65, 68, 81, 83, 86, 88, 90, 95</t>
        </is>
      </c>
    </row>
    <row r="73">
      <c r="A73" s="2" t="n">
        <v>164</v>
      </c>
      <c r="B73" s="2" t="inlineStr">
        <is>
          <t>Thứ năm ngày 18-06-2026</t>
        </is>
      </c>
      <c r="C73" s="3" t="inlineStr">
        <is>
          <t>Thứ Tư</t>
        </is>
      </c>
      <c r="D73" s="3" t="inlineStr">
        <is>
          <t>15032</t>
        </is>
      </c>
      <c r="E73" s="3" t="inlineStr">
        <is>
          <t>32</t>
        </is>
      </c>
      <c r="F73" s="3" t="inlineStr">
        <is>
          <t>G7.2, G7.1</t>
        </is>
      </c>
      <c r="G73" s="3" t="inlineStr">
        <is>
          <t>Tổng 2, Tổng 3, Tổng 4, Tổng 7, Tổng 8, Tổng 9</t>
        </is>
      </c>
      <c r="H73" s="3" t="inlineStr">
        <is>
          <t>124679</t>
        </is>
      </c>
      <c r="I73" s="3" t="inlineStr">
        <is>
          <t>Tổng 9-Bóng 4</t>
        </is>
      </c>
      <c r="J73" s="3" t="n">
        <v>52</v>
      </c>
      <c r="K73" s="7" t="inlineStr">
        <is>
          <t>TRƯỢT ❌</t>
        </is>
      </c>
      <c r="L73" s="3" t="inlineStr">
        <is>
          <t>04, 11, 13, 17, 21, 25, 36, 39, 43, 54, 59, 61, 68, 75, 76, 81, 84, 89, 93, 94</t>
        </is>
      </c>
      <c r="M73" s="7" t="inlineStr">
        <is>
          <t>TRƯỢT ❌</t>
        </is>
      </c>
      <c r="N73" s="7" t="inlineStr">
        <is>
          <t>TRƯỢT KHUNG ❌</t>
        </is>
      </c>
      <c r="O73" s="3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74">
      <c r="A74" s="2" t="n">
        <v>163</v>
      </c>
      <c r="B74" s="2" t="inlineStr">
        <is>
          <t>Thứ tư ngày 17-06-2026</t>
        </is>
      </c>
      <c r="C74" s="3" t="inlineStr">
        <is>
          <t>Thứ Ba</t>
        </is>
      </c>
      <c r="D74" s="3" t="inlineStr">
        <is>
          <t>71203</t>
        </is>
      </c>
      <c r="E74" s="3" t="inlineStr">
        <is>
          <t>03</t>
        </is>
      </c>
      <c r="F74" s="3" t="inlineStr">
        <is>
          <t>G7.3, G7.4</t>
        </is>
      </c>
      <c r="G74" s="3" t="inlineStr">
        <is>
          <t>Tổng 0, Tổng 1, Tổng 2, Tổng 5, Tổng 6, Tổng 7</t>
        </is>
      </c>
      <c r="H74" s="3" t="inlineStr">
        <is>
          <t>01245679</t>
        </is>
      </c>
      <c r="I74" s="3" t="inlineStr">
        <is>
          <t>Tổng 1-Bóng 6</t>
        </is>
      </c>
      <c r="J74" s="3" t="n">
        <v>56</v>
      </c>
      <c r="K74" s="7" t="inlineStr">
        <is>
          <t>TRƯỢT ❌</t>
        </is>
      </c>
      <c r="L74" s="3" t="inlineStr">
        <is>
          <t>00, 05, 11, 14, 23, 32, 37, 39, 42, 43, 50, 51, 61, 64, 65, 69, 78, 84, 89, 93</t>
        </is>
      </c>
      <c r="M74" s="7" t="inlineStr">
        <is>
          <t>TRƯỢT ❌</t>
        </is>
      </c>
      <c r="N74" s="6" t="inlineStr">
        <is>
          <t>TRÚNG N2 🎯</t>
        </is>
      </c>
      <c r="O74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75">
      <c r="A75" s="2" t="n">
        <v>162</v>
      </c>
      <c r="B75" s="2" t="inlineStr">
        <is>
          <t>Thứ ba ngày 16-06-2026</t>
        </is>
      </c>
      <c r="C75" s="3" t="inlineStr">
        <is>
          <t>Thứ Hai</t>
        </is>
      </c>
      <c r="D75" s="3" t="inlineStr">
        <is>
          <t>80384</t>
        </is>
      </c>
      <c r="E75" s="3" t="inlineStr">
        <is>
          <t>84</t>
        </is>
      </c>
      <c r="F75" s="3" t="inlineStr">
        <is>
          <t>G7.4, G7.2</t>
        </is>
      </c>
      <c r="G75" s="3" t="inlineStr">
        <is>
          <t>Tổng 0, Tổng 1, Tổng 4, Tổng 5, Tổng 6, Tổng 9</t>
        </is>
      </c>
      <c r="H75" s="3" t="inlineStr">
        <is>
          <t>01235678</t>
        </is>
      </c>
      <c r="I75" s="3" t="inlineStr">
        <is>
          <t>Tổng 6-Bóng 1</t>
        </is>
      </c>
      <c r="J75" s="3" t="n">
        <v>60</v>
      </c>
      <c r="K75" s="7" t="inlineStr">
        <is>
          <t>TRƯỢT ❌</t>
        </is>
      </c>
      <c r="L75" s="3" t="inlineStr">
        <is>
          <t>00, 04, 05, 13, 14, 23, 32, 36, 37, 42, 50, 51, 54, 55, 65, 68, 69, 78, 81, 83</t>
        </is>
      </c>
      <c r="M75" s="7" t="inlineStr">
        <is>
          <t>TRƯỢT ❌</t>
        </is>
      </c>
      <c r="N75" s="6" t="inlineStr">
        <is>
          <t>TRÚNG N3 🎯</t>
        </is>
      </c>
      <c r="O7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6">
      <c r="A76" s="2" t="n">
        <v>161</v>
      </c>
      <c r="B76" s="2" t="inlineStr">
        <is>
          <t>Thứ hai ngày 15-06-2026</t>
        </is>
      </c>
      <c r="C76" s="3" t="inlineStr">
        <is>
          <t>Chủ Nhật</t>
        </is>
      </c>
      <c r="D76" s="3" t="inlineStr">
        <is>
          <t>71680</t>
        </is>
      </c>
      <c r="E76" s="3" t="inlineStr">
        <is>
          <t>80</t>
        </is>
      </c>
      <c r="F76" s="3" t="inlineStr">
        <is>
          <t>G7.3, G7.1</t>
        </is>
      </c>
      <c r="G76" s="3" t="inlineStr">
        <is>
          <t>Tổng 0, Tổng 2, Tổng 5, Tổng 7</t>
        </is>
      </c>
      <c r="H76" s="3" t="inlineStr">
        <is>
          <t>134689</t>
        </is>
      </c>
      <c r="I76" s="3" t="inlineStr">
        <is>
          <t>Tổng 2-Bóng 7</t>
        </is>
      </c>
      <c r="J76" s="3" t="n">
        <v>28</v>
      </c>
      <c r="K76" s="7" t="inlineStr">
        <is>
          <t>TRƯỢT ❌</t>
        </is>
      </c>
      <c r="L76" s="3" t="inlineStr">
        <is>
          <t>11, 14, 23, 28, 32, 37, 39, 41, 43, 46, 48, 61, 64, 69, 78, 82, 84, 89, 91, 93</t>
        </is>
      </c>
      <c r="M76" s="7" t="inlineStr">
        <is>
          <t>TRƯỢT ❌</t>
        </is>
      </c>
      <c r="N76" s="6" t="inlineStr">
        <is>
          <t>TRÚNG N2 🎯</t>
        </is>
      </c>
      <c r="O76" s="3" t="inlineStr">
        <is>
          <t>11, 14, 16, 19, 23, 28, 32, 34, 37, 39, 41, 43, 46, 48, 61, 64, 66, 69, 73, 78, 82, 84, 87, 89, 91, 93, 96, 98</t>
        </is>
      </c>
    </row>
    <row r="77">
      <c r="A77" s="2" t="n">
        <v>160</v>
      </c>
      <c r="B77" s="2" t="inlineStr">
        <is>
          <t>Chủ nhật ngày 14-06-2026</t>
        </is>
      </c>
      <c r="C77" s="3" t="inlineStr">
        <is>
          <t>Thứ Bảy</t>
        </is>
      </c>
      <c r="D77" s="3" t="inlineStr">
        <is>
          <t>63000</t>
        </is>
      </c>
      <c r="E77" s="3" t="inlineStr">
        <is>
          <t>00</t>
        </is>
      </c>
      <c r="F77" s="3" t="inlineStr">
        <is>
          <t>G7.1, G7.3</t>
        </is>
      </c>
      <c r="G77" s="3" t="inlineStr">
        <is>
          <t>Tổng 1, Tổng 2, Tổng 6, Tổng 7</t>
        </is>
      </c>
      <c r="H77" s="3" t="inlineStr">
        <is>
          <t>0123456789</t>
        </is>
      </c>
      <c r="I77" s="3" t="inlineStr">
        <is>
          <t>Tổng 2-Bóng 7</t>
        </is>
      </c>
      <c r="J77" s="3" t="n">
        <v>40</v>
      </c>
      <c r="K77" s="7" t="inlineStr">
        <is>
          <t>TRƯỢT ❌</t>
        </is>
      </c>
      <c r="L77" s="3" t="inlineStr">
        <is>
          <t>11, 25, 33, 38, 39, 42, 43, 47, 48, 51, 61, 65, 75, 83, 84, 88, 89, 92, 93, 97</t>
        </is>
      </c>
      <c r="M77" s="7" t="inlineStr">
        <is>
          <t>TRƯỢT ❌</t>
        </is>
      </c>
      <c r="N77" s="6" t="inlineStr">
        <is>
          <t>TRÚNG N3 🎯</t>
        </is>
      </c>
      <c r="O77" s="3" t="inlineStr">
        <is>
          <t>01, 02, 06, 07, 10, 11, 15, 16, 20, 24, 25, 29, 33, 34, 38, 39, 42, 43, 47, 48, 51, 52, 56, 57, 60, 61, 65, 66, 70, 74, 75, 79, 83, 84, 88, 89, 92, 93, 97, 98</t>
        </is>
      </c>
    </row>
    <row r="78">
      <c r="A78" s="2" t="n">
        <v>159</v>
      </c>
      <c r="B78" s="2" t="inlineStr">
        <is>
          <t>Thứ bảy ngày 13-06-2026</t>
        </is>
      </c>
      <c r="C78" s="3" t="inlineStr">
        <is>
          <t>Thứ Sáu</t>
        </is>
      </c>
      <c r="D78" s="3" t="inlineStr">
        <is>
          <t>60014</t>
        </is>
      </c>
      <c r="E78" s="3" t="inlineStr">
        <is>
          <t>14</t>
        </is>
      </c>
      <c r="F78" s="3" t="inlineStr">
        <is>
          <t>G7.4, G7.1</t>
        </is>
      </c>
      <c r="G78" s="3" t="inlineStr">
        <is>
          <t>Tổng 1, Tổng 3, Tổng 4, Tổng 6, Tổng 8, Tổng 9</t>
        </is>
      </c>
      <c r="H78" s="3" t="inlineStr">
        <is>
          <t>12346789</t>
        </is>
      </c>
      <c r="I78" s="3" t="inlineStr">
        <is>
          <t>Tổng 4-Bóng 9</t>
        </is>
      </c>
      <c r="J78" s="3" t="n">
        <v>60</v>
      </c>
      <c r="K78" s="7" t="inlineStr">
        <is>
          <t>TRƯỢT ❌</t>
        </is>
      </c>
      <c r="L78" s="3" t="inlineStr">
        <is>
          <t>04, 08, 13, 17, 21, 35, 36, 38, 42, 47, 51, 53, 54, 65, 68, 76, 81, 83, 85, 94</t>
        </is>
      </c>
      <c r="M78" s="7" t="inlineStr">
        <is>
          <t>TRƯỢT ❌</t>
        </is>
      </c>
      <c r="N78" s="6" t="inlineStr">
        <is>
          <t>TRÚNG N3 🎯</t>
        </is>
      </c>
      <c r="O7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9">
      <c r="A79" s="2" t="n">
        <v>158</v>
      </c>
      <c r="B79" s="2" t="inlineStr">
        <is>
          <t>Thứ sáu ngày 12-06-2026</t>
        </is>
      </c>
      <c r="C79" s="3" t="inlineStr">
        <is>
          <t>Thứ Năm</t>
        </is>
      </c>
      <c r="D79" s="3" t="inlineStr">
        <is>
          <t>24889</t>
        </is>
      </c>
      <c r="E79" s="3" t="inlineStr">
        <is>
          <t>89</t>
        </is>
      </c>
      <c r="F79" s="3" t="inlineStr">
        <is>
          <t>G7.4, G7.1</t>
        </is>
      </c>
      <c r="G79" s="3" t="inlineStr">
        <is>
          <t>Tổng 1, Tổng 2, Tổng 4, Tổng 6, Tổng 7, Tổng 9</t>
        </is>
      </c>
      <c r="H79" s="3" t="inlineStr">
        <is>
          <t>01245679</t>
        </is>
      </c>
      <c r="I79" s="3" t="inlineStr">
        <is>
          <t>Tổng 6-Bóng 1</t>
        </is>
      </c>
      <c r="J79" s="3" t="n">
        <v>56</v>
      </c>
      <c r="K79" s="6" t="inlineStr">
        <is>
          <t>TRÚNG N1 🎯</t>
        </is>
      </c>
      <c r="L79" s="3" t="inlineStr">
        <is>
          <t>04, 11, 13, 25, 36, 39, 42, 43, 47, 48, 51, 54, 59, 61, 65, 68, 81, 84, 93, 97</t>
        </is>
      </c>
      <c r="M79" s="7" t="inlineStr">
        <is>
          <t>TRƯỢT ❌</t>
        </is>
      </c>
      <c r="N79" s="6" t="inlineStr">
        <is>
          <t>TRÚNG N1 🎯</t>
        </is>
      </c>
      <c r="O79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80">
      <c r="A80" s="2" t="n">
        <v>157</v>
      </c>
      <c r="B80" s="2" t="inlineStr">
        <is>
          <t>Thứ năm ngày 11-06-2026</t>
        </is>
      </c>
      <c r="C80" s="3" t="inlineStr">
        <is>
          <t>Thứ Tư</t>
        </is>
      </c>
      <c r="D80" s="3" t="inlineStr">
        <is>
          <t>99983</t>
        </is>
      </c>
      <c r="E80" s="3" t="inlineStr">
        <is>
          <t>83</t>
        </is>
      </c>
      <c r="F80" s="3" t="inlineStr">
        <is>
          <t>G7.2, G7.1</t>
        </is>
      </c>
      <c r="G80" s="3" t="inlineStr">
        <is>
          <t>Tổng 2, Tổng 4, Tổng 7, Tổng 9</t>
        </is>
      </c>
      <c r="H80" s="3" t="inlineStr">
        <is>
          <t>01235678</t>
        </is>
      </c>
      <c r="I80" s="3" t="inlineStr">
        <is>
          <t>Tổng 2-Bóng 7</t>
        </is>
      </c>
      <c r="J80" s="3" t="n">
        <v>40</v>
      </c>
      <c r="K80" s="7" t="inlineStr">
        <is>
          <t>TRƯỢT ❌</t>
        </is>
      </c>
      <c r="L80" s="3" t="inlineStr">
        <is>
          <t>04, 11, 13, 22, 25, 36, 39, 40, 43, 48, 54, 59, 61, 63, 68, 75, 81, 84, 93, 95</t>
        </is>
      </c>
      <c r="M80" s="7" t="inlineStr">
        <is>
          <t>TRƯỢT ❌</t>
        </is>
      </c>
      <c r="N80" s="6" t="inlineStr">
        <is>
          <t>TRÚNG N2 🎯</t>
        </is>
      </c>
      <c r="O80" s="3" t="inlineStr">
        <is>
          <t>02, 04, 07, 09, 11, 13, 16, 18, 20, 22, 25, 27, 31, 34, 36, 39, 40, 43, 45, 48, 52, 54, 57, 59, 61, 63, 66, 68, 70, 72, 75, 77, 81, 84, 86, 89, 90, 93, 95, 98</t>
        </is>
      </c>
    </row>
    <row r="81">
      <c r="A81" s="2" t="n">
        <v>156</v>
      </c>
      <c r="B81" s="2" t="inlineStr">
        <is>
          <t>Thứ tư ngày 10-06-2026</t>
        </is>
      </c>
      <c r="C81" s="3" t="inlineStr">
        <is>
          <t>Thứ Ba</t>
        </is>
      </c>
      <c r="D81" s="3" t="inlineStr">
        <is>
          <t>04308</t>
        </is>
      </c>
      <c r="E81" s="3" t="inlineStr">
        <is>
          <t>08</t>
        </is>
      </c>
      <c r="F81" s="3" t="inlineStr">
        <is>
          <t>G7.3, G7.4</t>
        </is>
      </c>
      <c r="G81" s="3" t="inlineStr">
        <is>
          <t>Tổng 0, Tổng 1, Tổng 3, Tổng 5, Tổng 6, Tổng 8</t>
        </is>
      </c>
      <c r="H81" s="3" t="inlineStr">
        <is>
          <t>01245679</t>
        </is>
      </c>
      <c r="I81" s="3" t="inlineStr">
        <is>
          <t>Tổng 0-Bóng 5</t>
        </is>
      </c>
      <c r="J81" s="3" t="n">
        <v>56</v>
      </c>
      <c r="K81" s="6" t="inlineStr">
        <is>
          <t>TRÚNG N1 🎯</t>
        </is>
      </c>
      <c r="L81" s="3" t="inlineStr">
        <is>
          <t>05, 14, 17, 21, 23, 32, 37, 41, 42, 50, 51, 53, 55, 64, 65, 69, 76, 78, 85, 94</t>
        </is>
      </c>
      <c r="M81" s="7" t="inlineStr">
        <is>
          <t>TRƯỢT ❌</t>
        </is>
      </c>
      <c r="N81" s="6" t="inlineStr">
        <is>
          <t>TRÚNG N1 🎯</t>
        </is>
      </c>
      <c r="O81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82">
      <c r="A82" s="2" t="n">
        <v>155</v>
      </c>
      <c r="B82" s="2" t="inlineStr">
        <is>
          <t>Thứ ba ngày 09-06-2026</t>
        </is>
      </c>
      <c r="C82" s="3" t="inlineStr">
        <is>
          <t>Thứ Hai</t>
        </is>
      </c>
      <c r="D82" s="3" t="inlineStr">
        <is>
          <t>07251</t>
        </is>
      </c>
      <c r="E82" s="3" t="inlineStr">
        <is>
          <t>51</t>
        </is>
      </c>
      <c r="F82" s="3" t="inlineStr">
        <is>
          <t>G7.4, G7.2</t>
        </is>
      </c>
      <c r="G82" s="3" t="inlineStr">
        <is>
          <t>Tổng 0, Tổng 2, Tổng 3, Tổng 5, Tổng 7, Tổng 8</t>
        </is>
      </c>
      <c r="H82" s="3" t="inlineStr">
        <is>
          <t>01235678</t>
        </is>
      </c>
      <c r="I82" s="3" t="inlineStr">
        <is>
          <t>Tổng 0-Bóng 5</t>
        </is>
      </c>
      <c r="J82" s="3" t="n">
        <v>56</v>
      </c>
      <c r="K82" s="7" t="inlineStr">
        <is>
          <t>TRƯỢT ❌</t>
        </is>
      </c>
      <c r="L82" s="3" t="inlineStr">
        <is>
          <t>05, 11, 14, 17, 21, 23, 32, 37, 39, 43, 50, 53, 55, 61, 69, 76, 78, 84, 85, 93</t>
        </is>
      </c>
      <c r="M82" s="7" t="inlineStr">
        <is>
          <t>TRƯỢT ❌</t>
        </is>
      </c>
      <c r="N82" s="6" t="inlineStr">
        <is>
          <t>TRÚNG N2 🎯</t>
        </is>
      </c>
      <c r="O82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83">
      <c r="A83" s="2" t="n">
        <v>154</v>
      </c>
      <c r="B83" s="2" t="inlineStr">
        <is>
          <t>Thứ hai ngày 08-06-2026</t>
        </is>
      </c>
      <c r="C83" s="3" t="inlineStr">
        <is>
          <t>Chủ Nhật</t>
        </is>
      </c>
      <c r="D83" s="3" t="inlineStr">
        <is>
          <t>53505</t>
        </is>
      </c>
      <c r="E83" s="3" t="inlineStr">
        <is>
          <t>05</t>
        </is>
      </c>
      <c r="F83" s="3" t="inlineStr">
        <is>
          <t>G7.3, G7.1</t>
        </is>
      </c>
      <c r="G83" s="3" t="inlineStr">
        <is>
          <t>Tổng 0, Tổng 4, Tổng 5, Tổng 9</t>
        </is>
      </c>
      <c r="H83" s="3" t="inlineStr">
        <is>
          <t>014569</t>
        </is>
      </c>
      <c r="I83" s="3" t="inlineStr">
        <is>
          <t>Tổng 5-Bóng 0</t>
        </is>
      </c>
      <c r="J83" s="3" t="n">
        <v>28</v>
      </c>
      <c r="K83" s="6" t="inlineStr">
        <is>
          <t>TRÚNG N1 🎯</t>
        </is>
      </c>
      <c r="L83" s="3" t="inlineStr">
        <is>
          <t>00, 04, 13, 14, 18, 36, 40, 41, 46, 50, 54, 55, 59, 63, 64, 68, 69, 81, 91, 95</t>
        </is>
      </c>
      <c r="M83" s="7" t="inlineStr">
        <is>
          <t>TRƯỢT ❌</t>
        </is>
      </c>
      <c r="N83" s="6" t="inlineStr">
        <is>
          <t>TRÚNG N1 🎯</t>
        </is>
      </c>
      <c r="O83" s="3" t="inlineStr">
        <is>
          <t>00, 04, 05, 09, 13, 14, 18, 19, 31, 36, 40, 41, 45, 46, 50, 54, 55, 59, 63, 64, 68, 69, 81, 86, 90, 91, 95, 96</t>
        </is>
      </c>
    </row>
    <row r="84">
      <c r="A84" s="2" t="n">
        <v>153</v>
      </c>
      <c r="B84" s="2" t="inlineStr">
        <is>
          <t>Chủ nhật ngày 07-06-2026</t>
        </is>
      </c>
      <c r="C84" s="3" t="inlineStr">
        <is>
          <t>Thứ Bảy</t>
        </is>
      </c>
      <c r="D84" s="3" t="inlineStr">
        <is>
          <t>15393</t>
        </is>
      </c>
      <c r="E84" s="3" t="inlineStr">
        <is>
          <t>93</t>
        </is>
      </c>
      <c r="F84" s="3" t="inlineStr">
        <is>
          <t>G7.1, G7.3</t>
        </is>
      </c>
      <c r="G84" s="3" t="inlineStr">
        <is>
          <t>Tổng 0, Tổng 2, Tổng 3, Tổng 5, Tổng 7, Tổng 8</t>
        </is>
      </c>
      <c r="H84" s="3" t="inlineStr">
        <is>
          <t>0123456789</t>
        </is>
      </c>
      <c r="I84" s="3" t="inlineStr">
        <is>
          <t>Tổng 7-Bóng 2</t>
        </is>
      </c>
      <c r="J84" s="3" t="n">
        <v>60</v>
      </c>
      <c r="K84" s="6" t="inlineStr">
        <is>
          <t>TRÚNG N1 🎯</t>
        </is>
      </c>
      <c r="L84" s="3" t="inlineStr">
        <is>
          <t>11, 14, 17, 21, 23, 25, 32, 37, 39, 43, 50, 53, 55, 61, 69, 76, 78, 84, 85, 94</t>
        </is>
      </c>
      <c r="M84" s="7" t="inlineStr">
        <is>
          <t>TRƯỢT ❌</t>
        </is>
      </c>
      <c r="N84" s="6" t="inlineStr">
        <is>
          <t>TRÚNG N1 🎯</t>
        </is>
      </c>
      <c r="O8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5">
      <c r="A85" s="2" t="n">
        <v>152</v>
      </c>
      <c r="B85" s="2" t="inlineStr">
        <is>
          <t>Thứ bảy ngày 06-06-2026</t>
        </is>
      </c>
      <c r="C85" s="3" t="inlineStr">
        <is>
          <t>Thứ Sáu</t>
        </is>
      </c>
      <c r="D85" s="3" t="inlineStr">
        <is>
          <t>33465</t>
        </is>
      </c>
      <c r="E85" s="3" t="inlineStr">
        <is>
          <t>65</t>
        </is>
      </c>
      <c r="F85" s="3" t="inlineStr">
        <is>
          <t>G7.4, G7.1</t>
        </is>
      </c>
      <c r="G85" s="3" t="inlineStr">
        <is>
          <t>Tổng 0, Tổng 3, Tổng 5, Tổng 8</t>
        </is>
      </c>
      <c r="H85" s="3" t="inlineStr">
        <is>
          <t>01245679</t>
        </is>
      </c>
      <c r="I85" s="3" t="inlineStr">
        <is>
          <t>Tổng 0-Bóng 5</t>
        </is>
      </c>
      <c r="J85" s="3" t="n">
        <v>40</v>
      </c>
      <c r="K85" s="7" t="inlineStr">
        <is>
          <t>TRƯỢT ❌</t>
        </is>
      </c>
      <c r="L85" s="3" t="inlineStr">
        <is>
          <t>00, 12, 14, 17, 21, 23, 28, 32, 35, 37, 50, 53, 55, 64, 69, 76, 78, 82, 85, 94</t>
        </is>
      </c>
      <c r="M85" s="7" t="inlineStr">
        <is>
          <t>TRƯỢT ❌</t>
        </is>
      </c>
      <c r="N85" s="6" t="inlineStr">
        <is>
          <t>TRÚNG N3 🎯</t>
        </is>
      </c>
      <c r="O85" s="3" t="inlineStr">
        <is>
          <t>00, 03, 05, 08, 12, 14, 17, 19, 21, 23, 26, 28, 30, 32, 35, 37, 41, 44, 46, 49, 50, 53, 55, 58, 62, 64, 67, 69, 71, 73, 76, 78, 80, 82, 85, 87, 91, 94, 96, 99</t>
        </is>
      </c>
    </row>
    <row r="86">
      <c r="A86" s="2" t="n">
        <v>151</v>
      </c>
      <c r="B86" s="2" t="inlineStr">
        <is>
          <t>Thứ sáu ngày 05-06-2026</t>
        </is>
      </c>
      <c r="C86" s="3" t="inlineStr">
        <is>
          <t>Thứ Năm</t>
        </is>
      </c>
      <c r="D86" s="3" t="inlineStr">
        <is>
          <t>74978</t>
        </is>
      </c>
      <c r="E86" s="3" t="inlineStr">
        <is>
          <t>78</t>
        </is>
      </c>
      <c r="F86" s="3" t="inlineStr">
        <is>
          <t>G7.4, G7.1</t>
        </is>
      </c>
      <c r="G86" s="3" t="inlineStr">
        <is>
          <t>Tổng 1, Tổng 2, Tổng 4, Tổng 6, Tổng 7, Tổng 9</t>
        </is>
      </c>
      <c r="H86" s="3" t="inlineStr">
        <is>
          <t>01235678</t>
        </is>
      </c>
      <c r="I86" s="3" t="inlineStr">
        <is>
          <t>Tổng 9-Bóng 4</t>
        </is>
      </c>
      <c r="J86" s="3" t="n">
        <v>60</v>
      </c>
      <c r="K86" s="7" t="inlineStr">
        <is>
          <t>TRƯỢT ❌</t>
        </is>
      </c>
      <c r="L86" s="3" t="inlineStr">
        <is>
          <t>04, 11, 13, 25, 33, 36, 38, 39, 40, 42, 43, 47, 54, 59, 61, 68, 81, 83, 84, 92</t>
        </is>
      </c>
      <c r="M86" s="7" t="inlineStr">
        <is>
          <t>TRƯỢT ❌</t>
        </is>
      </c>
      <c r="N86" s="6" t="inlineStr">
        <is>
          <t>TRÚNG N2 🎯</t>
        </is>
      </c>
      <c r="O8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7">
      <c r="A87" s="2" t="n">
        <v>150</v>
      </c>
      <c r="B87" s="2" t="inlineStr">
        <is>
          <t>Thứ năm ngày 04-06-2026</t>
        </is>
      </c>
      <c r="C87" s="3" t="inlineStr">
        <is>
          <t>Thứ Tư</t>
        </is>
      </c>
      <c r="D87" s="3" t="inlineStr">
        <is>
          <t>05583</t>
        </is>
      </c>
      <c r="E87" s="3" t="inlineStr">
        <is>
          <t>83</t>
        </is>
      </c>
      <c r="F87" s="3" t="inlineStr">
        <is>
          <t>G7.2, G7.1</t>
        </is>
      </c>
      <c r="G87" s="3" t="inlineStr">
        <is>
          <t>Tổng 2, Tổng 4, Tổng 7, Tổng 9</t>
        </is>
      </c>
      <c r="H87" s="3" t="inlineStr">
        <is>
          <t>02345789</t>
        </is>
      </c>
      <c r="I87" s="3" t="inlineStr">
        <is>
          <t>Tổng 9-Bóng 4</t>
        </is>
      </c>
      <c r="J87" s="3" t="n">
        <v>36</v>
      </c>
      <c r="K87" s="7" t="inlineStr">
        <is>
          <t>TRƯỢT ❌</t>
        </is>
      </c>
      <c r="L87" s="3" t="inlineStr">
        <is>
          <t>04, 13, 20, 22, 25, 36, 39, 40, 43, 48, 52, 54, 59, 63, 68, 70, 75, 81, 84, 95</t>
        </is>
      </c>
      <c r="M87" s="7" t="inlineStr">
        <is>
          <t>TRƯỢT ❌</t>
        </is>
      </c>
      <c r="N87" s="7" t="inlineStr">
        <is>
          <t>TRƯỢT KHUNG ❌</t>
        </is>
      </c>
      <c r="O87" s="3" t="inlineStr">
        <is>
          <t>02, 04, 07, 09, 13, 18, 20, 22, 25, 27, 31, 34, 36, 39, 40, 43, 45, 48, 52, 54, 57, 59, 63, 68, 70, 72, 75, 77, 81, 84, 86, 89, 90, 93, 95, 98</t>
        </is>
      </c>
    </row>
    <row r="88">
      <c r="A88" s="2" t="n">
        <v>149</v>
      </c>
      <c r="B88" s="2" t="inlineStr">
        <is>
          <t>Thứ tư ngày 03-06-2026</t>
        </is>
      </c>
      <c r="C88" s="3" t="inlineStr">
        <is>
          <t>Thứ Ba</t>
        </is>
      </c>
      <c r="D88" s="3" t="inlineStr">
        <is>
          <t>02636</t>
        </is>
      </c>
      <c r="E88" s="3" t="inlineStr">
        <is>
          <t>36</t>
        </is>
      </c>
      <c r="F88" s="3" t="inlineStr">
        <is>
          <t>G7.3, G7.4</t>
        </is>
      </c>
      <c r="G88" s="3" t="inlineStr">
        <is>
          <t>Tổng 0, Tổng 1, Tổng 5, Tổng 6</t>
        </is>
      </c>
      <c r="H88" s="3" t="inlineStr">
        <is>
          <t>02345789</t>
        </is>
      </c>
      <c r="I88" s="3" t="inlineStr">
        <is>
          <t>Tổng 0-Bóng 5</t>
        </is>
      </c>
      <c r="J88" s="3" t="n">
        <v>40</v>
      </c>
      <c r="K88" s="7" t="inlineStr">
        <is>
          <t>TRƯỢT ❌</t>
        </is>
      </c>
      <c r="L88" s="3" t="inlineStr">
        <is>
          <t>00, 06, 14, 23, 28, 32, 33, 37, 38, 41, 42, 47, 50, 51, 55, 64, 69, 82, 92, 97</t>
        </is>
      </c>
      <c r="M88" s="7" t="inlineStr">
        <is>
          <t>TRƯỢT ❌</t>
        </is>
      </c>
      <c r="N88" s="6" t="inlineStr">
        <is>
          <t>TRÚNG N2 🎯</t>
        </is>
      </c>
      <c r="O88" s="3" t="inlineStr">
        <is>
          <t>00, 01, 05, 06, 10, 14, 15, 19, 23, 24, 28, 29, 32, 33, 37, 38, 41, 42, 46, 47, 50, 51, 55, 56, 60, 64, 65, 69, 73, 74, 78, 79, 82, 83, 87, 88, 91, 92, 96, 97</t>
        </is>
      </c>
    </row>
    <row r="89">
      <c r="A89" s="2" t="n">
        <v>148</v>
      </c>
      <c r="B89" s="2" t="inlineStr">
        <is>
          <t>Thứ ba ngày 02-06-2026</t>
        </is>
      </c>
      <c r="C89" s="3" t="inlineStr">
        <is>
          <t>Thứ Hai</t>
        </is>
      </c>
      <c r="D89" s="3" t="inlineStr">
        <is>
          <t>73823</t>
        </is>
      </c>
      <c r="E89" s="3" t="inlineStr">
        <is>
          <t>23</t>
        </is>
      </c>
      <c r="F89" s="3" t="inlineStr">
        <is>
          <t>G7.4, G7.2</t>
        </is>
      </c>
      <c r="G89" s="3" t="inlineStr">
        <is>
          <t>Tổng 1, Tổng 3, Tổng 4, Tổng 6, Tổng 8, Tổng 9</t>
        </is>
      </c>
      <c r="H89" s="3" t="inlineStr">
        <is>
          <t>01245679</t>
        </is>
      </c>
      <c r="I89" s="3" t="inlineStr">
        <is>
          <t>Tổng 4-Bóng 9</t>
        </is>
      </c>
      <c r="J89" s="3" t="n">
        <v>56</v>
      </c>
      <c r="K89" s="7" t="inlineStr">
        <is>
          <t>TRƯỢT ❌</t>
        </is>
      </c>
      <c r="L89" s="3" t="inlineStr">
        <is>
          <t>04, 12, 13, 17, 21, 35, 40, 42, 47, 51, 53, 54, 59, 68, 76, 81, 85, 92, 94, 97</t>
        </is>
      </c>
      <c r="M89" s="7" t="inlineStr">
        <is>
          <t>TRƯỢT ❌</t>
        </is>
      </c>
      <c r="N89" s="6" t="inlineStr">
        <is>
          <t>TRÚNG N2 🎯</t>
        </is>
      </c>
      <c r="O89" s="3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90">
      <c r="A90" s="2" t="n">
        <v>147</v>
      </c>
      <c r="B90" s="2" t="inlineStr">
        <is>
          <t>Thứ hai ngày 01-06-2026</t>
        </is>
      </c>
      <c r="C90" s="3" t="inlineStr">
        <is>
          <t>Chủ Nhật</t>
        </is>
      </c>
      <c r="D90" s="3" t="inlineStr">
        <is>
          <t>90353</t>
        </is>
      </c>
      <c r="E90" s="3" t="inlineStr">
        <is>
          <t>53</t>
        </is>
      </c>
      <c r="F90" s="3" t="inlineStr">
        <is>
          <t>G7.3, G7.1</t>
        </is>
      </c>
      <c r="G90" s="3" t="inlineStr">
        <is>
          <t>Tổng 0, Tổng 1, Tổng 4, Tổng 5, Tổng 6, Tổng 9</t>
        </is>
      </c>
      <c r="H90" s="3" t="inlineStr">
        <is>
          <t>12346789</t>
        </is>
      </c>
      <c r="I90" s="3" t="inlineStr">
        <is>
          <t>Tổng 1-Bóng 6</t>
        </is>
      </c>
      <c r="J90" s="3" t="n">
        <v>56</v>
      </c>
      <c r="K90" s="7" t="inlineStr">
        <is>
          <t>TRƯỢT ❌</t>
        </is>
      </c>
      <c r="L90" s="3" t="inlineStr">
        <is>
          <t>04, 13, 14, 23, 32, 33, 37, 38, 40, 41, 42, 47, 51, 54, 59, 64, 68, 69, 81, 92</t>
        </is>
      </c>
      <c r="M90" s="7" t="inlineStr">
        <is>
          <t>TRƯỢT ❌</t>
        </is>
      </c>
      <c r="N90" s="6" t="inlineStr">
        <is>
          <t>TRÚNG N2 🎯</t>
        </is>
      </c>
      <c r="O90" s="3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91">
      <c r="A91" s="2" t="n">
        <v>146</v>
      </c>
      <c r="B91" s="2" t="inlineStr">
        <is>
          <t>Chủ nhật ngày 31-05-2026</t>
        </is>
      </c>
      <c r="C91" s="3" t="inlineStr">
        <is>
          <t>Thứ Bảy</t>
        </is>
      </c>
      <c r="D91" s="3" t="inlineStr">
        <is>
          <t>24042</t>
        </is>
      </c>
      <c r="E91" s="3" t="inlineStr">
        <is>
          <t>42</t>
        </is>
      </c>
      <c r="F91" s="3" t="inlineStr">
        <is>
          <t>G7.1, G7.3</t>
        </is>
      </c>
      <c r="G91" s="3" t="inlineStr">
        <is>
          <t>Tổng 0, Tổng 1, Tổng 4, Tổng 5, Tổng 6, Tổng 9</t>
        </is>
      </c>
      <c r="H91" s="3" t="inlineStr">
        <is>
          <t>014569</t>
        </is>
      </c>
      <c r="I91" s="3" t="inlineStr">
        <is>
          <t>Tổng 9-Bóng 4</t>
        </is>
      </c>
      <c r="J91" s="3" t="n">
        <v>44</v>
      </c>
      <c r="K91" s="6" t="inlineStr">
        <is>
          <t>TRÚNG N1 🎯</t>
        </is>
      </c>
      <c r="L91" s="3" t="inlineStr">
        <is>
          <t>00, 04, 06, 13, 14, 40, 41, 47, 50, 51, 54, 55, 59, 63, 64, 68, 69, 81, 92, 97</t>
        </is>
      </c>
      <c r="M91" s="7" t="inlineStr">
        <is>
          <t>TRƯỢT ❌</t>
        </is>
      </c>
      <c r="N91" s="6" t="inlineStr">
        <is>
          <t>TRÚNG N1 🎯</t>
        </is>
      </c>
      <c r="O91" s="3" t="inlineStr">
        <is>
          <t>00, 01, 04, 05, 06, 09, 10, 13, 14, 15, 18, 19, 24, 29, 31, 36, 40, 41, 42, 45, 46, 47, 50, 51, 54, 55, 56, 59, 60, 63, 64, 65, 68, 69, 74, 79, 81, 86, 90, 91, 92, 95, 96, 97</t>
        </is>
      </c>
    </row>
    <row r="92">
      <c r="A92" s="2" t="n">
        <v>145</v>
      </c>
      <c r="B92" s="2" t="inlineStr">
        <is>
          <t>Thứ bảy ngày 30-05-2026</t>
        </is>
      </c>
      <c r="C92" s="3" t="inlineStr">
        <is>
          <t>Thứ Sáu</t>
        </is>
      </c>
      <c r="D92" s="3" t="inlineStr">
        <is>
          <t>17743</t>
        </is>
      </c>
      <c r="E92" s="3" t="inlineStr">
        <is>
          <t>43</t>
        </is>
      </c>
      <c r="F92" s="3" t="inlineStr">
        <is>
          <t>G7.4, G7.1</t>
        </is>
      </c>
      <c r="G92" s="3" t="inlineStr">
        <is>
          <t>Tổng 1, Tổng 3, Tổng 4, Tổng 6, Tổng 8, Tổng 9</t>
        </is>
      </c>
      <c r="H92" s="3" t="inlineStr">
        <is>
          <t>123678</t>
        </is>
      </c>
      <c r="I92" s="3" t="inlineStr">
        <is>
          <t>Tổng 4-Bóng 9</t>
        </is>
      </c>
      <c r="J92" s="3" t="n">
        <v>48</v>
      </c>
      <c r="K92" s="7" t="inlineStr">
        <is>
          <t>TRƯỢT ❌</t>
        </is>
      </c>
      <c r="L92" s="3" t="inlineStr">
        <is>
          <t>06, 12, 13, 17, 21, 24, 33, 35, 38, 47, 51, 63, 67, 68, 76, 81, 85, 88, 92, 97</t>
        </is>
      </c>
      <c r="M92" s="7" t="inlineStr">
        <is>
          <t>TRƯỢT ❌</t>
        </is>
      </c>
      <c r="N92" s="6" t="inlineStr">
        <is>
          <t>TRÚNG N2 🎯</t>
        </is>
      </c>
      <c r="O92" s="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93">
      <c r="A93" s="2" t="n">
        <v>144</v>
      </c>
      <c r="B93" s="2" t="inlineStr">
        <is>
          <t>Thứ sáu ngày 29-05-2026</t>
        </is>
      </c>
      <c r="C93" s="3" t="inlineStr">
        <is>
          <t>Thứ Năm</t>
        </is>
      </c>
      <c r="D93" s="3" t="inlineStr">
        <is>
          <t>77954</t>
        </is>
      </c>
      <c r="E93" s="3" t="inlineStr">
        <is>
          <t>54</t>
        </is>
      </c>
      <c r="F93" s="3" t="inlineStr">
        <is>
          <t>G7.4, G7.1</t>
        </is>
      </c>
      <c r="G93" s="3" t="inlineStr">
        <is>
          <t>Tổng 0, Tổng 2, Tổng 3, Tổng 5, Tổng 7, Tổng 8</t>
        </is>
      </c>
      <c r="H93" s="3" t="inlineStr">
        <is>
          <t>014569</t>
        </is>
      </c>
      <c r="I93" s="3" t="inlineStr">
        <is>
          <t>Tổng 0-Bóng 5</t>
        </is>
      </c>
      <c r="J93" s="3" t="n">
        <v>52</v>
      </c>
      <c r="K93" s="7" t="inlineStr">
        <is>
          <t>TRƯỢT ❌</t>
        </is>
      </c>
      <c r="L93" s="3" t="inlineStr">
        <is>
          <t>11, 12, 14, 17, 21, 25, 39, 41, 48, 50, 55, 61, 64, 69, 75, 76, 84, 85, 91, 94</t>
        </is>
      </c>
      <c r="M93" s="7" t="inlineStr">
        <is>
          <t>TRƯỢT ❌</t>
        </is>
      </c>
      <c r="N93" s="6" t="inlineStr">
        <is>
          <t>TRÚNG N2 🎯</t>
        </is>
      </c>
      <c r="O93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94">
      <c r="A94" s="2" t="n">
        <v>143</v>
      </c>
      <c r="B94" s="2" t="inlineStr">
        <is>
          <t>Thứ năm ngày 28-05-2026</t>
        </is>
      </c>
      <c r="C94" s="3" t="inlineStr">
        <is>
          <t>Thứ Tư</t>
        </is>
      </c>
      <c r="D94" s="3" t="inlineStr">
        <is>
          <t>00250</t>
        </is>
      </c>
      <c r="E94" s="3" t="inlineStr">
        <is>
          <t>50</t>
        </is>
      </c>
      <c r="F94" s="3" t="inlineStr">
        <is>
          <t>G7.2, G7.3</t>
        </is>
      </c>
      <c r="G94" s="3" t="inlineStr">
        <is>
          <t>Tổng 2, Tổng 4, Tổng 7, Tổng 9</t>
        </is>
      </c>
      <c r="H94" s="3" t="inlineStr">
        <is>
          <t>01245679</t>
        </is>
      </c>
      <c r="I94" s="3" t="inlineStr">
        <is>
          <t>Tổng 9-Bóng 4</t>
        </is>
      </c>
      <c r="J94" s="3" t="n">
        <v>40</v>
      </c>
      <c r="K94" s="7" t="inlineStr">
        <is>
          <t>TRƯỢT ❌</t>
        </is>
      </c>
      <c r="L94" s="3" t="inlineStr">
        <is>
          <t>04, 11, 13, 20, 22, 25, 39, 40, 43, 48, 54, 59, 61, 63, 66, 68, 75, 81, 84, 95</t>
        </is>
      </c>
      <c r="M94" s="7" t="inlineStr">
        <is>
          <t>TRƯỢT ❌</t>
        </is>
      </c>
      <c r="N94" s="6" t="inlineStr">
        <is>
          <t>TRÚNG N2 🎯</t>
        </is>
      </c>
      <c r="O94" s="3" t="inlineStr">
        <is>
          <t>02, 04, 07, 09, 11, 13, 16, 18, 20, 22, 25, 27, 31, 34, 36, 39, 40, 43, 45, 48, 52, 54, 57, 59, 61, 63, 66, 68, 70, 72, 75, 77, 81, 84, 86, 89, 90, 93, 95, 98</t>
        </is>
      </c>
    </row>
    <row r="95">
      <c r="A95" s="2" t="n">
        <v>142</v>
      </c>
      <c r="B95" s="2" t="inlineStr">
        <is>
          <t>Thứ tư ngày 27-05-2026</t>
        </is>
      </c>
      <c r="C95" s="3" t="inlineStr">
        <is>
          <t>Thứ Ba</t>
        </is>
      </c>
      <c r="D95" s="3" t="inlineStr">
        <is>
          <t>61513</t>
        </is>
      </c>
      <c r="E95" s="3" t="inlineStr">
        <is>
          <t>13</t>
        </is>
      </c>
      <c r="F95" s="3" t="inlineStr">
        <is>
          <t>G7.3, G7.4</t>
        </is>
      </c>
      <c r="G95" s="3" t="inlineStr">
        <is>
          <t>Tổng 0, Tổng 3, Tổng 4, Tổng 5, Tổng 8, Tổng 9</t>
        </is>
      </c>
      <c r="H95" s="3" t="inlineStr">
        <is>
          <t>12346789</t>
        </is>
      </c>
      <c r="I95" s="3" t="inlineStr">
        <is>
          <t>Tổng 8-Bóng 3</t>
        </is>
      </c>
      <c r="J95" s="3" t="n">
        <v>56</v>
      </c>
      <c r="K95" s="6" t="inlineStr">
        <is>
          <t>TRÚNG N1 🎯</t>
        </is>
      </c>
      <c r="L95" s="3" t="inlineStr">
        <is>
          <t>04, 12, 14, 17, 21, 23, 32, 37, 40, 41, 54, 59, 64, 68, 69, 76, 81, 85, 91, 94</t>
        </is>
      </c>
      <c r="M95" s="7" t="inlineStr">
        <is>
          <t>TRƯỢT ❌</t>
        </is>
      </c>
      <c r="N95" s="6" t="inlineStr">
        <is>
          <t>TRÚNG N1 🎯</t>
        </is>
      </c>
      <c r="O95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96">
      <c r="A96" s="2" t="n">
        <v>141</v>
      </c>
      <c r="B96" s="2" t="inlineStr">
        <is>
          <t>Thứ ba ngày 26-05-2026</t>
        </is>
      </c>
      <c r="C96" s="3" t="inlineStr">
        <is>
          <t>Thứ Hai</t>
        </is>
      </c>
      <c r="D96" s="3" t="inlineStr">
        <is>
          <t>49111</t>
        </is>
      </c>
      <c r="E96" s="3" t="inlineStr">
        <is>
          <t>11</t>
        </is>
      </c>
      <c r="F96" s="3" t="inlineStr">
        <is>
          <t>G7.4, G7.2</t>
        </is>
      </c>
      <c r="G96" s="3" t="inlineStr">
        <is>
          <t>Tổng 0, Tổng 2, Tổng 5, Tổng 7</t>
        </is>
      </c>
      <c r="H96" s="3" t="inlineStr">
        <is>
          <t>01345689</t>
        </is>
      </c>
      <c r="I96" s="3" t="inlineStr">
        <is>
          <t>Tổng 5-Bóng 0</t>
        </is>
      </c>
      <c r="J96" s="3" t="n">
        <v>40</v>
      </c>
      <c r="K96" s="6" t="inlineStr">
        <is>
          <t>TRÚNG N1 🎯</t>
        </is>
      </c>
      <c r="L96" s="3" t="inlineStr">
        <is>
          <t>14, 20, 23, 25, 28, 32, 37, 39, 41, 48, 50, 55, 61, 64, 66, 69, 75, 82, 84, 91</t>
        </is>
      </c>
      <c r="M96" s="7" t="inlineStr">
        <is>
          <t>TRƯỢT ❌</t>
        </is>
      </c>
      <c r="N96" s="6" t="inlineStr">
        <is>
          <t>TRÚNG N1 🎯</t>
        </is>
      </c>
      <c r="O96" s="3" t="inlineStr">
        <is>
          <t>00, 02, 05, 07, 11, 14, 16, 19, 20, 23, 25, 28, 32, 34, 37, 39, 41, 43, 46, 48, 50, 52, 55, 57, 61, 64, 66, 69, 70, 73, 75, 78, 82, 84, 87, 89, 91, 93, 96, 98</t>
        </is>
      </c>
    </row>
    <row r="97">
      <c r="A97" s="2" t="n">
        <v>140</v>
      </c>
      <c r="B97" s="2" t="inlineStr">
        <is>
          <t>Thứ hai ngày 25-05-2026</t>
        </is>
      </c>
      <c r="C97" s="3" t="inlineStr">
        <is>
          <t>Chủ Nhật</t>
        </is>
      </c>
      <c r="D97" s="3" t="inlineStr">
        <is>
          <t>97281</t>
        </is>
      </c>
      <c r="E97" s="3" t="inlineStr">
        <is>
          <t>81</t>
        </is>
      </c>
      <c r="F97" s="3" t="inlineStr">
        <is>
          <t>G7.3, G7.1</t>
        </is>
      </c>
      <c r="G97" s="3" t="inlineStr">
        <is>
          <t>Tổng 1, Tổng 3, Tổng 6, Tổng 8</t>
        </is>
      </c>
      <c r="H97" s="3" t="inlineStr">
        <is>
          <t>0123456789</t>
        </is>
      </c>
      <c r="I97" s="3" t="inlineStr">
        <is>
          <t>Tổng 8-Bóng 3</t>
        </is>
      </c>
      <c r="J97" s="3" t="n">
        <v>40</v>
      </c>
      <c r="K97" s="7" t="inlineStr">
        <is>
          <t>TRƯỢT ❌</t>
        </is>
      </c>
      <c r="L97" s="3" t="inlineStr">
        <is>
          <t>06, 12, 17, 21, 24, 29, 33, 35, 38, 44, 47, 51, 53, 67, 76, 85, 88, 92, 94, 97</t>
        </is>
      </c>
      <c r="M97" s="7" t="inlineStr">
        <is>
          <t>TRƯỢT ❌</t>
        </is>
      </c>
      <c r="N97" s="7" t="inlineStr">
        <is>
          <t>TRƯỢT KHUNG ❌</t>
        </is>
      </c>
      <c r="O97" s="3" t="inlineStr">
        <is>
          <t>01, 03, 06, 08, 10, 12, 15, 17, 21, 24, 26, 29, 30, 33, 35, 38, 42, 44, 47, 49, 51, 53, 56, 58, 60, 62, 65, 67, 71, 74, 76, 79, 80, 83, 85, 88, 92, 94, 97, 99</t>
        </is>
      </c>
    </row>
    <row r="98">
      <c r="A98" s="2" t="n">
        <v>139</v>
      </c>
      <c r="B98" s="2" t="inlineStr">
        <is>
          <t>Chủ nhật ngày 24-05-2026</t>
        </is>
      </c>
      <c r="C98" s="3" t="inlineStr">
        <is>
          <t>Thứ Bảy</t>
        </is>
      </c>
      <c r="D98" s="3" t="inlineStr">
        <is>
          <t>20104</t>
        </is>
      </c>
      <c r="E98" s="3" t="inlineStr">
        <is>
          <t>04</t>
        </is>
      </c>
      <c r="F98" s="3" t="inlineStr">
        <is>
          <t>G7.1, G7.3</t>
        </is>
      </c>
      <c r="G98" s="3" t="inlineStr">
        <is>
          <t>Tổng 2, Tổng 3, Tổng 4, Tổng 7, Tổng 8, Tổng 9</t>
        </is>
      </c>
      <c r="H98" s="3" t="inlineStr">
        <is>
          <t>0123456789</t>
        </is>
      </c>
      <c r="I98" s="3" t="inlineStr">
        <is>
          <t>Tổng 4-Bóng 9</t>
        </is>
      </c>
      <c r="J98" s="3" t="n">
        <v>60</v>
      </c>
      <c r="K98" s="6" t="inlineStr">
        <is>
          <t>TRÚNG N1 🎯</t>
        </is>
      </c>
      <c r="L98" s="3" t="inlineStr">
        <is>
          <t>04, 12, 17, 21, 22, 25, 35, 39, 40, 48, 54, 59, 61, 67, 68, 75, 76, 84, 85, 94</t>
        </is>
      </c>
      <c r="M98" s="6" t="inlineStr">
        <is>
          <t>TRÚNG HỎA LỰC 🎯</t>
        </is>
      </c>
      <c r="N98" s="6" t="inlineStr">
        <is>
          <t>TRÚNG N1 🎯</t>
        </is>
      </c>
      <c r="O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9">
      <c r="A99" s="2" t="n">
        <v>138</v>
      </c>
      <c r="B99" s="2" t="inlineStr">
        <is>
          <t>Thứ bảy ngày 23-05-2026</t>
        </is>
      </c>
      <c r="C99" s="3" t="inlineStr">
        <is>
          <t>Thứ Sáu</t>
        </is>
      </c>
      <c r="D99" s="3" t="inlineStr">
        <is>
          <t>38021</t>
        </is>
      </c>
      <c r="E99" s="3" t="inlineStr">
        <is>
          <t>21</t>
        </is>
      </c>
      <c r="F99" s="3" t="inlineStr">
        <is>
          <t>G7.4, G7.1</t>
        </is>
      </c>
      <c r="G99" s="3" t="inlineStr">
        <is>
          <t>Tổng 0, Tổng 2, Tổng 4, Tổng 5, Tổng 7, Tổng 9</t>
        </is>
      </c>
      <c r="H99" s="3" t="inlineStr">
        <is>
          <t>12346789</t>
        </is>
      </c>
      <c r="I99" s="3" t="inlineStr">
        <is>
          <t>Tổng 5-Bóng 0</t>
        </is>
      </c>
      <c r="J99" s="3" t="n">
        <v>56</v>
      </c>
      <c r="K99" s="7" t="inlineStr">
        <is>
          <t>TRƯỢT ❌</t>
        </is>
      </c>
      <c r="L99" s="3" t="inlineStr">
        <is>
          <t>04, 14, 23, 25, 28, 32, 37, 39, 40, 41, 48, 54, 59, 61, 64, 68, 69, 75, 84, 91</t>
        </is>
      </c>
      <c r="M99" s="7" t="inlineStr">
        <is>
          <t>TRƯỢT ❌</t>
        </is>
      </c>
      <c r="N99" s="6" t="inlineStr">
        <is>
          <t>TRÚNG N2 🎯</t>
        </is>
      </c>
      <c r="O99" s="3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100">
      <c r="A100" s="2" t="n">
        <v>137</v>
      </c>
      <c r="B100" s="2" t="inlineStr">
        <is>
          <t>Thứ sáu ngày 22-05-2026</t>
        </is>
      </c>
      <c r="C100" s="3" t="inlineStr">
        <is>
          <t>Thứ Năm</t>
        </is>
      </c>
      <c r="D100" s="3" t="inlineStr">
        <is>
          <t>72939</t>
        </is>
      </c>
      <c r="E100" s="3" t="inlineStr">
        <is>
          <t>39</t>
        </is>
      </c>
      <c r="F100" s="3" t="inlineStr">
        <is>
          <t>G7.4, G7.1</t>
        </is>
      </c>
      <c r="G100" s="3" t="inlineStr">
        <is>
          <t>Tổng 1, Tổng 2, Tổng 6, Tổng 7</t>
        </is>
      </c>
      <c r="H100" s="3" t="inlineStr">
        <is>
          <t>02345789</t>
        </is>
      </c>
      <c r="I100" s="3" t="inlineStr">
        <is>
          <t>Tổng 7-Bóng 2</t>
        </is>
      </c>
      <c r="J100" s="3" t="n">
        <v>36</v>
      </c>
      <c r="K100" s="6" t="inlineStr">
        <is>
          <t>TRÚNG N1 🎯</t>
        </is>
      </c>
      <c r="L100" s="3" t="inlineStr">
        <is>
          <t>06, 20, 24, 25, 29, 33, 38, 39, 42, 43, 47, 48, 51, 75, 83, 84, 88, 92, 93, 97</t>
        </is>
      </c>
      <c r="M100" s="6" t="inlineStr">
        <is>
          <t>TRÚNG HỎA LỰC 🎯</t>
        </is>
      </c>
      <c r="N100" s="6" t="inlineStr">
        <is>
          <t>TRÚNG N1 🎯</t>
        </is>
      </c>
      <c r="O100" s="3" t="inlineStr">
        <is>
          <t>01, 02, 06, 07, 10, 15, 20, 24, 25, 29, 33, 34, 38, 39, 42, 43, 47, 48, 51, 52, 56, 57, 60, 65, 70, 74, 75, 79, 83, 84, 88, 89, 92, 93, 97, 98</t>
        </is>
      </c>
    </row>
    <row r="101">
      <c r="A101" s="2" t="n">
        <v>136</v>
      </c>
      <c r="B101" s="2" t="inlineStr">
        <is>
          <t>Thứ năm ngày 21-05-2026</t>
        </is>
      </c>
      <c r="C101" s="3" t="inlineStr">
        <is>
          <t>Thứ Tư</t>
        </is>
      </c>
      <c r="D101" s="3" t="inlineStr">
        <is>
          <t>72685</t>
        </is>
      </c>
      <c r="E101" s="3" t="inlineStr">
        <is>
          <t>85</t>
        </is>
      </c>
      <c r="F101" s="3" t="inlineStr">
        <is>
          <t>G7.2, G7.3</t>
        </is>
      </c>
      <c r="G101" s="3" t="inlineStr">
        <is>
          <t>Tổng 2, Tổng 3, Tổng 7, Tổng 8</t>
        </is>
      </c>
      <c r="H101" s="3" t="inlineStr">
        <is>
          <t>01245679</t>
        </is>
      </c>
      <c r="I101" s="3" t="inlineStr">
        <is>
          <t>Tổng 2-Bóng 7</t>
        </is>
      </c>
      <c r="J101" s="3" t="n">
        <v>40</v>
      </c>
      <c r="K101" s="6" t="inlineStr">
        <is>
          <t>TRÚNG N1 🎯</t>
        </is>
      </c>
      <c r="L101" s="3" t="inlineStr">
        <is>
          <t>12, 17, 20, 25, 35, 39, 43, 44, 48, 53, 57, 61, 66, 67, 75, 76, 80, 84, 93, 94</t>
        </is>
      </c>
      <c r="M101" s="7" t="inlineStr">
        <is>
          <t>TRƯỢT ❌</t>
        </is>
      </c>
      <c r="N101" s="6" t="inlineStr">
        <is>
          <t>TRÚNG N1 🎯</t>
        </is>
      </c>
      <c r="O101" s="3" t="inlineStr">
        <is>
          <t>02, 03, 07, 08, 11, 12, 16, 17, 20, 21, 25, 26, 30, 34, 35, 39, 43, 44, 48, 49, 52, 53, 57, 58, 61, 62, 66, 67, 70, 71, 75, 76, 80, 84, 85, 89, 93, 94, 98, 99</t>
        </is>
      </c>
    </row>
    <row r="102">
      <c r="A102" s="2" t="n">
        <v>135</v>
      </c>
      <c r="B102" s="2" t="inlineStr">
        <is>
          <t>Thứ tư ngày 20-05-2026</t>
        </is>
      </c>
      <c r="C102" s="3" t="inlineStr">
        <is>
          <t>Thứ Ba</t>
        </is>
      </c>
      <c r="D102" s="3" t="inlineStr">
        <is>
          <t>88568</t>
        </is>
      </c>
      <c r="E102" s="3" t="inlineStr">
        <is>
          <t>68</t>
        </is>
      </c>
      <c r="F102" s="3" t="inlineStr">
        <is>
          <t>G7.3, G7.4</t>
        </is>
      </c>
      <c r="G102" s="3" t="inlineStr">
        <is>
          <t>Tổng 0, Tổng 3, Tổng 5, Tổng 8</t>
        </is>
      </c>
      <c r="H102" s="3" t="inlineStr">
        <is>
          <t>123678</t>
        </is>
      </c>
      <c r="I102" s="3" t="inlineStr">
        <is>
          <t>Tổng 3-Bóng 8</t>
        </is>
      </c>
      <c r="J102" s="3" t="n">
        <v>32</v>
      </c>
      <c r="K102" s="7" t="inlineStr">
        <is>
          <t>TRƯỢT ❌</t>
        </is>
      </c>
      <c r="L102" s="3" t="inlineStr">
        <is>
          <t>12, 14, 17, 23, 28, 32, 35, 37, 41, 46, 53, 64, 67, 69, 76, 78, 80, 82, 87, 91</t>
        </is>
      </c>
      <c r="M102" s="7" t="inlineStr">
        <is>
          <t>TRƯỢT ❌</t>
        </is>
      </c>
      <c r="N102" s="6" t="inlineStr">
        <is>
          <t>TRÚNG N2 🎯</t>
        </is>
      </c>
      <c r="O102" s="3" t="inlineStr">
        <is>
          <t>03, 08, 12, 14, 17, 19, 21, 23, 26, 28, 30, 32, 35, 37, 41, 46, 53, 58, 62, 64, 67, 69, 71, 73, 76, 78, 80, 82, 85, 87, 91, 96</t>
        </is>
      </c>
    </row>
    <row r="103">
      <c r="A103" s="2" t="n">
        <v>134</v>
      </c>
      <c r="B103" s="2" t="inlineStr">
        <is>
          <t>Thứ ba ngày 19-05-2026</t>
        </is>
      </c>
      <c r="C103" s="3" t="inlineStr">
        <is>
          <t>Thứ Hai</t>
        </is>
      </c>
      <c r="D103" s="3" t="inlineStr">
        <is>
          <t>81754</t>
        </is>
      </c>
      <c r="E103" s="3" t="inlineStr">
        <is>
          <t>54</t>
        </is>
      </c>
      <c r="F103" s="3" t="inlineStr">
        <is>
          <t>G7.4, G7.2</t>
        </is>
      </c>
      <c r="G103" s="3" t="inlineStr">
        <is>
          <t>Tổng 0, Tổng 1, Tổng 3, Tổng 5, Tổng 6, Tổng 8</t>
        </is>
      </c>
      <c r="H103" s="3" t="inlineStr">
        <is>
          <t>01245679</t>
        </is>
      </c>
      <c r="I103" s="3" t="inlineStr">
        <is>
          <t>Tổng 6-Bóng 1</t>
        </is>
      </c>
      <c r="J103" s="3" t="n">
        <v>56</v>
      </c>
      <c r="K103" s="7" t="inlineStr">
        <is>
          <t>TRƯỢT ❌</t>
        </is>
      </c>
      <c r="L103" s="3" t="inlineStr">
        <is>
          <t>12, 14, 17, 23, 24, 28, 29, 32, 37, 41, 47, 51, 55, 64, 69, 76, 91, 92, 94, 97</t>
        </is>
      </c>
      <c r="M103" s="7" t="inlineStr">
        <is>
          <t>TRƯỢT ❌</t>
        </is>
      </c>
      <c r="N103" s="6" t="inlineStr">
        <is>
          <t>TRÚNG N3 🎯</t>
        </is>
      </c>
      <c r="O103" s="3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104">
      <c r="A104" s="2" t="n">
        <v>133</v>
      </c>
      <c r="B104" s="2" t="inlineStr">
        <is>
          <t>Thứ hai ngày 18-05-2026</t>
        </is>
      </c>
      <c r="C104" s="3" t="inlineStr">
        <is>
          <t>Chủ Nhật</t>
        </is>
      </c>
      <c r="D104" s="3" t="inlineStr">
        <is>
          <t>55361</t>
        </is>
      </c>
      <c r="E104" s="3" t="inlineStr">
        <is>
          <t>61</t>
        </is>
      </c>
      <c r="F104" s="3" t="inlineStr">
        <is>
          <t>G7.3, G7.4</t>
        </is>
      </c>
      <c r="G104" s="3" t="inlineStr">
        <is>
          <t>Tổng 2, Tổng 3, Tổng 4, Tổng 7, Tổng 8, Tổng 9</t>
        </is>
      </c>
      <c r="H104" s="3" t="inlineStr">
        <is>
          <t>0123456789</t>
        </is>
      </c>
      <c r="I104" s="3" t="inlineStr">
        <is>
          <t>Tổng 3-Bóng 8</t>
        </is>
      </c>
      <c r="J104" s="3" t="n">
        <v>60</v>
      </c>
      <c r="K104" s="6" t="inlineStr">
        <is>
          <t>TRÚNG N1 🎯</t>
        </is>
      </c>
      <c r="L104" s="3" t="inlineStr">
        <is>
          <t>04, 12, 17, 20, 22, 25, 35, 39, 40, 43, 48, 54, 59, 66, 67, 75, 76, 84, 94, 95</t>
        </is>
      </c>
      <c r="M104" s="7" t="inlineStr">
        <is>
          <t>TRƯỢT ❌</t>
        </is>
      </c>
      <c r="N104" s="6" t="inlineStr">
        <is>
          <t>TRÚNG N1 🎯</t>
        </is>
      </c>
      <c r="O10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5">
      <c r="A105" s="2" t="n">
        <v>132</v>
      </c>
      <c r="B105" s="2" t="inlineStr">
        <is>
          <t>Chủ nhật ngày 17-05-2026</t>
        </is>
      </c>
      <c r="C105" s="3" t="inlineStr">
        <is>
          <t>Thứ Bảy</t>
        </is>
      </c>
      <c r="D105" s="3" t="inlineStr">
        <is>
          <t>96684</t>
        </is>
      </c>
      <c r="E105" s="3" t="inlineStr">
        <is>
          <t>84</t>
        </is>
      </c>
      <c r="F105" s="3" t="inlineStr">
        <is>
          <t>G7.1, G7.3</t>
        </is>
      </c>
      <c r="G105" s="3" t="inlineStr">
        <is>
          <t>Tổng 0, Tổng 2, Tổng 4, Tổng 5, Tổng 7, Tổng 9</t>
        </is>
      </c>
      <c r="H105" s="3" t="inlineStr">
        <is>
          <t>01345689</t>
        </is>
      </c>
      <c r="I105" s="3" t="inlineStr">
        <is>
          <t>Tổng 0-Bóng 5</t>
        </is>
      </c>
      <c r="J105" s="3" t="n">
        <v>56</v>
      </c>
      <c r="K105" s="6" t="inlineStr">
        <is>
          <t>TRÚNG N1 🎯</t>
        </is>
      </c>
      <c r="L105" s="3" t="inlineStr">
        <is>
          <t>04, 14, 23, 25, 28, 32, 37, 39, 40, 41, 43, 46, 48, 54, 55, 59, 64, 69, 75, 91</t>
        </is>
      </c>
      <c r="M105" s="7" t="inlineStr">
        <is>
          <t>TRƯỢT ❌</t>
        </is>
      </c>
      <c r="N105" s="6" t="inlineStr">
        <is>
          <t>TRÚNG N1 🎯</t>
        </is>
      </c>
      <c r="O105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06">
      <c r="A106" s="2" t="n">
        <v>131</v>
      </c>
      <c r="B106" s="2" t="inlineStr">
        <is>
          <t>Thứ bảy ngày 16-05-2026</t>
        </is>
      </c>
      <c r="C106" s="3" t="inlineStr">
        <is>
          <t>Thứ Sáu</t>
        </is>
      </c>
      <c r="D106" s="3" t="inlineStr">
        <is>
          <t>19404</t>
        </is>
      </c>
      <c r="E106" s="3" t="inlineStr">
        <is>
          <t>04</t>
        </is>
      </c>
      <c r="F106" s="3" t="inlineStr">
        <is>
          <t>G7.4, G7.1</t>
        </is>
      </c>
      <c r="G106" s="3" t="inlineStr">
        <is>
          <t>Tổng 1, Tổng 2, Tổng 3, Tổng 6, Tổng 7, Tổng 8</t>
        </is>
      </c>
      <c r="H106" s="3" t="inlineStr">
        <is>
          <t>02345789</t>
        </is>
      </c>
      <c r="I106" s="3" t="inlineStr">
        <is>
          <t>Tổng 7-Bóng 2</t>
        </is>
      </c>
      <c r="J106" s="3" t="n">
        <v>56</v>
      </c>
      <c r="K106" s="7" t="inlineStr">
        <is>
          <t>TRƯỢT ❌</t>
        </is>
      </c>
      <c r="L106" s="3" t="inlineStr">
        <is>
          <t>12, 17, 24, 25, 29, 33, 35, 38, 39, 43, 47, 48, 51, 67, 75, 76, 88, 92, 94, 97</t>
        </is>
      </c>
      <c r="M106" s="7" t="inlineStr">
        <is>
          <t>TRƯỢT ❌</t>
        </is>
      </c>
      <c r="N106" s="6" t="inlineStr">
        <is>
          <t>TRÚNG N2 🎯</t>
        </is>
      </c>
      <c r="O106" s="3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107">
      <c r="A107" s="2" t="n">
        <v>130</v>
      </c>
      <c r="B107" s="2" t="inlineStr">
        <is>
          <t>Thứ sáu ngày 15-05-2026</t>
        </is>
      </c>
      <c r="C107" s="3" t="inlineStr">
        <is>
          <t>Thứ Năm</t>
        </is>
      </c>
      <c r="D107" s="3" t="inlineStr">
        <is>
          <t>67294</t>
        </is>
      </c>
      <c r="E107" s="3" t="inlineStr">
        <is>
          <t>94</t>
        </is>
      </c>
      <c r="F107" s="3" t="inlineStr">
        <is>
          <t>G7.4, G7.1</t>
        </is>
      </c>
      <c r="G107" s="3" t="inlineStr">
        <is>
          <t>Tổng 2, Tổng 3, Tổng 4, Tổng 7, Tổng 8, Tổng 9</t>
        </is>
      </c>
      <c r="H107" s="3" t="inlineStr">
        <is>
          <t>0123456789</t>
        </is>
      </c>
      <c r="I107" s="3" t="inlineStr">
        <is>
          <t>Tổng 3-Bóng 8</t>
        </is>
      </c>
      <c r="J107" s="3" t="n">
        <v>60</v>
      </c>
      <c r="K107" s="6" t="inlineStr">
        <is>
          <t>TRÚNG N1 🎯</t>
        </is>
      </c>
      <c r="L107" s="3" t="inlineStr">
        <is>
          <t>12, 17, 20, 22, 25, 35, 39, 40, 43, 48, 52, 54, 59, 63, 66, 67, 75, 76, 94, 95</t>
        </is>
      </c>
      <c r="M107" s="6" t="inlineStr">
        <is>
          <t>TRÚNG HỎA LỰC 🎯</t>
        </is>
      </c>
      <c r="N107" s="6" t="inlineStr">
        <is>
          <t>TRÚNG N1 🎯</t>
        </is>
      </c>
      <c r="O10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08">
      <c r="A108" s="2" t="n">
        <v>129</v>
      </c>
      <c r="B108" s="2" t="inlineStr">
        <is>
          <t>Thứ năm ngày 14-05-2026</t>
        </is>
      </c>
      <c r="C108" s="3" t="inlineStr">
        <is>
          <t>Thứ Tư</t>
        </is>
      </c>
      <c r="D108" s="3" t="inlineStr">
        <is>
          <t>76669</t>
        </is>
      </c>
      <c r="E108" s="3" t="inlineStr">
        <is>
          <t>69</t>
        </is>
      </c>
      <c r="F108" s="3" t="inlineStr">
        <is>
          <t>G7.2, G7.3</t>
        </is>
      </c>
      <c r="G108" s="3" t="inlineStr">
        <is>
          <t>Tổng 1, Tổng 3, Tổng 4, Tổng 6, Tổng 8, Tổng 9</t>
        </is>
      </c>
      <c r="H108" s="3" t="inlineStr">
        <is>
          <t>034589</t>
        </is>
      </c>
      <c r="I108" s="3" t="inlineStr">
        <is>
          <t>Tổng 6-Bóng 1</t>
        </is>
      </c>
      <c r="J108" s="3" t="n">
        <v>48</v>
      </c>
      <c r="K108" s="7" t="inlineStr">
        <is>
          <t>TRƯỢT ❌</t>
        </is>
      </c>
      <c r="L108" s="3" t="inlineStr">
        <is>
          <t>01, 04, 06, 24, 29, 33, 35, 38, 40, 44, 47, 51, 54, 59, 63, 88, 92, 94, 95, 97</t>
        </is>
      </c>
      <c r="M108" s="7" t="inlineStr">
        <is>
          <t>TRƯỢT ❌</t>
        </is>
      </c>
      <c r="N108" s="6" t="inlineStr">
        <is>
          <t>TRÚNG N2 🎯</t>
        </is>
      </c>
      <c r="O108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09">
      <c r="A109" s="2" t="n">
        <v>128</v>
      </c>
      <c r="B109" s="2" t="inlineStr">
        <is>
          <t>Thứ tư ngày 13-05-2026</t>
        </is>
      </c>
      <c r="C109" s="3" t="inlineStr">
        <is>
          <t>Thứ Ba</t>
        </is>
      </c>
      <c r="D109" s="3" t="inlineStr">
        <is>
          <t>64138</t>
        </is>
      </c>
      <c r="E109" s="3" t="inlineStr">
        <is>
          <t>38</t>
        </is>
      </c>
      <c r="F109" s="3" t="inlineStr">
        <is>
          <t>G7.4, G7.3</t>
        </is>
      </c>
      <c r="G109" s="3" t="inlineStr">
        <is>
          <t>Tổng 0, Tổng 3, Tổng 4, Tổng 5, Tổng 8, Tổng 9</t>
        </is>
      </c>
      <c r="H109" s="3" t="inlineStr">
        <is>
          <t>01235678</t>
        </is>
      </c>
      <c r="I109" s="3" t="inlineStr">
        <is>
          <t>Tổng 0-Bóng 5</t>
        </is>
      </c>
      <c r="J109" s="3" t="n">
        <v>56</v>
      </c>
      <c r="K109" s="7" t="inlineStr">
        <is>
          <t>TRƯỢT ❌</t>
        </is>
      </c>
      <c r="L109" s="3" t="inlineStr">
        <is>
          <t>12, 14, 17, 22, 23, 28, 32, 35, 37, 40, 41, 46, 54, 55, 59, 63, 64, 69, 76, 91</t>
        </is>
      </c>
      <c r="M109" s="7" t="inlineStr">
        <is>
          <t>TRƯỢT ❌</t>
        </is>
      </c>
      <c r="N109" s="6" t="inlineStr">
        <is>
          <t>TRÚNG N2 🎯</t>
        </is>
      </c>
      <c r="O109" s="3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10">
      <c r="A110" s="2" t="n">
        <v>127</v>
      </c>
      <c r="B110" s="2" t="inlineStr">
        <is>
          <t>Thứ ba ngày 12-05-2026</t>
        </is>
      </c>
      <c r="C110" s="3" t="inlineStr">
        <is>
          <t>Thứ Hai</t>
        </is>
      </c>
      <c r="D110" s="3" t="inlineStr">
        <is>
          <t>52233</t>
        </is>
      </c>
      <c r="E110" s="3" t="inlineStr">
        <is>
          <t>33</t>
        </is>
      </c>
      <c r="F110" s="3" t="inlineStr">
        <is>
          <t>G7.4, G7.2</t>
        </is>
      </c>
      <c r="G110" s="3" t="inlineStr">
        <is>
          <t>Tổng 1, Tổng 4, Tổng 6, Tổng 9</t>
        </is>
      </c>
      <c r="H110" s="3" t="inlineStr">
        <is>
          <t>01345689</t>
        </is>
      </c>
      <c r="I110" s="3" t="inlineStr">
        <is>
          <t>Tổng 4-Bóng 9</t>
        </is>
      </c>
      <c r="J110" s="3" t="n">
        <v>36</v>
      </c>
      <c r="K110" s="6" t="inlineStr">
        <is>
          <t>TRÚNG N1 🎯</t>
        </is>
      </c>
      <c r="L110" s="3" t="inlineStr">
        <is>
          <t>01, 04, 06, 24, 29, 38, 40, 42, 47, 51, 54, 59, 63, 68, 81, 83, 88, 92, 95, 97</t>
        </is>
      </c>
      <c r="M110" s="7" t="inlineStr">
        <is>
          <t>TRƯỢT ❌</t>
        </is>
      </c>
      <c r="N110" s="6" t="inlineStr">
        <is>
          <t>TRÚNG N1 🎯</t>
        </is>
      </c>
      <c r="O110" s="3" t="inlineStr">
        <is>
          <t>01, 04, 06, 09, 10, 13, 15, 18, 24, 29, 31, 33, 36, 38, 40, 42, 45, 47, 51, 54, 56, 59, 60, 63, 65, 68, 74, 79, 81, 83, 86, 88, 90, 92, 95, 97</t>
        </is>
      </c>
    </row>
    <row r="111">
      <c r="A111" s="2" t="n">
        <v>126</v>
      </c>
      <c r="B111" s="2" t="inlineStr">
        <is>
          <t>Thứ hai ngày 11-05-2026</t>
        </is>
      </c>
      <c r="C111" s="3" t="inlineStr">
        <is>
          <t>Chủ Nhật</t>
        </is>
      </c>
      <c r="D111" s="3" t="inlineStr">
        <is>
          <t>52117</t>
        </is>
      </c>
      <c r="E111" s="3" t="inlineStr">
        <is>
          <t>17</t>
        </is>
      </c>
      <c r="F111" s="3" t="inlineStr">
        <is>
          <t>G7.3, G7.1</t>
        </is>
      </c>
      <c r="G111" s="3" t="inlineStr">
        <is>
          <t>Tổng 3, Tổng 8</t>
        </is>
      </c>
      <c r="H111" s="3" t="inlineStr">
        <is>
          <t>01235678</t>
        </is>
      </c>
      <c r="I111" s="3" t="inlineStr">
        <is>
          <t>Tổng 3-Bóng 8</t>
        </is>
      </c>
      <c r="J111" s="3" t="n">
        <v>16</v>
      </c>
      <c r="K111" s="6" t="inlineStr">
        <is>
          <t>TRÚNG N1 🎯</t>
        </is>
      </c>
      <c r="L111" s="3" t="inlineStr">
        <is>
          <t>03, 08, 12, 17, 21, 26, 30, 35, 53, 58, 62, 67, 71, 76, 80, 85</t>
        </is>
      </c>
      <c r="M111" s="6" t="inlineStr">
        <is>
          <t>TRÚNG HỎA LỰC 🎯</t>
        </is>
      </c>
      <c r="N111" s="6" t="inlineStr">
        <is>
          <t>TRÚNG N1 🎯</t>
        </is>
      </c>
      <c r="O111" s="3" t="inlineStr">
        <is>
          <t>03, 08, 12, 17, 21, 26, 30, 35, 53, 58, 62, 67, 71, 76, 80, 85</t>
        </is>
      </c>
    </row>
    <row r="112">
      <c r="A112" s="2" t="n">
        <v>125</v>
      </c>
      <c r="B112" s="2" t="inlineStr">
        <is>
          <t>Chủ nhật ngày 10-05-2026</t>
        </is>
      </c>
      <c r="C112" s="3" t="inlineStr">
        <is>
          <t>Thứ Bảy</t>
        </is>
      </c>
      <c r="D112" s="3" t="inlineStr">
        <is>
          <t>76223</t>
        </is>
      </c>
      <c r="E112" s="3" t="inlineStr">
        <is>
          <t>23</t>
        </is>
      </c>
      <c r="F112" s="3" t="inlineStr">
        <is>
          <t>G7.1, G7.3</t>
        </is>
      </c>
      <c r="G112" s="3" t="inlineStr">
        <is>
          <t>Tổng 0, Tổng 4, Tổng 5, Tổng 9</t>
        </is>
      </c>
      <c r="H112" s="3" t="inlineStr">
        <is>
          <t>01345689</t>
        </is>
      </c>
      <c r="I112" s="3" t="inlineStr">
        <is>
          <t>Tổng 5-Bóng 0</t>
        </is>
      </c>
      <c r="J112" s="3" t="n">
        <v>36</v>
      </c>
      <c r="K112" s="6" t="inlineStr">
        <is>
          <t>TRÚNG N1 🎯</t>
        </is>
      </c>
      <c r="L112" s="3" t="inlineStr">
        <is>
          <t>00, 04, 14, 28, 32, 37, 40, 41, 46, 54, 55, 59, 63, 64, 68, 69, 82, 87, 91, 95</t>
        </is>
      </c>
      <c r="M112" s="7" t="inlineStr">
        <is>
          <t>TRƯỢT ❌</t>
        </is>
      </c>
      <c r="N112" s="6" t="inlineStr">
        <is>
          <t>TRÚNG N1 🎯</t>
        </is>
      </c>
      <c r="O112" s="3" t="inlineStr">
        <is>
          <t>00, 04, 05, 09, 13, 14, 18, 19, 23, 28, 31, 32, 36, 37, 40, 41, 45, 46, 50, 54, 55, 59, 63, 64, 68, 69, 73, 78, 81, 82, 86, 87, 90, 91, 95, 96</t>
        </is>
      </c>
    </row>
    <row r="113">
      <c r="A113" s="2" t="n">
        <v>124</v>
      </c>
      <c r="B113" s="2" t="inlineStr">
        <is>
          <t>Thứ bảy ngày 09-05-2026</t>
        </is>
      </c>
      <c r="C113" s="3" t="inlineStr">
        <is>
          <t>Thứ Sáu</t>
        </is>
      </c>
      <c r="D113" s="3" t="inlineStr">
        <is>
          <t>26192</t>
        </is>
      </c>
      <c r="E113" s="3" t="inlineStr">
        <is>
          <t>92</t>
        </is>
      </c>
      <c r="F113" s="3" t="inlineStr">
        <is>
          <t>G7.4, G7.1</t>
        </is>
      </c>
      <c r="G113" s="3" t="inlineStr">
        <is>
          <t>Tổng 0, Tổng 3, Tổng 5, Tổng 8</t>
        </is>
      </c>
      <c r="H113" s="3" t="inlineStr">
        <is>
          <t>01245679</t>
        </is>
      </c>
      <c r="I113" s="3" t="inlineStr">
        <is>
          <t>Tổng 0-Bóng 5</t>
        </is>
      </c>
      <c r="J113" s="3" t="n">
        <v>40</v>
      </c>
      <c r="K113" s="7" t="inlineStr">
        <is>
          <t>TRƯỢT ❌</t>
        </is>
      </c>
      <c r="L113" s="3" t="inlineStr">
        <is>
          <t>00, 12, 14, 17, 28, 32, 35, 37, 41, 46, 50, 55, 64, 67, 69, 76, 82, 87, 91, 94</t>
        </is>
      </c>
      <c r="M113" s="7" t="inlineStr">
        <is>
          <t>TRƯỢT ❌</t>
        </is>
      </c>
      <c r="N113" s="6" t="inlineStr">
        <is>
          <t>TRÚNG N2 🎯</t>
        </is>
      </c>
      <c r="O113" s="3" t="inlineStr">
        <is>
          <t>00, 03, 05, 08, 12, 14, 17, 19, 21, 23, 26, 28, 30, 32, 35, 37, 41, 44, 46, 49, 50, 53, 55, 58, 62, 64, 67, 69, 71, 73, 76, 78, 80, 82, 85, 87, 91, 94, 96, 99</t>
        </is>
      </c>
    </row>
    <row r="114">
      <c r="A114" s="2" t="n">
        <v>123</v>
      </c>
      <c r="B114" s="2" t="inlineStr">
        <is>
          <t>Thứ sáu ngày 08-05-2026</t>
        </is>
      </c>
      <c r="C114" s="3" t="inlineStr">
        <is>
          <t>Thứ Năm</t>
        </is>
      </c>
      <c r="D114" s="3" t="inlineStr">
        <is>
          <t>29147</t>
        </is>
      </c>
      <c r="E114" s="3" t="inlineStr">
        <is>
          <t>47</t>
        </is>
      </c>
      <c r="F114" s="3" t="inlineStr">
        <is>
          <t>G7.4, G7.1</t>
        </is>
      </c>
      <c r="G114" s="3" t="inlineStr">
        <is>
          <t>Tổng 1, Tổng 2, Tổng 6, Tổng 7</t>
        </is>
      </c>
      <c r="H114" s="3" t="inlineStr">
        <is>
          <t>014569</t>
        </is>
      </c>
      <c r="I114" s="3" t="inlineStr">
        <is>
          <t>Tổng 7-Bóng 2</t>
        </is>
      </c>
      <c r="J114" s="3" t="n">
        <v>36</v>
      </c>
      <c r="K114" s="6" t="inlineStr">
        <is>
          <t>TRÚNG N1 🎯</t>
        </is>
      </c>
      <c r="L114" s="3" t="inlineStr">
        <is>
          <t>01, 06, 16, 20, 24, 25, 29, 39, 42, 43, 48, 51, 52, 57, 66, 70, 75, 92, 93, 97</t>
        </is>
      </c>
      <c r="M114" s="7" t="inlineStr">
        <is>
          <t>TRƯỢT ❌</t>
        </is>
      </c>
      <c r="N114" s="6" t="inlineStr">
        <is>
          <t>TRÚNG N1 🎯</t>
        </is>
      </c>
      <c r="O114" s="3" t="inlineStr">
        <is>
          <t>01, 02, 06, 07, 10, 11, 15, 16, 20, 24, 25, 29, 34, 39, 42, 43, 47, 48, 51, 52, 56, 57, 60, 61, 65, 66, 70, 74, 75, 79, 84, 89, 92, 93, 97, 98</t>
        </is>
      </c>
    </row>
    <row r="115">
      <c r="A115" s="2" t="n">
        <v>122</v>
      </c>
      <c r="B115" s="2" t="inlineStr">
        <is>
          <t>Thứ năm ngày 07-05-2026</t>
        </is>
      </c>
      <c r="C115" s="3" t="inlineStr">
        <is>
          <t>Thứ Tư</t>
        </is>
      </c>
      <c r="D115" s="3" t="inlineStr">
        <is>
          <t>14540</t>
        </is>
      </c>
      <c r="E115" s="3" t="inlineStr">
        <is>
          <t>40</t>
        </is>
      </c>
      <c r="F115" s="3" t="inlineStr">
        <is>
          <t>G7.2, G7.4</t>
        </is>
      </c>
      <c r="G115" s="3" t="inlineStr">
        <is>
          <t>Tổng 0, Tổng 2, Tổng 4, Tổng 5, Tổng 7, Tổng 9</t>
        </is>
      </c>
      <c r="H115" s="3" t="inlineStr">
        <is>
          <t>01245679</t>
        </is>
      </c>
      <c r="I115" s="3" t="inlineStr">
        <is>
          <t>Tổng 4-Bóng 9</t>
        </is>
      </c>
      <c r="J115" s="3" t="n">
        <v>60</v>
      </c>
      <c r="K115" s="6" t="inlineStr">
        <is>
          <t>TRÚNG N1 🎯</t>
        </is>
      </c>
      <c r="L115" s="3" t="inlineStr">
        <is>
          <t>00, 14, 20, 25, 28, 32, 37, 39, 41, 43, 48, 50, 54, 55, 59, 63, 64, 69, 75, 82</t>
        </is>
      </c>
      <c r="M115" s="7" t="inlineStr">
        <is>
          <t>TRƯỢT ❌</t>
        </is>
      </c>
      <c r="N115" s="6" t="inlineStr">
        <is>
          <t>TRÚNG N1 🎯</t>
        </is>
      </c>
      <c r="O1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6">
      <c r="A116" s="2" t="n">
        <v>121</v>
      </c>
      <c r="B116" s="2" t="inlineStr">
        <is>
          <t>Thứ tư ngày 06-05-2026</t>
        </is>
      </c>
      <c r="C116" s="3" t="inlineStr">
        <is>
          <t>Thứ Ba</t>
        </is>
      </c>
      <c r="D116" s="3" t="inlineStr">
        <is>
          <t>80241</t>
        </is>
      </c>
      <c r="E116" s="3" t="inlineStr">
        <is>
          <t>41</t>
        </is>
      </c>
      <c r="F116" s="3" t="inlineStr">
        <is>
          <t>G7.4, G7.3</t>
        </is>
      </c>
      <c r="G116" s="3" t="inlineStr">
        <is>
          <t>Tổng 0, Tổng 3, Tổng 4, Tổng 5, Tổng 8, Tổng 9</t>
        </is>
      </c>
      <c r="H116" s="3" t="inlineStr">
        <is>
          <t>0123456789</t>
        </is>
      </c>
      <c r="I116" s="3" t="inlineStr">
        <is>
          <t>Tổng 3-Bóng 8</t>
        </is>
      </c>
      <c r="J116" s="3" t="n">
        <v>60</v>
      </c>
      <c r="K116" s="6" t="inlineStr">
        <is>
          <t>TRÚNG N1 🎯</t>
        </is>
      </c>
      <c r="L116" s="3" t="inlineStr">
        <is>
          <t>00, 04, 12, 14, 17, 28, 32, 35, 37, 50, 54, 55, 59, 63, 64, 68, 69, 76, 82, 91</t>
        </is>
      </c>
      <c r="M116" s="7" t="inlineStr">
        <is>
          <t>TRƯỢT ❌</t>
        </is>
      </c>
      <c r="N116" s="6" t="inlineStr">
        <is>
          <t>TRÚNG N1 🎯</t>
        </is>
      </c>
      <c r="O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7">
      <c r="A117" s="2" t="n">
        <v>120</v>
      </c>
      <c r="B117" s="2" t="inlineStr">
        <is>
          <t>Thứ ba ngày 05-05-2026</t>
        </is>
      </c>
      <c r="C117" s="3" t="inlineStr">
        <is>
          <t>Thứ Hai</t>
        </is>
      </c>
      <c r="D117" s="3" t="inlineStr">
        <is>
          <t>22512</t>
        </is>
      </c>
      <c r="E117" s="3" t="inlineStr">
        <is>
          <t>12</t>
        </is>
      </c>
      <c r="F117" s="3" t="inlineStr">
        <is>
          <t>G7.4, G7.2</t>
        </is>
      </c>
      <c r="G117" s="3" t="inlineStr">
        <is>
          <t>Tổng 0, Tổng 3, Tổng 5, Tổng 8</t>
        </is>
      </c>
      <c r="H117" s="3" t="inlineStr">
        <is>
          <t>0123456789</t>
        </is>
      </c>
      <c r="I117" s="3" t="inlineStr">
        <is>
          <t>Tổng 8-Bóng 3</t>
        </is>
      </c>
      <c r="J117" s="3" t="n">
        <v>40</v>
      </c>
      <c r="K117" s="6" t="inlineStr">
        <is>
          <t>TRÚNG N1 🎯</t>
        </is>
      </c>
      <c r="L117" s="3" t="inlineStr">
        <is>
          <t>00, 14, 17, 28, 32, 35, 37, 46, 49, 50, 55, 64, 67, 69, 76, 80, 82, 87, 91, 94</t>
        </is>
      </c>
      <c r="M117" s="7" t="inlineStr">
        <is>
          <t>TRƯỢT ❌</t>
        </is>
      </c>
      <c r="N117" s="6" t="inlineStr">
        <is>
          <t>TRÚNG N1 🎯</t>
        </is>
      </c>
      <c r="O117" s="3" t="inlineStr">
        <is>
          <t>00, 03, 05, 08, 12, 14, 17, 19, 21, 23, 26, 28, 30, 32, 35, 37, 41, 44, 46, 49, 50, 53, 55, 58, 62, 64, 67, 69, 71, 73, 76, 78, 80, 82, 85, 87, 91, 94, 96, 99</t>
        </is>
      </c>
    </row>
    <row r="118">
      <c r="A118" s="2" t="n">
        <v>119</v>
      </c>
      <c r="B118" s="2" t="inlineStr">
        <is>
          <t>Thứ hai ngày 04-05-2026</t>
        </is>
      </c>
      <c r="C118" s="3" t="inlineStr">
        <is>
          <t>Chủ Nhật</t>
        </is>
      </c>
      <c r="D118" s="3" t="inlineStr">
        <is>
          <t>11251</t>
        </is>
      </c>
      <c r="E118" s="3" t="inlineStr">
        <is>
          <t>51</t>
        </is>
      </c>
      <c r="F118" s="3" t="inlineStr">
        <is>
          <t>G7.3, G7.1</t>
        </is>
      </c>
      <c r="G118" s="3" t="inlineStr">
        <is>
          <t>Tổng 0, Tổng 1, Tổng 4, Tổng 5, Tổng 6, Tổng 9</t>
        </is>
      </c>
      <c r="H118" s="3" t="inlineStr">
        <is>
          <t>0123456789</t>
        </is>
      </c>
      <c r="I118" s="3" t="inlineStr">
        <is>
          <t>Tổng 5-Bóng 0</t>
        </is>
      </c>
      <c r="J118" s="3" t="n">
        <v>60</v>
      </c>
      <c r="K118" s="6" t="inlineStr">
        <is>
          <t>TRÚNG N1 🎯</t>
        </is>
      </c>
      <c r="L118" s="3" t="inlineStr">
        <is>
          <t>00, 04, 06, 14, 24, 28, 32, 37, 38, 50, 54, 55, 59, 63, 64, 69, 82, 88, 91, 97</t>
        </is>
      </c>
      <c r="M118" s="7" t="inlineStr">
        <is>
          <t>TRƯỢT ❌</t>
        </is>
      </c>
      <c r="N118" s="6" t="inlineStr">
        <is>
          <t>TRÚNG N1 🎯</t>
        </is>
      </c>
      <c r="O1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19">
      <c r="A119" s="2" t="n">
        <v>118</v>
      </c>
      <c r="B119" s="2" t="inlineStr">
        <is>
          <t>Chủ nhật ngày 03-05-2026</t>
        </is>
      </c>
      <c r="C119" s="3" t="inlineStr">
        <is>
          <t>Thứ Bảy</t>
        </is>
      </c>
      <c r="D119" s="3" t="inlineStr">
        <is>
          <t>32964</t>
        </is>
      </c>
      <c r="E119" s="3" t="inlineStr">
        <is>
          <t>64</t>
        </is>
      </c>
      <c r="F119" s="3" t="inlineStr">
        <is>
          <t>G7.1, G7.3</t>
        </is>
      </c>
      <c r="G119" s="3" t="inlineStr">
        <is>
          <t>Tổng 0, Tổng 1, Tổng 3, Tổng 5, Tổng 6, Tổng 8</t>
        </is>
      </c>
      <c r="H119" s="3" t="inlineStr">
        <is>
          <t>12346789</t>
        </is>
      </c>
      <c r="I119" s="3" t="inlineStr">
        <is>
          <t>Tổng 1-Bóng 6</t>
        </is>
      </c>
      <c r="J119" s="3" t="n">
        <v>56</v>
      </c>
      <c r="K119" s="6" t="inlineStr">
        <is>
          <t>TRÚNG N1 🎯</t>
        </is>
      </c>
      <c r="L119" s="3" t="inlineStr">
        <is>
          <t>06, 14, 17, 24, 28, 29, 32, 35, 37, 38, 44, 46, 67, 69, 76, 82, 87, 88, 91, 97</t>
        </is>
      </c>
      <c r="M119" s="7" t="inlineStr">
        <is>
          <t>TRƯỢT ❌</t>
        </is>
      </c>
      <c r="N119" s="6" t="inlineStr">
        <is>
          <t>TRÚNG N1 🎯</t>
        </is>
      </c>
      <c r="O119" s="3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20">
      <c r="A120" s="2" t="n">
        <v>117</v>
      </c>
      <c r="B120" s="2" t="inlineStr">
        <is>
          <t>Thứ bảy ngày 02-05-2026</t>
        </is>
      </c>
      <c r="C120" s="3" t="inlineStr">
        <is>
          <t>Thứ Sáu</t>
        </is>
      </c>
      <c r="D120" s="3" t="inlineStr">
        <is>
          <t>16132</t>
        </is>
      </c>
      <c r="E120" s="3" t="inlineStr">
        <is>
          <t>32</t>
        </is>
      </c>
      <c r="F120" s="3" t="inlineStr">
        <is>
          <t>G7.4, G7.1</t>
        </is>
      </c>
      <c r="G120" s="3" t="inlineStr">
        <is>
          <t>Tổng 0, Tổng 2, Tổng 5, Tổng 7</t>
        </is>
      </c>
      <c r="H120" s="3" t="inlineStr">
        <is>
          <t>12346789</t>
        </is>
      </c>
      <c r="I120" s="3" t="inlineStr">
        <is>
          <t>Tổng 0-Bóng 5</t>
        </is>
      </c>
      <c r="J120" s="3" t="n">
        <v>36</v>
      </c>
      <c r="K120" s="6" t="inlineStr">
        <is>
          <t>TRÚNG N1 🎯</t>
        </is>
      </c>
      <c r="L120" s="3" t="inlineStr">
        <is>
          <t>14, 20, 25, 28, 32, 37, 39, 43, 46, 48, 52, 64, 66, 69, 70, 75, 78, 82, 87, 91</t>
        </is>
      </c>
      <c r="M120" s="6" t="inlineStr">
        <is>
          <t>TRÚNG HỎA LỰC 🎯</t>
        </is>
      </c>
      <c r="N120" s="6" t="inlineStr">
        <is>
          <t>TRÚNG N1 🎯</t>
        </is>
      </c>
      <c r="O120" s="3" t="inlineStr">
        <is>
          <t>02, 07, 11, 14, 16, 19, 20, 23, 25, 28, 32, 34, 37, 39, 41, 43, 46, 48, 52, 57, 61, 64, 66, 69, 70, 73, 75, 78, 82, 84, 87, 89, 91, 93, 96, 98</t>
        </is>
      </c>
    </row>
    <row r="121">
      <c r="A121" s="2" t="n">
        <v>116</v>
      </c>
      <c r="B121" s="2" t="inlineStr">
        <is>
          <t>Thứ sáu ngày 01-05-2026</t>
        </is>
      </c>
      <c r="C121" s="3" t="inlineStr">
        <is>
          <t>Thứ Năm</t>
        </is>
      </c>
      <c r="D121" s="3" t="inlineStr">
        <is>
          <t>96637</t>
        </is>
      </c>
      <c r="E121" s="3" t="inlineStr">
        <is>
          <t>37</t>
        </is>
      </c>
      <c r="F121" s="3" t="inlineStr">
        <is>
          <t>G7.4, G7.1</t>
        </is>
      </c>
      <c r="G121" s="3" t="inlineStr">
        <is>
          <t>Tổng 1, Tổng 2, Tổng 3, Tổng 6, Tổng 7, Tổng 8</t>
        </is>
      </c>
      <c r="H121" s="3" t="inlineStr">
        <is>
          <t>0123456789</t>
        </is>
      </c>
      <c r="I121" s="3" t="inlineStr">
        <is>
          <t>Tổng 7-Bóng 2</t>
        </is>
      </c>
      <c r="J121" s="3" t="n">
        <v>60</v>
      </c>
      <c r="K121" s="7" t="inlineStr">
        <is>
          <t>TRƯỢT ❌</t>
        </is>
      </c>
      <c r="L121" s="3" t="inlineStr">
        <is>
          <t>06, 17, 20, 24, 25, 29, 35, 38, 39, 43, 44, 48, 66, 67, 75, 76, 80, 88, 94, 97</t>
        </is>
      </c>
      <c r="M121" s="7" t="inlineStr">
        <is>
          <t>TRƯỢT ❌</t>
        </is>
      </c>
      <c r="N121" s="7" t="inlineStr">
        <is>
          <t>TRƯỢT KHUNG ❌</t>
        </is>
      </c>
      <c r="O12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22">
      <c r="A122" s="2" t="n">
        <v>115</v>
      </c>
      <c r="B122" s="2" t="inlineStr">
        <is>
          <t>Thứ năm ngày 30-04-2026</t>
        </is>
      </c>
      <c r="C122" s="3" t="inlineStr">
        <is>
          <t>Thứ Tư</t>
        </is>
      </c>
      <c r="D122" s="3" t="inlineStr">
        <is>
          <t>82075</t>
        </is>
      </c>
      <c r="E122" s="3" t="inlineStr">
        <is>
          <t>75</t>
        </is>
      </c>
      <c r="F122" s="3" t="inlineStr">
        <is>
          <t>G7.4, G7.1</t>
        </is>
      </c>
      <c r="G122" s="3" t="inlineStr">
        <is>
          <t>Tổng 0, Tổng 4, Tổng 5, Tổng 9</t>
        </is>
      </c>
      <c r="H122" s="3" t="inlineStr">
        <is>
          <t>12346789</t>
        </is>
      </c>
      <c r="I122" s="3" t="inlineStr">
        <is>
          <t>Tổng 5-Bóng 0</t>
        </is>
      </c>
      <c r="J122" s="3" t="n">
        <v>36</v>
      </c>
      <c r="K122" s="7" t="inlineStr">
        <is>
          <t>TRƯỢT ❌</t>
        </is>
      </c>
      <c r="L122" s="3" t="inlineStr">
        <is>
          <t>04, 14, 19, 22, 28, 32, 37, 46, 54, 59, 63, 64, 68, 69, 77, 78, 82, 87, 91, 95</t>
        </is>
      </c>
      <c r="M122" s="7" t="inlineStr">
        <is>
          <t>TRƯỢT ❌</t>
        </is>
      </c>
      <c r="N122" s="6" t="inlineStr">
        <is>
          <t>TRÚNG N2 🎯</t>
        </is>
      </c>
      <c r="O122" s="3" t="inlineStr">
        <is>
          <t>04, 09, 13, 14, 18, 19, 22, 23, 27, 28, 31, 32, 36, 37, 40, 41, 45, 46, 54, 59, 63, 64, 68, 69, 72, 73, 77, 78, 81, 82, 86, 87, 90, 91, 95, 96</t>
        </is>
      </c>
    </row>
    <row r="123">
      <c r="A123" s="2" t="n">
        <v>114</v>
      </c>
      <c r="B123" s="2" t="inlineStr">
        <is>
          <t>Thứ tư ngày 29-04-2026</t>
        </is>
      </c>
      <c r="C123" s="3" t="inlineStr">
        <is>
          <t>Thứ Ba</t>
        </is>
      </c>
      <c r="D123" s="3" t="inlineStr">
        <is>
          <t>86569</t>
        </is>
      </c>
      <c r="E123" s="3" t="inlineStr">
        <is>
          <t>69</t>
        </is>
      </c>
      <c r="F123" s="3" t="inlineStr">
        <is>
          <t>G7.3, G7.4</t>
        </is>
      </c>
      <c r="G123" s="3" t="inlineStr">
        <is>
          <t>Tổng 0, Tổng 3, Tổng 5, Tổng 8</t>
        </is>
      </c>
      <c r="H123" s="3" t="inlineStr">
        <is>
          <t>0123456789</t>
        </is>
      </c>
      <c r="I123" s="3" t="inlineStr">
        <is>
          <t>Tổng 0-Bóng 5</t>
        </is>
      </c>
      <c r="J123" s="3" t="n">
        <v>40</v>
      </c>
      <c r="K123" s="6" t="inlineStr">
        <is>
          <t>TRÚNG N1 🎯</t>
        </is>
      </c>
      <c r="L123" s="3" t="inlineStr">
        <is>
          <t>00, 14, 17, 28, 32, 35, 37, 44, 46, 50, 55, 64, 67, 76, 78, 80, 82, 87, 91, 94</t>
        </is>
      </c>
      <c r="M123" s="7" t="inlineStr">
        <is>
          <t>TRƯỢT ❌</t>
        </is>
      </c>
      <c r="N123" s="6" t="inlineStr">
        <is>
          <t>TRÚNG N1 🎯</t>
        </is>
      </c>
      <c r="O123" s="3" t="inlineStr">
        <is>
          <t>00, 03, 05, 08, 12, 14, 17, 19, 21, 23, 26, 28, 30, 32, 35, 37, 41, 44, 46, 49, 50, 53, 55, 58, 62, 64, 67, 69, 71, 73, 76, 78, 80, 82, 85, 87, 91, 94, 96, 99</t>
        </is>
      </c>
    </row>
    <row r="124">
      <c r="A124" s="2" t="n">
        <v>113</v>
      </c>
      <c r="B124" s="2" t="inlineStr">
        <is>
          <t>Thứ ba ngày 28-04-2026</t>
        </is>
      </c>
      <c r="C124" s="3" t="inlineStr">
        <is>
          <t>Thứ Hai</t>
        </is>
      </c>
      <c r="D124" s="3" t="inlineStr">
        <is>
          <t>45254</t>
        </is>
      </c>
      <c r="E124" s="3" t="inlineStr">
        <is>
          <t>54</t>
        </is>
      </c>
      <c r="F124" s="3" t="inlineStr">
        <is>
          <t>G7.4, G7.2</t>
        </is>
      </c>
      <c r="G124" s="3" t="inlineStr">
        <is>
          <t>Tổng 0, Tổng 3, Tổng 4, Tổng 5, Tổng 8, Tổng 9</t>
        </is>
      </c>
      <c r="H124" s="3" t="inlineStr">
        <is>
          <t>12346789</t>
        </is>
      </c>
      <c r="I124" s="3" t="inlineStr">
        <is>
          <t>Tổng 4-Bóng 9</t>
        </is>
      </c>
      <c r="J124" s="3" t="n">
        <v>56</v>
      </c>
      <c r="K124" s="6" t="inlineStr">
        <is>
          <t>TRÚNG N1 🎯</t>
        </is>
      </c>
      <c r="L124" s="3" t="inlineStr">
        <is>
          <t>04, 14, 17, 22, 28, 35, 37, 44, 46, 59, 63, 64, 67, 68, 76, 78, 80, 82, 87, 91</t>
        </is>
      </c>
      <c r="M124" s="7" t="inlineStr">
        <is>
          <t>TRƯỢT ❌</t>
        </is>
      </c>
      <c r="N124" s="6" t="inlineStr">
        <is>
          <t>TRÚNG N1 🎯</t>
        </is>
      </c>
      <c r="O124" s="3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25">
      <c r="A125" s="2" t="n">
        <v>112</v>
      </c>
      <c r="B125" s="2" t="inlineStr">
        <is>
          <t>Thứ hai ngày 27-04-2026</t>
        </is>
      </c>
      <c r="C125" s="3" t="inlineStr">
        <is>
          <t>Chủ Nhật</t>
        </is>
      </c>
      <c r="D125" s="3" t="inlineStr">
        <is>
          <t>10059</t>
        </is>
      </c>
      <c r="E125" s="3" t="inlineStr">
        <is>
          <t>59</t>
        </is>
      </c>
      <c r="F125" s="3" t="inlineStr">
        <is>
          <t>G7.3, G7.1</t>
        </is>
      </c>
      <c r="G125" s="3" t="inlineStr">
        <is>
          <t>Tổng 0, Tổng 3, Tổng 5, Tổng 8</t>
        </is>
      </c>
      <c r="H125" s="3" t="inlineStr">
        <is>
          <t>01235678</t>
        </is>
      </c>
      <c r="I125" s="3" t="inlineStr">
        <is>
          <t>Tổng 0-Bóng 5</t>
        </is>
      </c>
      <c r="J125" s="3" t="n">
        <v>36</v>
      </c>
      <c r="K125" s="7" t="inlineStr">
        <is>
          <t>TRƯỢT ❌</t>
        </is>
      </c>
      <c r="L125" s="3" t="inlineStr">
        <is>
          <t>00, 08, 14, 17, 28, 32, 35, 37, 46, 50, 55, 64, 67, 69, 76, 78, 80, 82, 87, 91</t>
        </is>
      </c>
      <c r="M125" s="7" t="inlineStr">
        <is>
          <t>TRƯỢT ❌</t>
        </is>
      </c>
      <c r="N125" s="6" t="inlineStr">
        <is>
          <t>TRÚNG N3 🎯</t>
        </is>
      </c>
      <c r="O125" s="3" t="inlineStr">
        <is>
          <t>00, 03, 05, 08, 12, 14, 17, 19, 21, 23, 26, 28, 30, 32, 35, 37, 41, 46, 50, 53, 55, 58, 62, 64, 67, 69, 71, 73, 76, 78, 80, 82, 85, 87, 91, 96</t>
        </is>
      </c>
    </row>
    <row r="126">
      <c r="A126" s="2" t="n">
        <v>111</v>
      </c>
      <c r="B126" s="2" t="inlineStr">
        <is>
          <t>Chủ nhật ngày 26-04-2026</t>
        </is>
      </c>
      <c r="C126" s="3" t="inlineStr">
        <is>
          <t>Thứ Bảy</t>
        </is>
      </c>
      <c r="D126" s="3" t="inlineStr">
        <is>
          <t>38228</t>
        </is>
      </c>
      <c r="E126" s="3" t="inlineStr">
        <is>
          <t>28</t>
        </is>
      </c>
      <c r="F126" s="3" t="inlineStr">
        <is>
          <t>G7.1, G7.3</t>
        </is>
      </c>
      <c r="G126" s="3" t="inlineStr">
        <is>
          <t>Tổng 1, Tổng 2, Tổng 4, Tổng 6, Tổng 7, Tổng 9</t>
        </is>
      </c>
      <c r="H126" s="3" t="inlineStr">
        <is>
          <t>02345789</t>
        </is>
      </c>
      <c r="I126" s="3" t="inlineStr">
        <is>
          <t>Tổng 1-Bóng 6</t>
        </is>
      </c>
      <c r="J126" s="3" t="n">
        <v>56</v>
      </c>
      <c r="K126" s="7" t="inlineStr">
        <is>
          <t>TRƯỢT ❌</t>
        </is>
      </c>
      <c r="L126" s="3" t="inlineStr">
        <is>
          <t>04, 06, 20, 22, 24, 25, 29, 38, 39, 42, 43, 48, 57, 59, 63, 68, 83, 88, 95, 97</t>
        </is>
      </c>
      <c r="M126" s="7" t="inlineStr">
        <is>
          <t>TRƯỢT ❌</t>
        </is>
      </c>
      <c r="N126" s="6" t="inlineStr">
        <is>
          <t>TRÚNG N2 🎯</t>
        </is>
      </c>
      <c r="O126" s="3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27">
      <c r="A127" s="2" t="n">
        <v>110</v>
      </c>
      <c r="B127" s="2" t="inlineStr">
        <is>
          <t>Thứ bảy ngày 25-04-2026</t>
        </is>
      </c>
      <c r="C127" s="3" t="inlineStr">
        <is>
          <t>Thứ Sáu</t>
        </is>
      </c>
      <c r="D127" s="3" t="inlineStr">
        <is>
          <t>08717</t>
        </is>
      </c>
      <c r="E127" s="3" t="inlineStr">
        <is>
          <t>17</t>
        </is>
      </c>
      <c r="F127" s="3" t="inlineStr">
        <is>
          <t>G7.2, G7.4</t>
        </is>
      </c>
      <c r="G127" s="3" t="inlineStr">
        <is>
          <t>Tổng 0, Tổng 2, Tổng 4, Tổng 5, Tổng 7, Tổng 9</t>
        </is>
      </c>
      <c r="H127" s="3" t="inlineStr">
        <is>
          <t>01345689</t>
        </is>
      </c>
      <c r="I127" s="3" t="inlineStr">
        <is>
          <t>Tổng 4-Bóng 9</t>
        </is>
      </c>
      <c r="J127" s="3" t="n">
        <v>56</v>
      </c>
      <c r="K127" s="7" t="inlineStr">
        <is>
          <t>TRƯỢT ❌</t>
        </is>
      </c>
      <c r="L127" s="3" t="inlineStr">
        <is>
          <t>00, 04, 14, 20, 25, 32, 37, 39, 43, 48, 50, 55, 59, 63, 64, 66, 68, 82, 91, 93</t>
        </is>
      </c>
      <c r="M127" s="7" t="inlineStr">
        <is>
          <t>TRƯỢT ❌</t>
        </is>
      </c>
      <c r="N127" s="6" t="inlineStr">
        <is>
          <t>TRÚNG N2 🎯</t>
        </is>
      </c>
      <c r="O127" s="3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28">
      <c r="A128" s="2" t="n">
        <v>109</v>
      </c>
      <c r="B128" s="2" t="inlineStr">
        <is>
          <t>Thứ sáu ngày 24-04-2026</t>
        </is>
      </c>
      <c r="C128" s="3" t="inlineStr">
        <is>
          <t>Thứ Năm</t>
        </is>
      </c>
      <c r="D128" s="3" t="inlineStr">
        <is>
          <t>09876</t>
        </is>
      </c>
      <c r="E128" s="3" t="inlineStr">
        <is>
          <t>76</t>
        </is>
      </c>
      <c r="F128" s="3" t="inlineStr">
        <is>
          <t>G7.4, G7.1</t>
        </is>
      </c>
      <c r="G128" s="3" t="inlineStr">
        <is>
          <t>Tổng 2, Tổng 4, Tổng 7, Tổng 9</t>
        </is>
      </c>
      <c r="H128" s="3" t="inlineStr">
        <is>
          <t>0123456789</t>
        </is>
      </c>
      <c r="I128" s="3" t="inlineStr">
        <is>
          <t>Tổng 9-Bóng 4</t>
        </is>
      </c>
      <c r="J128" s="3" t="n">
        <v>40</v>
      </c>
      <c r="K128" s="7" t="inlineStr">
        <is>
          <t>TRƯỢT ❌</t>
        </is>
      </c>
      <c r="L128" s="3" t="inlineStr">
        <is>
          <t>04, 20, 22, 25, 36, 39, 43, 48, 52, 57, 59, 61, 63, 66, 68, 70, 77, 81, 93, 95</t>
        </is>
      </c>
      <c r="M128" s="7" t="inlineStr">
        <is>
          <t>TRƯỢT ❌</t>
        </is>
      </c>
      <c r="N128" s="7" t="inlineStr">
        <is>
          <t>TRƯỢT KHUNG ❌</t>
        </is>
      </c>
      <c r="O128" s="3" t="inlineStr">
        <is>
          <t>02, 04, 07, 09, 11, 13, 16, 18, 20, 22, 25, 27, 31, 34, 36, 39, 40, 43, 45, 48, 52, 54, 57, 59, 61, 63, 66, 68, 70, 72, 75, 77, 81, 84, 86, 89, 90, 93, 95, 98</t>
        </is>
      </c>
    </row>
    <row r="129">
      <c r="A129" s="2" t="n">
        <v>108</v>
      </c>
      <c r="B129" s="2" t="inlineStr">
        <is>
          <t>Thứ năm ngày 23-04-2026</t>
        </is>
      </c>
      <c r="C129" s="3" t="inlineStr">
        <is>
          <t>Thứ Tư</t>
        </is>
      </c>
      <c r="D129" s="3" t="inlineStr">
        <is>
          <t>66239</t>
        </is>
      </c>
      <c r="E129" s="3" t="inlineStr">
        <is>
          <t>39</t>
        </is>
      </c>
      <c r="F129" s="3" t="inlineStr">
        <is>
          <t>G7.4, G7.1</t>
        </is>
      </c>
      <c r="G129" s="3" t="inlineStr">
        <is>
          <t>Tổng 1, Tổng 2, Tổng 4, Tổng 6, Tổng 7, Tổng 9</t>
        </is>
      </c>
      <c r="H129" s="3" t="inlineStr">
        <is>
          <t>01245679</t>
        </is>
      </c>
      <c r="I129" s="3" t="inlineStr">
        <is>
          <t>Tổng 4-Bóng 9</t>
        </is>
      </c>
      <c r="J129" s="3" t="n">
        <v>56</v>
      </c>
      <c r="K129" s="6" t="inlineStr">
        <is>
          <t>TRÚNG N1 🎯</t>
        </is>
      </c>
      <c r="L129" s="3" t="inlineStr">
        <is>
          <t>04, 06, 20, 22, 24, 25, 29, 42, 43, 48, 51, 52, 57, 59, 63, 66, 68, 93, 95, 97</t>
        </is>
      </c>
      <c r="M129" s="7" t="inlineStr">
        <is>
          <t>TRƯỢT ❌</t>
        </is>
      </c>
      <c r="N129" s="6" t="inlineStr">
        <is>
          <t>TRÚNG N1 🎯</t>
        </is>
      </c>
      <c r="O129" s="3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30">
      <c r="A130" s="2" t="n">
        <v>107</v>
      </c>
      <c r="B130" s="2" t="inlineStr">
        <is>
          <t>Thứ tư ngày 22-04-2026</t>
        </is>
      </c>
      <c r="C130" s="3" t="inlineStr">
        <is>
          <t>Thứ Ba</t>
        </is>
      </c>
      <c r="D130" s="3" t="inlineStr">
        <is>
          <t>36948</t>
        </is>
      </c>
      <c r="E130" s="3" t="inlineStr">
        <is>
          <t>48</t>
        </is>
      </c>
      <c r="F130" s="3" t="inlineStr">
        <is>
          <t>G7.3, G7.4</t>
        </is>
      </c>
      <c r="G130" s="3" t="inlineStr">
        <is>
          <t>Tổng 0, Tổng 4, Tổng 5, Tổng 9</t>
        </is>
      </c>
      <c r="H130" s="3" t="inlineStr">
        <is>
          <t>0123456789</t>
        </is>
      </c>
      <c r="I130" s="3" t="inlineStr">
        <is>
          <t>Tổng 5-Bóng 0</t>
        </is>
      </c>
      <c r="J130" s="3" t="n">
        <v>40</v>
      </c>
      <c r="K130" s="7" t="inlineStr">
        <is>
          <t>TRƯỢT ❌</t>
        </is>
      </c>
      <c r="L130" s="3" t="inlineStr">
        <is>
          <t>00, 04, 13, 14, 22, 32, 37, 46, 50, 55, 59, 63, 64, 68, 69, 78, 82, 87, 91, 95</t>
        </is>
      </c>
      <c r="M130" s="7" t="inlineStr">
        <is>
          <t>TRƯỢT ❌</t>
        </is>
      </c>
      <c r="N130" s="7" t="inlineStr">
        <is>
          <t>TRƯỢT KHUNG ❌</t>
        </is>
      </c>
      <c r="O130" s="3" t="inlineStr">
        <is>
          <t>00, 04, 05, 09, 13, 14, 18, 19, 22, 23, 27, 28, 31, 32, 36, 37, 40, 41, 45, 46, 50, 54, 55, 59, 63, 64, 68, 69, 72, 73, 77, 78, 81, 82, 86, 87, 90, 91, 95, 96</t>
        </is>
      </c>
    </row>
    <row r="131">
      <c r="A131" s="2" t="n">
        <v>106</v>
      </c>
      <c r="B131" s="2" t="inlineStr">
        <is>
          <t>Thứ ba ngày 21-04-2026</t>
        </is>
      </c>
      <c r="C131" s="3" t="inlineStr">
        <is>
          <t>Thứ Hai</t>
        </is>
      </c>
      <c r="D131" s="3" t="inlineStr">
        <is>
          <t>48076</t>
        </is>
      </c>
      <c r="E131" s="3" t="inlineStr">
        <is>
          <t>76</t>
        </is>
      </c>
      <c r="F131" s="3" t="inlineStr">
        <is>
          <t>G7.4, G7.2</t>
        </is>
      </c>
      <c r="G131" s="3" t="inlineStr">
        <is>
          <t>Tổng 1, Tổng 2, Tổng 6, Tổng 7</t>
        </is>
      </c>
      <c r="H131" s="3" t="inlineStr">
        <is>
          <t>0123456789</t>
        </is>
      </c>
      <c r="I131" s="3" t="inlineStr">
        <is>
          <t>Tổng 2-Bóng 7</t>
        </is>
      </c>
      <c r="J131" s="3" t="n">
        <v>40</v>
      </c>
      <c r="K131" s="7" t="inlineStr">
        <is>
          <t>TRƯỢT ❌</t>
        </is>
      </c>
      <c r="L131" s="3" t="inlineStr">
        <is>
          <t>01, 06, 20, 24, 25, 29, 38, 42, 43, 48, 51, 52, 57, 61, 66, 70, 83, 88, 93, 97</t>
        </is>
      </c>
      <c r="M131" s="7" t="inlineStr">
        <is>
          <t>TRƯỢT ❌</t>
        </is>
      </c>
      <c r="N131" s="6" t="inlineStr">
        <is>
          <t>TRÚNG N2 🎯</t>
        </is>
      </c>
      <c r="O131" s="3" t="inlineStr">
        <is>
          <t>01, 02, 06, 07, 10, 11, 15, 16, 20, 24, 25, 29, 33, 34, 38, 39, 42, 43, 47, 48, 51, 52, 56, 57, 60, 61, 65, 66, 70, 74, 75, 79, 83, 84, 88, 89, 92, 93, 97, 98</t>
        </is>
      </c>
    </row>
    <row r="132">
      <c r="A132" s="2" t="n">
        <v>105</v>
      </c>
      <c r="B132" s="2" t="inlineStr">
        <is>
          <t>Thứ hai ngày 20-04-2026</t>
        </is>
      </c>
      <c r="C132" s="3" t="inlineStr">
        <is>
          <t>Chủ Nhật</t>
        </is>
      </c>
      <c r="D132" s="3" t="inlineStr">
        <is>
          <t>74197</t>
        </is>
      </c>
      <c r="E132" s="3" t="inlineStr">
        <is>
          <t>97</t>
        </is>
      </c>
      <c r="F132" s="3" t="inlineStr">
        <is>
          <t>G7.3, G7.4</t>
        </is>
      </c>
      <c r="G132" s="3" t="inlineStr">
        <is>
          <t>Tổng 2, Tổng 3, Tổng 4, Tổng 7, Tổng 8, Tổng 9</t>
        </is>
      </c>
      <c r="H132" s="3" t="inlineStr">
        <is>
          <t>01235678</t>
        </is>
      </c>
      <c r="I132" s="3" t="inlineStr">
        <is>
          <t>Tổng 4-Bóng 9</t>
        </is>
      </c>
      <c r="J132" s="3" t="n">
        <v>56</v>
      </c>
      <c r="K132" s="7" t="inlineStr">
        <is>
          <t>TRƯỢT ❌</t>
        </is>
      </c>
      <c r="L132" s="3" t="inlineStr">
        <is>
          <t>04, 13, 20, 22, 25, 35, 43, 48, 52, 53, 57, 59, 63, 66, 67, 68, 80, 81, 93, 95</t>
        </is>
      </c>
      <c r="M132" s="7" t="inlineStr">
        <is>
          <t>TRƯỢT ❌</t>
        </is>
      </c>
      <c r="N132" s="6" t="inlineStr">
        <is>
          <t>TRÚNG N2 🎯</t>
        </is>
      </c>
      <c r="O132" s="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33">
      <c r="A133" s="2" t="n">
        <v>104</v>
      </c>
      <c r="B133" s="2" t="inlineStr">
        <is>
          <t>Chủ nhật ngày 19-04-2026</t>
        </is>
      </c>
      <c r="C133" s="3" t="inlineStr">
        <is>
          <t>Thứ Bảy</t>
        </is>
      </c>
      <c r="D133" s="3" t="inlineStr">
        <is>
          <t>93725</t>
        </is>
      </c>
      <c r="E133" s="3" t="inlineStr">
        <is>
          <t>25</t>
        </is>
      </c>
      <c r="F133" s="3" t="inlineStr">
        <is>
          <t>G7.1, G7.3</t>
        </is>
      </c>
      <c r="G133" s="3" t="inlineStr">
        <is>
          <t>Tổng 2, Tổng 4, Tổng 7, Tổng 9</t>
        </is>
      </c>
      <c r="H133" s="3" t="inlineStr">
        <is>
          <t>02345789</t>
        </is>
      </c>
      <c r="I133" s="3" t="inlineStr">
        <is>
          <t>Tổng 2-Bóng 7</t>
        </is>
      </c>
      <c r="J133" s="3" t="n">
        <v>36</v>
      </c>
      <c r="K133" s="6" t="inlineStr">
        <is>
          <t>TRÚNG N1 🎯</t>
        </is>
      </c>
      <c r="L133" s="3" t="inlineStr">
        <is>
          <t>04, 13, 20, 22, 25, 36, 43, 48, 52, 57, 59, 63, 68, 70, 75, 77, 81, 86, 93, 95</t>
        </is>
      </c>
      <c r="M133" s="6" t="inlineStr">
        <is>
          <t>TRÚNG HỎA LỰC 🎯</t>
        </is>
      </c>
      <c r="N133" s="6" t="inlineStr">
        <is>
          <t>TRÚNG N1 🎯</t>
        </is>
      </c>
      <c r="O133" s="3" t="inlineStr">
        <is>
          <t>02, 04, 07, 09, 13, 18, 20, 22, 25, 27, 31, 34, 36, 39, 40, 43, 45, 48, 52, 54, 57, 59, 63, 68, 70, 72, 75, 77, 81, 84, 86, 89, 90, 93, 95, 98</t>
        </is>
      </c>
    </row>
    <row r="134">
      <c r="A134" s="2" t="n">
        <v>103</v>
      </c>
      <c r="B134" s="2" t="inlineStr">
        <is>
          <t>Thứ bảy ngày 18-04-2026</t>
        </is>
      </c>
      <c r="C134" s="3" t="inlineStr">
        <is>
          <t>Thứ Sáu</t>
        </is>
      </c>
      <c r="D134" s="3" t="inlineStr">
        <is>
          <t>17243</t>
        </is>
      </c>
      <c r="E134" s="3" t="inlineStr">
        <is>
          <t>43</t>
        </is>
      </c>
      <c r="F134" s="3" t="inlineStr">
        <is>
          <t>G7.2, G7.4</t>
        </is>
      </c>
      <c r="G134" s="3" t="inlineStr">
        <is>
          <t>Tổng 0, Tổng 4, Tổng 5, Tổng 9</t>
        </is>
      </c>
      <c r="H134" s="3" t="inlineStr">
        <is>
          <t>01235678</t>
        </is>
      </c>
      <c r="I134" s="3" t="inlineStr">
        <is>
          <t>Tổng 0-Bóng 5</t>
        </is>
      </c>
      <c r="J134" s="3" t="n">
        <v>40</v>
      </c>
      <c r="K134" s="7" t="inlineStr">
        <is>
          <t>TRƯỢT ❌</t>
        </is>
      </c>
      <c r="L134" s="3" t="inlineStr">
        <is>
          <t>00, 04, 14, 22, 32, 37, 46, 50, 55, 59, 63, 64, 68, 77, 78, 81, 82, 87, 91, 95</t>
        </is>
      </c>
      <c r="M134" s="7" t="inlineStr">
        <is>
          <t>TRƯỢT ❌</t>
        </is>
      </c>
      <c r="N134" s="7" t="inlineStr">
        <is>
          <t>TRƯỢT KHUNG ❌</t>
        </is>
      </c>
      <c r="O134" s="3" t="inlineStr">
        <is>
          <t>00, 04, 05, 09, 13, 14, 18, 19, 22, 23, 27, 28, 31, 32, 36, 37, 40, 41, 45, 46, 50, 54, 55, 59, 63, 64, 68, 69, 72, 73, 77, 78, 81, 82, 86, 87, 90, 91, 95, 96</t>
        </is>
      </c>
    </row>
    <row r="135">
      <c r="A135" s="2" t="n">
        <v>102</v>
      </c>
      <c r="B135" s="2" t="inlineStr">
        <is>
          <t>Thứ sáu ngày 17-04-2026</t>
        </is>
      </c>
      <c r="C135" s="3" t="inlineStr">
        <is>
          <t>Thứ Năm</t>
        </is>
      </c>
      <c r="D135" s="3" t="inlineStr">
        <is>
          <t>38455</t>
        </is>
      </c>
      <c r="E135" s="3" t="inlineStr">
        <is>
          <t>55</t>
        </is>
      </c>
      <c r="F135" s="3" t="inlineStr">
        <is>
          <t>G7.4, G7.1</t>
        </is>
      </c>
      <c r="G135" s="3" t="inlineStr">
        <is>
          <t>Tổng 0, Tổng 3, Tổng 5, Tổng 8</t>
        </is>
      </c>
      <c r="H135" s="3" t="inlineStr">
        <is>
          <t>12346789</t>
        </is>
      </c>
      <c r="I135" s="3" t="inlineStr">
        <is>
          <t>Tổng 3-Bóng 8</t>
        </is>
      </c>
      <c r="J135" s="3" t="n">
        <v>36</v>
      </c>
      <c r="K135" s="7" t="inlineStr">
        <is>
          <t>TRƯỢT ❌</t>
        </is>
      </c>
      <c r="L135" s="3" t="inlineStr">
        <is>
          <t>08, 14, 19, 30, 32, 35, 37, 44, 46, 49, 53, 64, 67, 69, 78, 80, 82, 87, 91, 94</t>
        </is>
      </c>
      <c r="M135" s="7" t="inlineStr">
        <is>
          <t>TRƯỢT ❌</t>
        </is>
      </c>
      <c r="N135" s="7" t="inlineStr">
        <is>
          <t>TRƯỢT KHUNG ❌</t>
        </is>
      </c>
      <c r="O135" s="3" t="inlineStr">
        <is>
          <t>03, 08, 12, 14, 17, 19, 21, 23, 26, 28, 30, 32, 35, 37, 41, 44, 46, 49, 53, 58, 62, 64, 67, 69, 71, 73, 76, 78, 80, 82, 85, 87, 91, 94, 96, 99</t>
        </is>
      </c>
    </row>
    <row r="136">
      <c r="A136" s="2" t="n">
        <v>101</v>
      </c>
      <c r="B136" s="2" t="inlineStr">
        <is>
          <t>Thứ năm ngày 16-04-2026</t>
        </is>
      </c>
      <c r="C136" s="3" t="inlineStr">
        <is>
          <t>Thứ Tư</t>
        </is>
      </c>
      <c r="D136" s="3" t="inlineStr">
        <is>
          <t>35035</t>
        </is>
      </c>
      <c r="E136" s="3" t="inlineStr">
        <is>
          <t>35</t>
        </is>
      </c>
      <c r="F136" s="3" t="inlineStr">
        <is>
          <t>G7.1, G7.4</t>
        </is>
      </c>
      <c r="G136" s="3" t="inlineStr">
        <is>
          <t>Tổng 1, Tổng 2, Tổng 4, Tổng 6, Tổng 7, Tổng 9</t>
        </is>
      </c>
      <c r="H136" s="3" t="inlineStr">
        <is>
          <t>01345689</t>
        </is>
      </c>
      <c r="I136" s="3" t="inlineStr">
        <is>
          <t>Tổng 9-Bóng 4</t>
        </is>
      </c>
      <c r="J136" s="3" t="n">
        <v>56</v>
      </c>
      <c r="K136" s="7" t="inlineStr">
        <is>
          <t>TRƯỢT ❌</t>
        </is>
      </c>
      <c r="L136" s="3" t="inlineStr">
        <is>
          <t>01, 04, 06, 20, 24, 25, 29, 38, 42, 48, 51, 59, 63, 66, 68, 81, 83, 88, 93, 95</t>
        </is>
      </c>
      <c r="M136" s="7" t="inlineStr">
        <is>
          <t>TRƯỢT ❌</t>
        </is>
      </c>
      <c r="N136" s="6" t="inlineStr">
        <is>
          <t>TRÚNG N3 🎯</t>
        </is>
      </c>
      <c r="O136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37">
      <c r="A137" s="2" t="n">
        <v>100</v>
      </c>
      <c r="B137" s="2" t="inlineStr">
        <is>
          <t>Thứ tư ngày 15-04-2026</t>
        </is>
      </c>
      <c r="C137" s="3" t="inlineStr">
        <is>
          <t>Thứ Ba</t>
        </is>
      </c>
      <c r="D137" s="3" t="inlineStr">
        <is>
          <t>03714</t>
        </is>
      </c>
      <c r="E137" s="3" t="inlineStr">
        <is>
          <t>14</t>
        </is>
      </c>
      <c r="F137" s="3" t="inlineStr">
        <is>
          <t>G7.3, G7.4</t>
        </is>
      </c>
      <c r="G137" s="3" t="inlineStr">
        <is>
          <t>Tổng 4, Tổng 9</t>
        </is>
      </c>
      <c r="H137" s="3" t="inlineStr">
        <is>
          <t>01235678</t>
        </is>
      </c>
      <c r="I137" s="3" t="inlineStr">
        <is>
          <t>Tổng 4-Bóng 9</t>
        </is>
      </c>
      <c r="J137" s="3" t="n">
        <v>20</v>
      </c>
      <c r="K137" s="7" t="inlineStr">
        <is>
          <t>TRƯỢT ❌</t>
        </is>
      </c>
      <c r="L137" s="3" t="inlineStr">
        <is>
          <t>04, 09, 13, 18, 22, 27, 31, 36, 40, 45, 54, 59, 63, 68, 72, 77, 81, 86, 90, 95</t>
        </is>
      </c>
      <c r="M137" s="7" t="inlineStr">
        <is>
          <t>TRƯỢT ❌</t>
        </is>
      </c>
      <c r="N137" s="7" t="inlineStr">
        <is>
          <t>TRƯỢT KHUNG ❌</t>
        </is>
      </c>
      <c r="O137" s="3" t="inlineStr">
        <is>
          <t>04, 09, 13, 18, 22, 27, 31, 36, 40, 45, 54, 59, 63, 68, 72, 77, 81, 86, 90, 95</t>
        </is>
      </c>
    </row>
    <row r="138">
      <c r="A138" s="2" t="n">
        <v>99</v>
      </c>
      <c r="B138" s="2" t="inlineStr">
        <is>
          <t>Thứ ba ngày 14-04-2026</t>
        </is>
      </c>
      <c r="C138" s="3" t="inlineStr">
        <is>
          <t>Thứ Hai</t>
        </is>
      </c>
      <c r="D138" s="3" t="inlineStr">
        <is>
          <t>92763</t>
        </is>
      </c>
      <c r="E138" s="3" t="inlineStr">
        <is>
          <t>63</t>
        </is>
      </c>
      <c r="F138" s="3" t="inlineStr">
        <is>
          <t>G7.4, G7.2</t>
        </is>
      </c>
      <c r="G138" s="3" t="inlineStr">
        <is>
          <t>Tổng 0, Tổng 2, Tổng 4, Tổng 5, Tổng 7, Tổng 9</t>
        </is>
      </c>
      <c r="H138" s="3" t="inlineStr">
        <is>
          <t>01245679</t>
        </is>
      </c>
      <c r="I138" s="3" t="inlineStr">
        <is>
          <t>Tổng 4-Bóng 9</t>
        </is>
      </c>
      <c r="J138" s="3" t="n">
        <v>60</v>
      </c>
      <c r="K138" s="6" t="inlineStr">
        <is>
          <t>TRÚNG N1 🎯</t>
        </is>
      </c>
      <c r="L138" s="3" t="inlineStr">
        <is>
          <t>00, 04, 14, 20, 22, 25, 32, 37, 46, 48, 50, 52, 55, 64, 66, 82, 87, 91, 93, 95</t>
        </is>
      </c>
      <c r="M138" s="7" t="inlineStr">
        <is>
          <t>TRƯỢT ❌</t>
        </is>
      </c>
      <c r="N138" s="6" t="inlineStr">
        <is>
          <t>TRÚNG N1 🎯</t>
        </is>
      </c>
      <c r="O1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9">
      <c r="A139" s="2" t="n">
        <v>98</v>
      </c>
      <c r="B139" s="2" t="inlineStr">
        <is>
          <t>Thứ hai ngày 13-04-2026</t>
        </is>
      </c>
      <c r="C139" s="3" t="inlineStr">
        <is>
          <t>Chủ Nhật</t>
        </is>
      </c>
      <c r="D139" s="3" t="inlineStr">
        <is>
          <t>22738</t>
        </is>
      </c>
      <c r="E139" s="3" t="inlineStr">
        <is>
          <t>38</t>
        </is>
      </c>
      <c r="F139" s="3" t="inlineStr">
        <is>
          <t>G7.3, G7.1</t>
        </is>
      </c>
      <c r="G139" s="3" t="inlineStr">
        <is>
          <t>Tổng 4, Tổng 9</t>
        </is>
      </c>
      <c r="H139" s="3" t="inlineStr">
        <is>
          <t>0123456789</t>
        </is>
      </c>
      <c r="I139" s="3" t="inlineStr">
        <is>
          <t>Tổng 4-Bóng 9</t>
        </is>
      </c>
      <c r="J139" s="3" t="n">
        <v>20</v>
      </c>
      <c r="K139" s="7" t="inlineStr">
        <is>
          <t>TRƯỢT ❌</t>
        </is>
      </c>
      <c r="L139" s="3" t="inlineStr">
        <is>
          <t>04, 09, 13, 18, 22, 27, 31, 36, 40, 45, 54, 59, 63, 68, 72, 77, 81, 86, 90, 95</t>
        </is>
      </c>
      <c r="M139" s="7" t="inlineStr">
        <is>
          <t>TRƯỢT ❌</t>
        </is>
      </c>
      <c r="N139" s="6" t="inlineStr">
        <is>
          <t>TRÚNG N2 🎯</t>
        </is>
      </c>
      <c r="O139" s="3" t="inlineStr">
        <is>
          <t>04, 09, 13, 18, 22, 27, 31, 36, 40, 45, 54, 59, 63, 68, 72, 77, 81, 86, 90, 95</t>
        </is>
      </c>
    </row>
    <row r="140">
      <c r="A140" s="2" t="n">
        <v>97</v>
      </c>
      <c r="B140" s="2" t="inlineStr">
        <is>
          <t>Chủ nhật ngày 12-04-2026</t>
        </is>
      </c>
      <c r="C140" s="3" t="inlineStr">
        <is>
          <t>Thứ Bảy</t>
        </is>
      </c>
      <c r="D140" s="3" t="inlineStr">
        <is>
          <t>12000</t>
        </is>
      </c>
      <c r="E140" s="3" t="inlineStr">
        <is>
          <t>00</t>
        </is>
      </c>
      <c r="F140" s="3" t="inlineStr">
        <is>
          <t>G7.1, G7.3</t>
        </is>
      </c>
      <c r="G140" s="3" t="inlineStr">
        <is>
          <t>Tổng 0, Tổng 2, Tổng 5, Tổng 7</t>
        </is>
      </c>
      <c r="H140" s="3" t="inlineStr">
        <is>
          <t>01235678</t>
        </is>
      </c>
      <c r="I140" s="3" t="inlineStr">
        <is>
          <t>Tổng 5-Bóng 0</t>
        </is>
      </c>
      <c r="J140" s="3" t="n">
        <v>40</v>
      </c>
      <c r="K140" s="6" t="inlineStr">
        <is>
          <t>TRÚNG N1 🎯</t>
        </is>
      </c>
      <c r="L140" s="3" t="inlineStr">
        <is>
          <t>14, 20, 25, 32, 37, 46, 48, 50, 52, 55, 57, 64, 66, 69, 70, 78, 82, 87, 91, 93</t>
        </is>
      </c>
      <c r="M140" s="7" t="inlineStr">
        <is>
          <t>TRƯỢT ❌</t>
        </is>
      </c>
      <c r="N140" s="6" t="inlineStr">
        <is>
          <t>TRÚNG N1 🎯</t>
        </is>
      </c>
      <c r="O140" s="3" t="inlineStr">
        <is>
          <t>00, 02, 05, 07, 11, 14, 16, 19, 20, 23, 25, 28, 32, 34, 37, 39, 41, 43, 46, 48, 50, 52, 55, 57, 61, 64, 66, 69, 70, 73, 75, 78, 82, 84, 87, 89, 91, 93, 96, 98</t>
        </is>
      </c>
    </row>
    <row r="141">
      <c r="A141" s="2" t="n">
        <v>96</v>
      </c>
      <c r="B141" s="2" t="inlineStr">
        <is>
          <t>Thứ bảy ngày 11-04-2026</t>
        </is>
      </c>
      <c r="C141" s="3" t="inlineStr">
        <is>
          <t>Thứ Sáu</t>
        </is>
      </c>
      <c r="D141" s="3" t="inlineStr">
        <is>
          <t>24204</t>
        </is>
      </c>
      <c r="E141" s="3" t="inlineStr">
        <is>
          <t>04</t>
        </is>
      </c>
      <c r="F141" s="3" t="inlineStr">
        <is>
          <t>G7.4, G7.2</t>
        </is>
      </c>
      <c r="G141" s="3" t="inlineStr">
        <is>
          <t>Tổng 0, Tổng 1, Tổng 4, Tổng 5, Tổng 6, Tổng 9</t>
        </is>
      </c>
      <c r="H141" s="3" t="inlineStr">
        <is>
          <t>02345789</t>
        </is>
      </c>
      <c r="I141" s="3" t="inlineStr">
        <is>
          <t>Tổng 9-Bóng 4</t>
        </is>
      </c>
      <c r="J141" s="3" t="n">
        <v>60</v>
      </c>
      <c r="K141" s="6" t="inlineStr">
        <is>
          <t>TRÚNG N1 🎯</t>
        </is>
      </c>
      <c r="L141" s="3" t="inlineStr">
        <is>
          <t>01, 06, 14, 22, 24, 29, 32, 37, 46, 50, 55, 59, 64, 69, 77, 82, 87, 88, 91, 95</t>
        </is>
      </c>
      <c r="M141" s="7" t="inlineStr">
        <is>
          <t>TRƯỢT ❌</t>
        </is>
      </c>
      <c r="N141" s="6" t="inlineStr">
        <is>
          <t>TRÚNG N1 🎯</t>
        </is>
      </c>
      <c r="O14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2">
      <c r="A142" s="2" t="n">
        <v>95</v>
      </c>
      <c r="B142" s="2" t="inlineStr">
        <is>
          <t>Thứ sáu ngày 10-04-2026</t>
        </is>
      </c>
      <c r="C142" s="3" t="inlineStr">
        <is>
          <t>Thứ Năm</t>
        </is>
      </c>
      <c r="D142" s="3" t="inlineStr">
        <is>
          <t>46120</t>
        </is>
      </c>
      <c r="E142" s="3" t="inlineStr">
        <is>
          <t>20</t>
        </is>
      </c>
      <c r="F142" s="3" t="inlineStr">
        <is>
          <t>G7.4, G7.1</t>
        </is>
      </c>
      <c r="G142" s="3" t="inlineStr">
        <is>
          <t>Tổng 0, Tổng 2, Tổng 5, Tổng 7</t>
        </is>
      </c>
      <c r="H142" s="3" t="inlineStr">
        <is>
          <t>12346789</t>
        </is>
      </c>
      <c r="I142" s="3" t="inlineStr">
        <is>
          <t>Tổng 7-Bóng 2</t>
        </is>
      </c>
      <c r="J142" s="3" t="n">
        <v>36</v>
      </c>
      <c r="K142" s="6" t="inlineStr">
        <is>
          <t>TRÚNG N1 🎯</t>
        </is>
      </c>
      <c r="L142" s="3" t="inlineStr">
        <is>
          <t>14, 19, 25, 32, 37, 46, 48, 52, 57, 61, 64, 66, 69, 70, 75, 78, 82, 87, 91, 93</t>
        </is>
      </c>
      <c r="M142" s="7" t="inlineStr">
        <is>
          <t>TRƯỢT ❌</t>
        </is>
      </c>
      <c r="N142" s="6" t="inlineStr">
        <is>
          <t>TRÚNG N1 🎯</t>
        </is>
      </c>
      <c r="O142" s="3" t="inlineStr">
        <is>
          <t>02, 07, 11, 14, 16, 19, 20, 23, 25, 28, 32, 34, 37, 39, 41, 43, 46, 48, 52, 57, 61, 64, 66, 69, 70, 73, 75, 78, 82, 84, 87, 89, 91, 93, 96, 98</t>
        </is>
      </c>
    </row>
    <row r="143">
      <c r="A143" s="2" t="n">
        <v>94</v>
      </c>
      <c r="B143" s="2" t="inlineStr">
        <is>
          <t>Thứ năm ngày 09-04-2026</t>
        </is>
      </c>
      <c r="C143" s="3" t="inlineStr">
        <is>
          <t>Thứ Tư</t>
        </is>
      </c>
      <c r="D143" s="3" t="inlineStr">
        <is>
          <t>45625</t>
        </is>
      </c>
      <c r="E143" s="3" t="inlineStr">
        <is>
          <t>25</t>
        </is>
      </c>
      <c r="F143" s="3" t="inlineStr">
        <is>
          <t>G7.1, G7.4</t>
        </is>
      </c>
      <c r="G143" s="3" t="inlineStr">
        <is>
          <t>Tổng 1, Tổng 2, Tổng 3, Tổng 6, Tổng 7, Tổng 8</t>
        </is>
      </c>
      <c r="H143" s="3" t="inlineStr">
        <is>
          <t>01245679</t>
        </is>
      </c>
      <c r="I143" s="3" t="inlineStr">
        <is>
          <t>Tổng 2-Bóng 7</t>
        </is>
      </c>
      <c r="J143" s="3" t="n">
        <v>56</v>
      </c>
      <c r="K143" s="6" t="inlineStr">
        <is>
          <t>TRÚNG N1 🎯</t>
        </is>
      </c>
      <c r="L143" s="3" t="inlineStr">
        <is>
          <t>01, 06, 17, 24, 29, 30, 42, 44, 48, 51, 52, 53, 57, 66, 67, 70, 75, 80, 93, 94</t>
        </is>
      </c>
      <c r="M143" s="7" t="inlineStr">
        <is>
          <t>TRƯỢT ❌</t>
        </is>
      </c>
      <c r="N143" s="6" t="inlineStr">
        <is>
          <t>TRÚNG N1 🎯</t>
        </is>
      </c>
      <c r="O143" s="3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44">
      <c r="A144" s="2" t="n">
        <v>93</v>
      </c>
      <c r="B144" s="2" t="inlineStr">
        <is>
          <t>Thứ tư ngày 08-04-2026</t>
        </is>
      </c>
      <c r="C144" s="3" t="inlineStr">
        <is>
          <t>Thứ Ba</t>
        </is>
      </c>
      <c r="D144" s="3" t="inlineStr">
        <is>
          <t>27450</t>
        </is>
      </c>
      <c r="E144" s="3" t="inlineStr">
        <is>
          <t>50</t>
        </is>
      </c>
      <c r="F144" s="3" t="inlineStr">
        <is>
          <t>G7.3, G7.4</t>
        </is>
      </c>
      <c r="G144" s="3" t="inlineStr">
        <is>
          <t>Tổng 0, Tổng 1, Tổng 4, Tổng 5, Tổng 6, Tổng 9</t>
        </is>
      </c>
      <c r="H144" s="3" t="inlineStr">
        <is>
          <t>01235678</t>
        </is>
      </c>
      <c r="I144" s="3" t="inlineStr">
        <is>
          <t>Tổng 5-Bóng 0</t>
        </is>
      </c>
      <c r="J144" s="3" t="n">
        <v>60</v>
      </c>
      <c r="K144" s="6" t="inlineStr">
        <is>
          <t>TRÚNG N1 🎯</t>
        </is>
      </c>
      <c r="L144" s="3" t="inlineStr">
        <is>
          <t>06, 14, 22, 24, 29, 32, 37, 42, 46, 55, 59, 64, 68, 69, 77, 82, 87, 88, 91, 95</t>
        </is>
      </c>
      <c r="M144" s="7" t="inlineStr">
        <is>
          <t>TRƯỢT ❌</t>
        </is>
      </c>
      <c r="N144" s="6" t="inlineStr">
        <is>
          <t>TRÚNG N1 🎯</t>
        </is>
      </c>
      <c r="O1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45">
      <c r="A145" s="2" t="n">
        <v>92</v>
      </c>
      <c r="B145" s="2" t="inlineStr">
        <is>
          <t>Thứ ba ngày 07-04-2026</t>
        </is>
      </c>
      <c r="C145" s="3" t="inlineStr">
        <is>
          <t>Thứ Hai</t>
        </is>
      </c>
      <c r="D145" s="3" t="inlineStr">
        <is>
          <t>02382</t>
        </is>
      </c>
      <c r="E145" s="3" t="inlineStr">
        <is>
          <t>82</t>
        </is>
      </c>
      <c r="F145" s="3" t="inlineStr">
        <is>
          <t>G7.4, G7.2</t>
        </is>
      </c>
      <c r="G145" s="3" t="inlineStr">
        <is>
          <t>Tổng 1, Tổng 2, Tổng 3, Tổng 6, Tổng 7, Tổng 8</t>
        </is>
      </c>
      <c r="H145" s="3" t="inlineStr">
        <is>
          <t>0123456789</t>
        </is>
      </c>
      <c r="I145" s="3" t="inlineStr">
        <is>
          <t>Tổng 2-Bóng 7</t>
        </is>
      </c>
      <c r="J145" s="3" t="n">
        <v>60</v>
      </c>
      <c r="K145" s="7" t="inlineStr">
        <is>
          <t>TRƯỢT ❌</t>
        </is>
      </c>
      <c r="L145" s="3" t="inlineStr">
        <is>
          <t>01, 06, 17, 24, 29, 30, 42, 44, 48, 49, 51, 52, 61, 66, 67, 70, 80, 88, 93, 94</t>
        </is>
      </c>
      <c r="M145" s="7" t="inlineStr">
        <is>
          <t>TRƯỢT ❌</t>
        </is>
      </c>
      <c r="N145" s="6" t="inlineStr">
        <is>
          <t>TRÚNG N3 🎯</t>
        </is>
      </c>
      <c r="O14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6">
      <c r="A146" s="2" t="n">
        <v>91</v>
      </c>
      <c r="B146" s="2" t="inlineStr">
        <is>
          <t>Thứ hai ngày 06-04-2026</t>
        </is>
      </c>
      <c r="C146" s="3" t="inlineStr">
        <is>
          <t>Chủ Nhật</t>
        </is>
      </c>
      <c r="D146" s="3" t="inlineStr">
        <is>
          <t>76406</t>
        </is>
      </c>
      <c r="E146" s="3" t="inlineStr">
        <is>
          <t>06</t>
        </is>
      </c>
      <c r="F146" s="3" t="inlineStr">
        <is>
          <t>G7.3, G7.4</t>
        </is>
      </c>
      <c r="G146" s="3" t="inlineStr">
        <is>
          <t>Tổng 0, Tổng 2, Tổng 3, Tổng 5, Tổng 7, Tổng 8</t>
        </is>
      </c>
      <c r="H146" s="3" t="inlineStr">
        <is>
          <t>12346789</t>
        </is>
      </c>
      <c r="I146" s="3" t="inlineStr">
        <is>
          <t>Tổng 3-Bóng 8</t>
        </is>
      </c>
      <c r="J146" s="3" t="n">
        <v>56</v>
      </c>
      <c r="K146" s="7" t="inlineStr">
        <is>
          <t>TRƯỢT ❌</t>
        </is>
      </c>
      <c r="L146" s="3" t="inlineStr">
        <is>
          <t>14, 17, 30, 32, 37, 44, 46, 48, 52, 64, 66, 67, 69, 70, 78, 80, 87, 91, 93, 94</t>
        </is>
      </c>
      <c r="M146" s="7" t="inlineStr">
        <is>
          <t>TRƯỢT ❌</t>
        </is>
      </c>
      <c r="N146" s="6" t="inlineStr">
        <is>
          <t>TRÚNG N2 🎯</t>
        </is>
      </c>
      <c r="O146" s="3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47">
      <c r="A147" s="2" t="n">
        <v>90</v>
      </c>
      <c r="B147" s="2" t="inlineStr">
        <is>
          <t>Chủ nhật ngày 05-04-2026</t>
        </is>
      </c>
      <c r="C147" s="3" t="inlineStr">
        <is>
          <t>Thứ Bảy</t>
        </is>
      </c>
      <c r="D147" s="3" t="inlineStr">
        <is>
          <t>02855</t>
        </is>
      </c>
      <c r="E147" s="3" t="inlineStr">
        <is>
          <t>55</t>
        </is>
      </c>
      <c r="F147" s="3" t="inlineStr">
        <is>
          <t>G7.1, G7.2</t>
        </is>
      </c>
      <c r="G147" s="3" t="inlineStr">
        <is>
          <t>Tổng 1, Tổng 2, Tổng 4, Tổng 6, Tổng 7, Tổng 9</t>
        </is>
      </c>
      <c r="H147" s="3" t="inlineStr">
        <is>
          <t>01345689</t>
        </is>
      </c>
      <c r="I147" s="3" t="inlineStr">
        <is>
          <t>Tổng 6-Bóng 1</t>
        </is>
      </c>
      <c r="J147" s="3" t="n">
        <v>56</v>
      </c>
      <c r="K147" s="7" t="inlineStr">
        <is>
          <t>TRƯỢT ❌</t>
        </is>
      </c>
      <c r="L147" s="3" t="inlineStr">
        <is>
          <t>01, 13, 24, 29, 36, 42, 48, 51, 52, 57, 59, 61, 66, 68, 70, 81, 83, 88, 93, 95</t>
        </is>
      </c>
      <c r="M147" s="7" t="inlineStr">
        <is>
          <t>TRƯỢT ❌</t>
        </is>
      </c>
      <c r="N147" s="6" t="inlineStr">
        <is>
          <t>TRÚNG N2 🎯</t>
        </is>
      </c>
      <c r="O147" s="3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48">
      <c r="A148" s="2" t="n">
        <v>89</v>
      </c>
      <c r="B148" s="2" t="inlineStr">
        <is>
          <t>Thứ bảy ngày 04-04-2026</t>
        </is>
      </c>
      <c r="C148" s="3" t="inlineStr">
        <is>
          <t>Thứ Sáu</t>
        </is>
      </c>
      <c r="D148" s="3" t="inlineStr">
        <is>
          <t>29737</t>
        </is>
      </c>
      <c r="E148" s="3" t="inlineStr">
        <is>
          <t>37</t>
        </is>
      </c>
      <c r="F148" s="3" t="inlineStr">
        <is>
          <t>G7.4, G7.2</t>
        </is>
      </c>
      <c r="G148" s="3" t="inlineStr">
        <is>
          <t>Tổng 1, Tổng 2, Tổng 4, Tổng 6, Tổng 7, Tổng 9</t>
        </is>
      </c>
      <c r="H148" s="3" t="inlineStr">
        <is>
          <t>0123456789</t>
        </is>
      </c>
      <c r="I148" s="3" t="inlineStr">
        <is>
          <t>Tổng 2-Bóng 7</t>
        </is>
      </c>
      <c r="J148" s="3" t="n">
        <v>60</v>
      </c>
      <c r="K148" s="7" t="inlineStr">
        <is>
          <t>TRƯỢT ❌</t>
        </is>
      </c>
      <c r="L148" s="3" t="inlineStr">
        <is>
          <t>01, 22, 24, 29, 36, 42, 48, 51, 52, 59, 61, 66, 68, 70, 77, 81, 83, 88, 93, 95</t>
        </is>
      </c>
      <c r="M148" s="7" t="inlineStr">
        <is>
          <t>TRƯỢT ❌</t>
        </is>
      </c>
      <c r="N148" s="6" t="inlineStr">
        <is>
          <t>TRÚNG N3 🎯</t>
        </is>
      </c>
      <c r="O14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9">
      <c r="A149" s="2" t="n">
        <v>88</v>
      </c>
      <c r="B149" s="2" t="inlineStr">
        <is>
          <t>Thứ sáu ngày 03-04-2026</t>
        </is>
      </c>
      <c r="C149" s="3" t="inlineStr">
        <is>
          <t>Thứ Năm</t>
        </is>
      </c>
      <c r="D149" s="3" t="inlineStr">
        <is>
          <t>12944</t>
        </is>
      </c>
      <c r="E149" s="3" t="inlineStr">
        <is>
          <t>44</t>
        </is>
      </c>
      <c r="F149" s="3" t="inlineStr">
        <is>
          <t>G7.4, G7.1</t>
        </is>
      </c>
      <c r="G149" s="3" t="inlineStr">
        <is>
          <t>Tổng 1, Tổng 2, Tổng 6, Tổng 7</t>
        </is>
      </c>
      <c r="H149" s="3" t="inlineStr">
        <is>
          <t>034589</t>
        </is>
      </c>
      <c r="I149" s="3" t="inlineStr">
        <is>
          <t>Tổng 6-Bóng 1</t>
        </is>
      </c>
      <c r="J149" s="3" t="n">
        <v>36</v>
      </c>
      <c r="K149" s="7" t="inlineStr">
        <is>
          <t>TRƯỢT ❌</t>
        </is>
      </c>
      <c r="L149" s="3" t="inlineStr">
        <is>
          <t>01, 24, 29, 33, 38, 42, 47, 48, 51, 52, 57, 70, 74, 75, 83, 88, 89, 92, 93, 97</t>
        </is>
      </c>
      <c r="M149" s="7" t="inlineStr">
        <is>
          <t>TRƯỢT ❌</t>
        </is>
      </c>
      <c r="N149" s="7" t="inlineStr">
        <is>
          <t>TRƯỢT KHUNG ❌</t>
        </is>
      </c>
      <c r="O149" s="3" t="inlineStr">
        <is>
          <t>01, 02, 06, 07, 10, 15, 20, 24, 25, 29, 33, 34, 38, 39, 42, 43, 47, 48, 51, 52, 56, 57, 60, 65, 70, 74, 75, 79, 83, 84, 88, 89, 92, 93, 97, 98</t>
        </is>
      </c>
    </row>
    <row r="150">
      <c r="A150" s="2" t="n">
        <v>87</v>
      </c>
      <c r="B150" s="2" t="inlineStr">
        <is>
          <t>Thứ năm ngày 02-04-2026</t>
        </is>
      </c>
      <c r="C150" s="3" t="inlineStr">
        <is>
          <t>Thứ Tư</t>
        </is>
      </c>
      <c r="D150" s="3" t="inlineStr">
        <is>
          <t>91267</t>
        </is>
      </c>
      <c r="E150" s="3" t="inlineStr">
        <is>
          <t>67</t>
        </is>
      </c>
      <c r="F150" s="3" t="inlineStr">
        <is>
          <t>G7.4, G7.1</t>
        </is>
      </c>
      <c r="G150" s="3" t="inlineStr">
        <is>
          <t>Tổng 0, Tổng 2, Tổng 3, Tổng 5, Tổng 7, Tổng 8</t>
        </is>
      </c>
      <c r="H150" s="3" t="inlineStr">
        <is>
          <t>01235678</t>
        </is>
      </c>
      <c r="I150" s="3" t="inlineStr">
        <is>
          <t>Tổng 3-Bóng 8</t>
        </is>
      </c>
      <c r="J150" s="3" t="n">
        <v>56</v>
      </c>
      <c r="K150" s="6" t="inlineStr">
        <is>
          <t>TRÚNG N1 🎯</t>
        </is>
      </c>
      <c r="L150" s="3" t="inlineStr">
        <is>
          <t>14, 17, 19, 30, 32, 46, 48, 52, 53, 57, 61, 64, 66, 69, 70, 78, 80, 87, 91, 93</t>
        </is>
      </c>
      <c r="M150" s="7" t="inlineStr">
        <is>
          <t>TRƯỢT ❌</t>
        </is>
      </c>
      <c r="N150" s="6" t="inlineStr">
        <is>
          <t>TRÚNG N1 🎯</t>
        </is>
      </c>
      <c r="O150" s="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51">
      <c r="A151" s="2" t="n">
        <v>86</v>
      </c>
      <c r="B151" s="2" t="inlineStr">
        <is>
          <t>Thứ tư ngày 01-04-2026</t>
        </is>
      </c>
      <c r="C151" s="3" t="inlineStr">
        <is>
          <t>Thứ Ba</t>
        </is>
      </c>
      <c r="D151" s="3" t="inlineStr">
        <is>
          <t>31666</t>
        </is>
      </c>
      <c r="E151" s="3" t="inlineStr">
        <is>
          <t>66</t>
        </is>
      </c>
      <c r="F151" s="3" t="inlineStr">
        <is>
          <t>G7.3, G7.1</t>
        </is>
      </c>
      <c r="G151" s="3" t="inlineStr">
        <is>
          <t>Tổng 0, Tổng 2, Tổng 5, Tổng 7</t>
        </is>
      </c>
      <c r="H151" s="3" t="inlineStr">
        <is>
          <t>01235678</t>
        </is>
      </c>
      <c r="I151" s="3" t="inlineStr">
        <is>
          <t>Tổng 5-Bóng 0</t>
        </is>
      </c>
      <c r="J151" s="3" t="n">
        <v>40</v>
      </c>
      <c r="K151" s="6" t="inlineStr">
        <is>
          <t>TRÚNG N1 🎯</t>
        </is>
      </c>
      <c r="L151" s="3" t="inlineStr">
        <is>
          <t>05, 14, 19, 32, 37, 46, 48, 52, 55, 57, 61, 64, 69, 70, 75, 78, 87, 89, 91, 93</t>
        </is>
      </c>
      <c r="M151" s="7" t="inlineStr">
        <is>
          <t>TRƯỢT ❌</t>
        </is>
      </c>
      <c r="N151" s="6" t="inlineStr">
        <is>
          <t>TRÚNG N1 🎯</t>
        </is>
      </c>
      <c r="O151" s="3" t="inlineStr">
        <is>
          <t>00, 02, 05, 07, 11, 14, 16, 19, 20, 23, 25, 28, 32, 34, 37, 39, 41, 43, 46, 48, 50, 52, 55, 57, 61, 64, 66, 69, 70, 73, 75, 78, 82, 84, 87, 89, 91, 93, 96, 98</t>
        </is>
      </c>
    </row>
    <row r="152">
      <c r="A152" s="2" t="n">
        <v>85</v>
      </c>
      <c r="B152" s="2" t="inlineStr">
        <is>
          <t>Thứ ba ngày 31-03-2026</t>
        </is>
      </c>
      <c r="C152" s="3" t="inlineStr">
        <is>
          <t>Thứ Hai</t>
        </is>
      </c>
      <c r="D152" s="3" t="inlineStr">
        <is>
          <t>11591</t>
        </is>
      </c>
      <c r="E152" s="3" t="inlineStr">
        <is>
          <t>91</t>
        </is>
      </c>
      <c r="F152" s="3" t="inlineStr">
        <is>
          <t>G7.4, G7.2</t>
        </is>
      </c>
      <c r="G152" s="3" t="inlineStr">
        <is>
          <t>Tổng 2, Tổng 3, Tổng 4, Tổng 7, Tổng 8, Tổng 9</t>
        </is>
      </c>
      <c r="H152" s="3" t="inlineStr">
        <is>
          <t>0123456789</t>
        </is>
      </c>
      <c r="I152" s="3" t="inlineStr">
        <is>
          <t>Tổng 4-Bóng 9</t>
        </is>
      </c>
      <c r="J152" s="3" t="n">
        <v>60</v>
      </c>
      <c r="K152" s="7" t="inlineStr">
        <is>
          <t>TRƯỢT ❌</t>
        </is>
      </c>
      <c r="L152" s="3" t="inlineStr">
        <is>
          <t>17, 22, 30, 36, 48, 49, 52, 53, 57, 59, 61, 68, 70, 77, 80, 81, 85, 93, 94, 95</t>
        </is>
      </c>
      <c r="M152" s="7" t="inlineStr">
        <is>
          <t>TRƯỢT ❌</t>
        </is>
      </c>
      <c r="N152" s="6" t="inlineStr">
        <is>
          <t>TRÚNG N2 🎯</t>
        </is>
      </c>
      <c r="O15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3">
      <c r="A153" s="2" t="n">
        <v>84</v>
      </c>
      <c r="B153" s="2" t="inlineStr">
        <is>
          <t>Thứ hai ngày 30-03-2026</t>
        </is>
      </c>
      <c r="C153" s="3" t="inlineStr">
        <is>
          <t>Chủ Nhật</t>
        </is>
      </c>
      <c r="D153" s="3" t="inlineStr">
        <is>
          <t>64464</t>
        </is>
      </c>
      <c r="E153" s="3" t="inlineStr">
        <is>
          <t>64</t>
        </is>
      </c>
      <c r="F153" s="3" t="inlineStr">
        <is>
          <t>G7.3, G7.4</t>
        </is>
      </c>
      <c r="G153" s="3" t="inlineStr">
        <is>
          <t>Tổng 4, Tổng 9</t>
        </is>
      </c>
      <c r="H153" s="3" t="inlineStr">
        <is>
          <t>013568</t>
        </is>
      </c>
      <c r="I153" s="3" t="inlineStr">
        <is>
          <t>Tổng 9-Bóng 4</t>
        </is>
      </c>
      <c r="J153" s="3" t="n">
        <v>16</v>
      </c>
      <c r="K153" s="7" t="inlineStr">
        <is>
          <t>TRƯỢT ❌</t>
        </is>
      </c>
      <c r="L153" s="3" t="inlineStr">
        <is>
          <t>04, 09, 13, 18, 31, 36, 40, 45, 54, 59, 63, 68, 81, 86, 90, 95</t>
        </is>
      </c>
      <c r="M153" s="7" t="inlineStr">
        <is>
          <t>TRƯỢT ❌</t>
        </is>
      </c>
      <c r="N153" s="7" t="inlineStr">
        <is>
          <t>TRƯỢT KHUNG ❌</t>
        </is>
      </c>
      <c r="O153" s="3" t="inlineStr">
        <is>
          <t>04, 09, 13, 18, 31, 36, 40, 45, 54, 59, 63, 68, 81, 86, 90, 95</t>
        </is>
      </c>
    </row>
    <row r="154">
      <c r="A154" s="2" t="n">
        <v>83</v>
      </c>
      <c r="B154" s="2" t="inlineStr">
        <is>
          <t>Chủ nhật ngày 29-03-2026</t>
        </is>
      </c>
      <c r="C154" s="3" t="inlineStr">
        <is>
          <t>Thứ Bảy</t>
        </is>
      </c>
      <c r="D154" s="3" t="inlineStr">
        <is>
          <t>37188</t>
        </is>
      </c>
      <c r="E154" s="3" t="inlineStr">
        <is>
          <t>88</t>
        </is>
      </c>
      <c r="F154" s="3" t="inlineStr">
        <is>
          <t>G7.1, G7.2</t>
        </is>
      </c>
      <c r="G154" s="3" t="inlineStr">
        <is>
          <t>Tổng 2, Tổng 3, Tổng 4, Tổng 7, Tổng 8, Tổng 9</t>
        </is>
      </c>
      <c r="H154" s="3" t="inlineStr">
        <is>
          <t>0123456789</t>
        </is>
      </c>
      <c r="I154" s="3" t="inlineStr">
        <is>
          <t>Tổng 8-Bóng 3</t>
        </is>
      </c>
      <c r="J154" s="3" t="n">
        <v>60</v>
      </c>
      <c r="K154" s="7" t="inlineStr">
        <is>
          <t>TRƯỢT ❌</t>
        </is>
      </c>
      <c r="L154" s="3" t="inlineStr">
        <is>
          <t>17, 22, 30, 36, 48, 49, 52, 53, 57, 59, 61, 62, 68, 70, 77, 80, 81, 93, 94, 95</t>
        </is>
      </c>
      <c r="M154" s="7" t="inlineStr">
        <is>
          <t>TRƯỢT ❌</t>
        </is>
      </c>
      <c r="N154" s="7" t="inlineStr">
        <is>
          <t>TRƯỢT KHUNG ❌</t>
        </is>
      </c>
      <c r="O1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55">
      <c r="A155" s="2" t="n">
        <v>82</v>
      </c>
      <c r="B155" s="2" t="inlineStr">
        <is>
          <t>Thứ bảy ngày 28-03-2026</t>
        </is>
      </c>
      <c r="C155" s="3" t="inlineStr">
        <is>
          <t>Thứ Sáu</t>
        </is>
      </c>
      <c r="D155" s="3" t="inlineStr">
        <is>
          <t>96422</t>
        </is>
      </c>
      <c r="E155" s="3" t="inlineStr">
        <is>
          <t>22</t>
        </is>
      </c>
      <c r="F155" s="3" t="inlineStr">
        <is>
          <t>G7.4, G7.2</t>
        </is>
      </c>
      <c r="G155" s="3" t="inlineStr">
        <is>
          <t>Tổng 1, Tổng 6</t>
        </is>
      </c>
      <c r="H155" s="3" t="inlineStr">
        <is>
          <t>014569</t>
        </is>
      </c>
      <c r="I155" s="3" t="inlineStr">
        <is>
          <t>Tổng 6-Bóng 1</t>
        </is>
      </c>
      <c r="J155" s="3" t="n">
        <v>16</v>
      </c>
      <c r="K155" s="7" t="inlineStr">
        <is>
          <t>TRƯỢT ❌</t>
        </is>
      </c>
      <c r="L155" s="3" t="inlineStr">
        <is>
          <t>01, 06, 10, 15, 24, 29, 42, 47, 51, 56, 60, 65, 74, 79, 92, 97</t>
        </is>
      </c>
      <c r="M155" s="7" t="inlineStr">
        <is>
          <t>TRƯỢT ❌</t>
        </is>
      </c>
      <c r="N155" s="7" t="inlineStr">
        <is>
          <t>TRƯỢT KHUNG ❌</t>
        </is>
      </c>
      <c r="O155" s="3" t="inlineStr">
        <is>
          <t>01, 06, 10, 15, 24, 29, 42, 47, 51, 56, 60, 65, 74, 79, 92, 97</t>
        </is>
      </c>
    </row>
    <row r="156">
      <c r="A156" s="2" t="n">
        <v>81</v>
      </c>
      <c r="B156" s="2" t="inlineStr">
        <is>
          <t>Thứ sáu ngày 27-03-2026</t>
        </is>
      </c>
      <c r="C156" s="3" t="inlineStr">
        <is>
          <t>Thứ Năm</t>
        </is>
      </c>
      <c r="D156" s="3" t="inlineStr">
        <is>
          <t>61332</t>
        </is>
      </c>
      <c r="E156" s="3" t="inlineStr">
        <is>
          <t>32</t>
        </is>
      </c>
      <c r="F156" s="3" t="inlineStr">
        <is>
          <t>G7.4, G7.1</t>
        </is>
      </c>
      <c r="G156" s="3" t="inlineStr">
        <is>
          <t>Tổng 0, Tổng 2, Tổng 3, Tổng 5, Tổng 7, Tổng 8</t>
        </is>
      </c>
      <c r="H156" s="3" t="inlineStr">
        <is>
          <t>0123456789</t>
        </is>
      </c>
      <c r="I156" s="3" t="inlineStr">
        <is>
          <t>Tổng 0-Bóng 5</t>
        </is>
      </c>
      <c r="J156" s="3" t="n">
        <v>60</v>
      </c>
      <c r="K156" s="6" t="inlineStr">
        <is>
          <t>TRÚNG N1 🎯</t>
        </is>
      </c>
      <c r="L156" s="3" t="inlineStr">
        <is>
          <t>08, 14, 17, 19, 30, 46, 48, 49, 52, 53, 57, 62, 69, 70, 78, 80, 87, 91, 93, 94</t>
        </is>
      </c>
      <c r="M156" s="7" t="inlineStr">
        <is>
          <t>TRƯỢT ❌</t>
        </is>
      </c>
      <c r="N156" s="6" t="inlineStr">
        <is>
          <t>TRÚNG N1 🎯</t>
        </is>
      </c>
      <c r="O15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7">
      <c r="A157" s="2" t="n">
        <v>80</v>
      </c>
      <c r="B157" s="2" t="inlineStr">
        <is>
          <t>Thứ năm ngày 26-03-2026</t>
        </is>
      </c>
      <c r="C157" s="3" t="inlineStr">
        <is>
          <t>Thứ Tư</t>
        </is>
      </c>
      <c r="D157" s="3" t="inlineStr">
        <is>
          <t>44693</t>
        </is>
      </c>
      <c r="E157" s="3" t="inlineStr">
        <is>
          <t>93</t>
        </is>
      </c>
      <c r="F157" s="3" t="inlineStr">
        <is>
          <t>G7.4, G7.1</t>
        </is>
      </c>
      <c r="G157" s="3" t="inlineStr">
        <is>
          <t>Tổng 1, Tổng 2, Tổng 4, Tổng 6, Tổng 7, Tổng 9</t>
        </is>
      </c>
      <c r="H157" s="3" t="inlineStr">
        <is>
          <t>024579</t>
        </is>
      </c>
      <c r="I157" s="3" t="inlineStr">
        <is>
          <t>Tổng 7-Bóng 2</t>
        </is>
      </c>
      <c r="J157" s="3" t="n">
        <v>44</v>
      </c>
      <c r="K157" s="6" t="inlineStr">
        <is>
          <t>TRÚNG N1 🎯</t>
        </is>
      </c>
      <c r="L157" s="3" t="inlineStr">
        <is>
          <t>01, 22, 24, 29, 42, 45, 47, 48, 51, 52, 54, 57, 59, 70, 74, 75, 77, 90, 92, 95</t>
        </is>
      </c>
      <c r="M157" s="7" t="inlineStr">
        <is>
          <t>TRƯỢT ❌</t>
        </is>
      </c>
      <c r="N157" s="6" t="inlineStr">
        <is>
          <t>TRÚNG N1 🎯</t>
        </is>
      </c>
      <c r="O157" s="3" t="inlineStr">
        <is>
          <t>01, 02, 04, 06, 07, 09, 10, 15, 20, 22, 24, 25, 27, 29, 34, 39, 40, 42, 43, 45, 47, 48, 51, 52, 54, 56, 57, 59, 60, 65, 70, 72, 74, 75, 77, 79, 84, 89, 90, 92, 93, 95, 97, 98</t>
        </is>
      </c>
    </row>
    <row r="158">
      <c r="A158" s="2" t="n">
        <v>79</v>
      </c>
      <c r="B158" s="2" t="inlineStr">
        <is>
          <t>Thứ tư ngày 25-03-2026</t>
        </is>
      </c>
      <c r="C158" s="3" t="inlineStr">
        <is>
          <t>Thứ Ba</t>
        </is>
      </c>
      <c r="D158" s="3" t="inlineStr">
        <is>
          <t>53988</t>
        </is>
      </c>
      <c r="E158" s="3" t="inlineStr">
        <is>
          <t>88</t>
        </is>
      </c>
      <c r="F158" s="3" t="inlineStr">
        <is>
          <t>G7.3, G7.1</t>
        </is>
      </c>
      <c r="G158" s="3" t="inlineStr">
        <is>
          <t>Tổng 0, Tổng 1, Tổng 2, Tổng 5, Tổng 6, Tổng 7</t>
        </is>
      </c>
      <c r="H158" s="3" t="inlineStr">
        <is>
          <t>01245679</t>
        </is>
      </c>
      <c r="I158" s="3" t="inlineStr">
        <is>
          <t>Tổng 0-Bóng 5</t>
        </is>
      </c>
      <c r="J158" s="3" t="n">
        <v>56</v>
      </c>
      <c r="K158" s="7" t="inlineStr">
        <is>
          <t>TRƯỢT ❌</t>
        </is>
      </c>
      <c r="L158" s="3" t="inlineStr">
        <is>
          <t>01, 14, 19, 24, 29, 37, 42, 46, 48, 51, 52, 55, 57, 61, 69, 70, 74, 78, 87, 91</t>
        </is>
      </c>
      <c r="M158" s="7" t="inlineStr">
        <is>
          <t>TRƯỢT ❌</t>
        </is>
      </c>
      <c r="N158" s="6" t="inlineStr">
        <is>
          <t>TRÚNG N2 🎯</t>
        </is>
      </c>
      <c r="O158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59">
      <c r="A159" s="2" t="n">
        <v>78</v>
      </c>
      <c r="B159" s="2" t="inlineStr">
        <is>
          <t>Thứ ba ngày 24-03-2026</t>
        </is>
      </c>
      <c r="C159" s="3" t="inlineStr">
        <is>
          <t>Thứ Hai</t>
        </is>
      </c>
      <c r="D159" s="3" t="inlineStr">
        <is>
          <t>03829</t>
        </is>
      </c>
      <c r="E159" s="3" t="inlineStr">
        <is>
          <t>29</t>
        </is>
      </c>
      <c r="F159" s="3" t="inlineStr">
        <is>
          <t>G7.4, G7.2</t>
        </is>
      </c>
      <c r="G159" s="3" t="inlineStr">
        <is>
          <t>Tổng 0, Tổng 1, Tổng 3, Tổng 5, Tổng 6, Tổng 8</t>
        </is>
      </c>
      <c r="H159" s="3" t="inlineStr">
        <is>
          <t>234789</t>
        </is>
      </c>
      <c r="I159" s="3" t="inlineStr">
        <is>
          <t>Tổng 6-Bóng 1</t>
        </is>
      </c>
      <c r="J159" s="3" t="n">
        <v>48</v>
      </c>
      <c r="K159" s="6" t="inlineStr">
        <is>
          <t>TRÚNG N1 🎯</t>
        </is>
      </c>
      <c r="L159" s="3" t="inlineStr">
        <is>
          <t>08, 12, 14, 17, 19, 24, 30, 37, 42, 46, 49, 53, 62, 69, 78, 80, 83, 87, 91, 94</t>
        </is>
      </c>
      <c r="M159" s="7" t="inlineStr">
        <is>
          <t>TRƯỢT ❌</t>
        </is>
      </c>
      <c r="N159" s="6" t="inlineStr">
        <is>
          <t>TRÚNG N1 🎯</t>
        </is>
      </c>
      <c r="O159" s="3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60">
      <c r="A160" s="2" t="n">
        <v>77</v>
      </c>
      <c r="B160" s="2" t="inlineStr">
        <is>
          <t>Thứ hai ngày 23-03-2026</t>
        </is>
      </c>
      <c r="C160" s="3" t="inlineStr">
        <is>
          <t>Chủ Nhật</t>
        </is>
      </c>
      <c r="D160" s="3" t="inlineStr">
        <is>
          <t>77514</t>
        </is>
      </c>
      <c r="E160" s="3" t="inlineStr">
        <is>
          <t>14</t>
        </is>
      </c>
      <c r="F160" s="3" t="inlineStr">
        <is>
          <t>G7.3, G7.4</t>
        </is>
      </c>
      <c r="G160" s="3" t="inlineStr">
        <is>
          <t>Tổng 1, Tổng 2, Tổng 6, Tổng 7</t>
        </is>
      </c>
      <c r="H160" s="3" t="inlineStr">
        <is>
          <t>0123456789</t>
        </is>
      </c>
      <c r="I160" s="3" t="inlineStr">
        <is>
          <t>Tổng 7-Bóng 2</t>
        </is>
      </c>
      <c r="J160" s="3" t="n">
        <v>40</v>
      </c>
      <c r="K160" s="7" t="inlineStr">
        <is>
          <t>TRƯỢT ❌</t>
        </is>
      </c>
      <c r="L160" s="3" t="inlineStr">
        <is>
          <t>01, 16, 24, 33, 38, 42, 47, 48, 51, 52, 57, 61, 70, 74, 75, 83, 89, 92, 93, 97</t>
        </is>
      </c>
      <c r="M160" s="7" t="inlineStr">
        <is>
          <t>TRƯỢT ❌</t>
        </is>
      </c>
      <c r="N160" s="6" t="inlineStr">
        <is>
          <t>TRÚNG N2 🎯</t>
        </is>
      </c>
      <c r="O160" s="3" t="inlineStr">
        <is>
          <t>01, 02, 06, 07, 10, 11, 15, 16, 20, 24, 25, 29, 33, 34, 38, 39, 42, 43, 47, 48, 51, 52, 56, 57, 60, 61, 65, 66, 70, 74, 75, 79, 83, 84, 88, 89, 92, 93, 97, 98</t>
        </is>
      </c>
    </row>
    <row r="161">
      <c r="A161" s="2" t="n">
        <v>76</v>
      </c>
      <c r="B161" s="2" t="inlineStr">
        <is>
          <t>Chủ nhật ngày 22-03-2026</t>
        </is>
      </c>
      <c r="C161" s="3" t="inlineStr">
        <is>
          <t>Thứ Bảy</t>
        </is>
      </c>
      <c r="D161" s="3" t="inlineStr">
        <is>
          <t>58646</t>
        </is>
      </c>
      <c r="E161" s="3" t="inlineStr">
        <is>
          <t>46</t>
        </is>
      </c>
      <c r="F161" s="3" t="inlineStr">
        <is>
          <t>G7.1, G7.2</t>
        </is>
      </c>
      <c r="G161" s="3" t="inlineStr">
        <is>
          <t>Tổng 1, Tổng 3, Tổng 4, Tổng 6, Tổng 8, Tổng 9</t>
        </is>
      </c>
      <c r="H161" s="3" t="inlineStr">
        <is>
          <t>0123456789</t>
        </is>
      </c>
      <c r="I161" s="3" t="inlineStr">
        <is>
          <t>Tổng 4-Bóng 9</t>
        </is>
      </c>
      <c r="J161" s="3" t="n">
        <v>60</v>
      </c>
      <c r="K161" s="7" t="inlineStr">
        <is>
          <t>TRƯỢT ❌</t>
        </is>
      </c>
      <c r="L161" s="3" t="inlineStr">
        <is>
          <t>01, 08, 12, 13, 24, 30, 36, 42, 49, 51, 53, 59, 68, 77, 80, 81, 83, 86, 94, 95</t>
        </is>
      </c>
      <c r="M161" s="7" t="inlineStr">
        <is>
          <t>TRƯỢT ❌</t>
        </is>
      </c>
      <c r="N161" s="6" t="inlineStr">
        <is>
          <t>TRÚNG N3 🎯</t>
        </is>
      </c>
      <c r="O16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2">
      <c r="A162" s="2" t="n">
        <v>75</v>
      </c>
      <c r="B162" s="2" t="inlineStr">
        <is>
          <t>Thứ bảy ngày 21-03-2026</t>
        </is>
      </c>
      <c r="C162" s="3" t="inlineStr">
        <is>
          <t>Thứ Sáu</t>
        </is>
      </c>
      <c r="D162" s="3" t="inlineStr">
        <is>
          <t>88594</t>
        </is>
      </c>
      <c r="E162" s="3" t="inlineStr">
        <is>
          <t>94</t>
        </is>
      </c>
      <c r="F162" s="3" t="inlineStr">
        <is>
          <t>G7.2, G7.3</t>
        </is>
      </c>
      <c r="G162" s="3" t="inlineStr">
        <is>
          <t>Tổng 2, Tổng 3, Tổng 7, Tổng 8</t>
        </is>
      </c>
      <c r="H162" s="3" t="inlineStr">
        <is>
          <t>02345789</t>
        </is>
      </c>
      <c r="I162" s="3" t="inlineStr">
        <is>
          <t>Tổng 7-Bóng 2</t>
        </is>
      </c>
      <c r="J162" s="3" t="n">
        <v>36</v>
      </c>
      <c r="K162" s="6" t="inlineStr">
        <is>
          <t>TRÚNG N1 🎯</t>
        </is>
      </c>
      <c r="L162" s="3" t="inlineStr">
        <is>
          <t>03, 08, 12, 17, 21, 30, 35, 48, 49, 52, 53, 57, 62, 70, 75, 80, 85, 89, 93, 94</t>
        </is>
      </c>
      <c r="M162" s="6" t="inlineStr">
        <is>
          <t>TRÚNG HỎA LỰC 🎯</t>
        </is>
      </c>
      <c r="N162" s="6" t="inlineStr">
        <is>
          <t>TRÚNG N1 🎯</t>
        </is>
      </c>
      <c r="O162" s="3" t="inlineStr">
        <is>
          <t>02, 03, 07, 08, 12, 17, 20, 21, 25, 26, 30, 34, 35, 39, 43, 44, 48, 49, 52, 53, 57, 58, 62, 67, 70, 71, 75, 76, 80, 84, 85, 89, 93, 94, 98, 99</t>
        </is>
      </c>
    </row>
    <row r="163">
      <c r="A163" s="2" t="n">
        <v>74</v>
      </c>
      <c r="B163" s="2" t="inlineStr">
        <is>
          <t>Thứ sáu ngày 20-03-2026</t>
        </is>
      </c>
      <c r="C163" s="3" t="inlineStr">
        <is>
          <t>Thứ Năm</t>
        </is>
      </c>
      <c r="D163" s="3" t="inlineStr">
        <is>
          <t>81124</t>
        </is>
      </c>
      <c r="E163" s="3" t="inlineStr">
        <is>
          <t>24</t>
        </is>
      </c>
      <c r="F163" s="3" t="inlineStr">
        <is>
          <t>G7.4, G7.1</t>
        </is>
      </c>
      <c r="G163" s="3" t="inlineStr">
        <is>
          <t>Tổng 0, Tổng 1, Tổng 5, Tổng 6</t>
        </is>
      </c>
      <c r="H163" s="3" t="inlineStr">
        <is>
          <t>01245679</t>
        </is>
      </c>
      <c r="I163" s="3" t="inlineStr">
        <is>
          <t>Tổng 6-Bóng 1</t>
        </is>
      </c>
      <c r="J163" s="3" t="n">
        <v>36</v>
      </c>
      <c r="K163" s="6" t="inlineStr">
        <is>
          <t>TRÚNG N1 🎯</t>
        </is>
      </c>
      <c r="L163" s="3" t="inlineStr">
        <is>
          <t>01, 05, 14, 19, 23, 24, 28, 29, 37, 42, 47, 51, 55, 69, 74, 78, 87, 91, 92, 97</t>
        </is>
      </c>
      <c r="M163" s="6" t="inlineStr">
        <is>
          <t>TRÚNG HỎA LỰC 🎯</t>
        </is>
      </c>
      <c r="N163" s="6" t="inlineStr">
        <is>
          <t>TRÚNG N1 🎯</t>
        </is>
      </c>
      <c r="O163" s="3" t="inlineStr">
        <is>
          <t>00, 01, 05, 06, 10, 14, 15, 19, 23, 24, 28, 29, 32, 37, 41, 42, 46, 47, 50, 51, 55, 56, 60, 64, 65, 69, 73, 74, 78, 79, 82, 87, 91, 92, 96, 97</t>
        </is>
      </c>
    </row>
    <row r="164">
      <c r="A164" s="2" t="n">
        <v>73</v>
      </c>
      <c r="B164" s="2" t="inlineStr">
        <is>
          <t>Thứ năm ngày 19-03-2026</t>
        </is>
      </c>
      <c r="C164" s="3" t="inlineStr">
        <is>
          <t>Thứ Tư</t>
        </is>
      </c>
      <c r="D164" s="3" t="inlineStr">
        <is>
          <t>75495</t>
        </is>
      </c>
      <c r="E164" s="3" t="inlineStr">
        <is>
          <t>95</t>
        </is>
      </c>
      <c r="F164" s="3" t="inlineStr">
        <is>
          <t>G7.1, G7.2</t>
        </is>
      </c>
      <c r="G164" s="3" t="inlineStr">
        <is>
          <t>Tổng 2, Tổng 4, Tổng 7, Tổng 9</t>
        </is>
      </c>
      <c r="H164" s="3" t="inlineStr">
        <is>
          <t>0123456789</t>
        </is>
      </c>
      <c r="I164" s="3" t="inlineStr">
        <is>
          <t>Tổng 4-Bóng 9</t>
        </is>
      </c>
      <c r="J164" s="3" t="n">
        <v>40</v>
      </c>
      <c r="K164" s="6" t="inlineStr">
        <is>
          <t>TRÚNG N1 🎯</t>
        </is>
      </c>
      <c r="L164" s="3" t="inlineStr">
        <is>
          <t>13, 22, 27, 36, 45, 48, 52, 54, 57, 59, 61, 63, 68, 70, 75, 77, 81, 86, 89, 90</t>
        </is>
      </c>
      <c r="M164" s="7" t="inlineStr">
        <is>
          <t>TRƯỢT ❌</t>
        </is>
      </c>
      <c r="N164" s="6" t="inlineStr">
        <is>
          <t>TRÚNG N1 🎯</t>
        </is>
      </c>
      <c r="O164" s="3" t="inlineStr">
        <is>
          <t>02, 04, 07, 09, 11, 13, 16, 18, 20, 22, 25, 27, 31, 34, 36, 39, 40, 43, 45, 48, 52, 54, 57, 59, 61, 63, 66, 68, 70, 72, 75, 77, 81, 84, 86, 89, 90, 93, 95, 98</t>
        </is>
      </c>
    </row>
    <row r="165">
      <c r="A165" s="2" t="n">
        <v>72</v>
      </c>
      <c r="B165" s="2" t="inlineStr">
        <is>
          <t>Thứ tư ngày 18-03-2026</t>
        </is>
      </c>
      <c r="C165" s="3" t="inlineStr">
        <is>
          <t>Thứ Ba</t>
        </is>
      </c>
      <c r="D165" s="3" t="inlineStr">
        <is>
          <t>25287</t>
        </is>
      </c>
      <c r="E165" s="3" t="inlineStr">
        <is>
          <t>87</t>
        </is>
      </c>
      <c r="F165" s="3" t="inlineStr">
        <is>
          <t>G7.3, G7.1</t>
        </is>
      </c>
      <c r="G165" s="3" t="inlineStr">
        <is>
          <t>Tổng 2, Tổng 4, Tổng 7, Tổng 9</t>
        </is>
      </c>
      <c r="H165" s="3" t="inlineStr">
        <is>
          <t>02345789</t>
        </is>
      </c>
      <c r="I165" s="3" t="inlineStr">
        <is>
          <t>Tổng 2-Bóng 7</t>
        </is>
      </c>
      <c r="J165" s="3" t="n">
        <v>36</v>
      </c>
      <c r="K165" s="7" t="inlineStr">
        <is>
          <t>TRƯỢT ❌</t>
        </is>
      </c>
      <c r="L165" s="3" t="inlineStr">
        <is>
          <t>13, 22, 27, 36, 45, 48, 52, 54, 57, 59, 63, 68, 70, 75, 77, 81, 86, 89, 90, 93</t>
        </is>
      </c>
      <c r="M165" s="7" t="inlineStr">
        <is>
          <t>TRƯỢT ❌</t>
        </is>
      </c>
      <c r="N165" s="6" t="inlineStr">
        <is>
          <t>TRÚNG N2 🎯</t>
        </is>
      </c>
      <c r="O165" s="3" t="inlineStr">
        <is>
          <t>02, 04, 07, 09, 13, 18, 20, 22, 25, 27, 31, 34, 36, 39, 40, 43, 45, 48, 52, 54, 57, 59, 63, 68, 70, 72, 75, 77, 81, 84, 86, 89, 90, 93, 95, 98</t>
        </is>
      </c>
    </row>
    <row r="166">
      <c r="A166" s="2" t="n">
        <v>71</v>
      </c>
      <c r="B166" s="2" t="inlineStr">
        <is>
          <t>Thứ ba ngày 17-03-2026</t>
        </is>
      </c>
      <c r="C166" s="3" t="inlineStr">
        <is>
          <t>Thứ Hai</t>
        </is>
      </c>
      <c r="D166" s="3" t="inlineStr">
        <is>
          <t>07969</t>
        </is>
      </c>
      <c r="E166" s="3" t="inlineStr">
        <is>
          <t>69</t>
        </is>
      </c>
      <c r="F166" s="3" t="inlineStr">
        <is>
          <t>G7.4, G7.1</t>
        </is>
      </c>
      <c r="G166" s="3" t="inlineStr">
        <is>
          <t>Tổng 0, Tổng 1, Tổng 2, Tổng 5, Tổng 6, Tổng 7</t>
        </is>
      </c>
      <c r="H166" s="3" t="inlineStr">
        <is>
          <t>02345789</t>
        </is>
      </c>
      <c r="I166" s="3" t="inlineStr">
        <is>
          <t>Tổng 2-Bóng 7</t>
        </is>
      </c>
      <c r="J166" s="3" t="n">
        <v>56</v>
      </c>
      <c r="K166" s="6" t="inlineStr">
        <is>
          <t>TRÚNG N1 🎯</t>
        </is>
      </c>
      <c r="L166" s="3" t="inlineStr">
        <is>
          <t>01, 14, 19, 24, 28, 33, 37, 42, 48, 51, 52, 55, 57, 70, 74, 75, 78, 83, 91, 92</t>
        </is>
      </c>
      <c r="M166" s="7" t="inlineStr">
        <is>
          <t>TRƯỢT ❌</t>
        </is>
      </c>
      <c r="N166" s="6" t="inlineStr">
        <is>
          <t>TRÚNG N1 🎯</t>
        </is>
      </c>
      <c r="O166" s="3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67">
      <c r="A167" s="2" t="n">
        <v>70</v>
      </c>
      <c r="B167" s="2" t="inlineStr">
        <is>
          <t>Thứ hai ngày 16-03-2026</t>
        </is>
      </c>
      <c r="C167" s="3" t="inlineStr">
        <is>
          <t>Chủ Nhật</t>
        </is>
      </c>
      <c r="D167" s="3" t="inlineStr">
        <is>
          <t>77552</t>
        </is>
      </c>
      <c r="E167" s="3" t="inlineStr">
        <is>
          <t>52</t>
        </is>
      </c>
      <c r="F167" s="3" t="inlineStr">
        <is>
          <t>G7.3, G7.4</t>
        </is>
      </c>
      <c r="G167" s="3" t="inlineStr">
        <is>
          <t>Tổng 1, Tổng 2, Tổng 3, Tổng 6, Tổng 7, Tổng 8</t>
        </is>
      </c>
      <c r="H167" s="3" t="inlineStr">
        <is>
          <t>12346789</t>
        </is>
      </c>
      <c r="I167" s="3" t="inlineStr">
        <is>
          <t>Tổng 2-Bóng 7</t>
        </is>
      </c>
      <c r="J167" s="3" t="n">
        <v>60</v>
      </c>
      <c r="K167" s="6" t="inlineStr">
        <is>
          <t>TRÚNG N1 🎯</t>
        </is>
      </c>
      <c r="L167" s="3" t="inlineStr">
        <is>
          <t>01, 08, 12, 17, 24, 30, 42, 48, 49, 51, 53, 57, 61, 62, 70, 74, 75, 80, 83, 92</t>
        </is>
      </c>
      <c r="M167" s="7" t="inlineStr">
        <is>
          <t>TRƯỢT ❌</t>
        </is>
      </c>
      <c r="N167" s="6" t="inlineStr">
        <is>
          <t>TRÚNG N1 🎯</t>
        </is>
      </c>
      <c r="O16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8">
      <c r="A168" s="2" t="n">
        <v>69</v>
      </c>
      <c r="B168" s="2" t="inlineStr">
        <is>
          <t>Chủ nhật ngày 15-03-2026</t>
        </is>
      </c>
      <c r="C168" s="3" t="inlineStr">
        <is>
          <t>Thứ Bảy</t>
        </is>
      </c>
      <c r="D168" s="3" t="inlineStr">
        <is>
          <t>01770</t>
        </is>
      </c>
      <c r="E168" s="3" t="inlineStr">
        <is>
          <t>70</t>
        </is>
      </c>
      <c r="F168" s="3" t="inlineStr">
        <is>
          <t>G7.1, G7.2</t>
        </is>
      </c>
      <c r="G168" s="3" t="inlineStr">
        <is>
          <t>Tổng 0, Tổng 1, Tổng 2, Tổng 5, Tổng 6, Tổng 7</t>
        </is>
      </c>
      <c r="H168" s="3" t="inlineStr">
        <is>
          <t>01245679</t>
        </is>
      </c>
      <c r="I168" s="3" t="inlineStr">
        <is>
          <t>Tổng 6-Bóng 1</t>
        </is>
      </c>
      <c r="J168" s="3" t="n">
        <v>56</v>
      </c>
      <c r="K168" s="6" t="inlineStr">
        <is>
          <t>TRÚNG N1 🎯</t>
        </is>
      </c>
      <c r="L168" s="3" t="inlineStr">
        <is>
          <t>01, 14, 19, 24, 28, 37, 42, 47, 48, 51, 55, 57, 61, 74, 75, 78, 91, 92, 93, 97</t>
        </is>
      </c>
      <c r="M168" s="7" t="inlineStr">
        <is>
          <t>TRƯỢT ❌</t>
        </is>
      </c>
      <c r="N168" s="6" t="inlineStr">
        <is>
          <t>TRÚNG N1 🎯</t>
        </is>
      </c>
      <c r="O168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69">
      <c r="A169" s="2" t="n">
        <v>68</v>
      </c>
      <c r="B169" s="2" t="inlineStr">
        <is>
          <t>Thứ bảy ngày 14-03-2026</t>
        </is>
      </c>
      <c r="C169" s="3" t="inlineStr">
        <is>
          <t>Thứ Sáu</t>
        </is>
      </c>
      <c r="D169" s="3" t="inlineStr">
        <is>
          <t>56848</t>
        </is>
      </c>
      <c r="E169" s="3" t="inlineStr">
        <is>
          <t>48</t>
        </is>
      </c>
      <c r="F169" s="3" t="inlineStr">
        <is>
          <t>G7.2, G7.3</t>
        </is>
      </c>
      <c r="G169" s="3" t="inlineStr">
        <is>
          <t>Tổng 1, Tổng 3, Tổng 4, Tổng 6, Tổng 8, Tổng 9</t>
        </is>
      </c>
      <c r="H169" s="3" t="inlineStr">
        <is>
          <t>01345689</t>
        </is>
      </c>
      <c r="I169" s="3" t="inlineStr">
        <is>
          <t>Tổng 3-Bóng 8</t>
        </is>
      </c>
      <c r="J169" s="3" t="n">
        <v>56</v>
      </c>
      <c r="K169" s="7" t="inlineStr">
        <is>
          <t>TRƯỢT ❌</t>
        </is>
      </c>
      <c r="L169" s="3" t="inlineStr">
        <is>
          <t>01, 08, 12, 13, 17, 24, 30, 36, 42, 49, 51, 53, 59, 68, 80, 81, 83, 86, 90, 92</t>
        </is>
      </c>
      <c r="M169" s="7" t="inlineStr">
        <is>
          <t>TRƯỢT ❌</t>
        </is>
      </c>
      <c r="N169" s="7" t="inlineStr">
        <is>
          <t>TRƯỢT KHUNG ❌</t>
        </is>
      </c>
      <c r="O169" s="3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70">
      <c r="A170" s="2" t="n">
        <v>67</v>
      </c>
      <c r="B170" s="2" t="inlineStr">
        <is>
          <t>Thứ sáu ngày 13-03-2026</t>
        </is>
      </c>
      <c r="C170" s="3" t="inlineStr">
        <is>
          <t>Thứ Năm</t>
        </is>
      </c>
      <c r="D170" s="3" t="inlineStr">
        <is>
          <t>86759</t>
        </is>
      </c>
      <c r="E170" s="3" t="inlineStr">
        <is>
          <t>59</t>
        </is>
      </c>
      <c r="F170" s="3" t="inlineStr">
        <is>
          <t>G7.4, G7.1</t>
        </is>
      </c>
      <c r="G170" s="3" t="inlineStr">
        <is>
          <t>Tổng 3, Tổng 4, Tổng 8, Tổng 9</t>
        </is>
      </c>
      <c r="H170" s="3" t="inlineStr">
        <is>
          <t>01345689</t>
        </is>
      </c>
      <c r="I170" s="3" t="inlineStr">
        <is>
          <t>Tổng 8-Bóng 3</t>
        </is>
      </c>
      <c r="J170" s="3" t="n">
        <v>36</v>
      </c>
      <c r="K170" s="6" t="inlineStr">
        <is>
          <t>TRÚNG N1 🎯</t>
        </is>
      </c>
      <c r="L170" s="3" t="inlineStr">
        <is>
          <t>08, 12, 13, 17, 21, 30, 36, 49, 53, 54, 59, 62, 63, 68, 80, 81, 85, 86, 90, 94</t>
        </is>
      </c>
      <c r="M170" s="6" t="inlineStr">
        <is>
          <t>TRÚNG HỎA LỰC 🎯</t>
        </is>
      </c>
      <c r="N170" s="6" t="inlineStr">
        <is>
          <t>TRÚNG N1 🎯</t>
        </is>
      </c>
      <c r="O170" s="3" t="inlineStr">
        <is>
          <t>03, 04, 08, 09, 12, 13, 17, 18, 21, 26, 30, 31, 35, 36, 40, 44, 45, 49, 53, 54, 58, 59, 62, 63, 67, 68, 71, 76, 80, 81, 85, 86, 90, 94, 95, 99</t>
        </is>
      </c>
    </row>
    <row r="171">
      <c r="A171" s="2" t="n">
        <v>66</v>
      </c>
      <c r="B171" s="2" t="inlineStr">
        <is>
          <t>Thứ năm ngày 12-03-2026</t>
        </is>
      </c>
      <c r="C171" s="3" t="inlineStr">
        <is>
          <t>Thứ Tư</t>
        </is>
      </c>
      <c r="D171" s="3" t="inlineStr">
        <is>
          <t>72124</t>
        </is>
      </c>
      <c r="E171" s="3" t="inlineStr">
        <is>
          <t>24</t>
        </is>
      </c>
      <c r="F171" s="3" t="inlineStr">
        <is>
          <t>G7.1, G7.2</t>
        </is>
      </c>
      <c r="G171" s="3" t="inlineStr">
        <is>
          <t>Tổng 1, Tổng 2, Tổng 3, Tổng 6, Tổng 7, Tổng 8</t>
        </is>
      </c>
      <c r="H171" s="3" t="inlineStr">
        <is>
          <t>0123456789</t>
        </is>
      </c>
      <c r="I171" s="3" t="inlineStr">
        <is>
          <t>Tổng 2-Bóng 7</t>
        </is>
      </c>
      <c r="J171" s="3" t="n">
        <v>60</v>
      </c>
      <c r="K171" s="6" t="inlineStr">
        <is>
          <t>TRÚNG N1 🎯</t>
        </is>
      </c>
      <c r="L171" s="3" t="inlineStr">
        <is>
          <t>01, 08, 12, 17, 30, 33, 42, 48, 49, 51, 53, 57, 61, 62, 74, 75, 80, 83, 85, 92</t>
        </is>
      </c>
      <c r="M171" s="7" t="inlineStr">
        <is>
          <t>TRƯỢT ❌</t>
        </is>
      </c>
      <c r="N171" s="6" t="inlineStr">
        <is>
          <t>TRÚNG N1 🎯</t>
        </is>
      </c>
      <c r="O17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2">
      <c r="A172" s="2" t="n">
        <v>65</v>
      </c>
      <c r="B172" s="2" t="inlineStr">
        <is>
          <t>Thứ tư ngày 11-03-2026</t>
        </is>
      </c>
      <c r="C172" s="3" t="inlineStr">
        <is>
          <t>Thứ Ba</t>
        </is>
      </c>
      <c r="D172" s="3" t="inlineStr">
        <is>
          <t>30368</t>
        </is>
      </c>
      <c r="E172" s="3" t="inlineStr">
        <is>
          <t>68</t>
        </is>
      </c>
      <c r="F172" s="3" t="inlineStr">
        <is>
          <t>G7.3, G7.4</t>
        </is>
      </c>
      <c r="G172" s="3" t="inlineStr">
        <is>
          <t>Tổng 0, Tổng 1, Tổng 4, Tổng 5, Tổng 6, Tổng 9</t>
        </is>
      </c>
      <c r="H172" s="3" t="inlineStr">
        <is>
          <t>0123456789</t>
        </is>
      </c>
      <c r="I172" s="3" t="inlineStr">
        <is>
          <t>Tổng 4-Bóng 9</t>
        </is>
      </c>
      <c r="J172" s="3" t="n">
        <v>60</v>
      </c>
      <c r="K172" s="6" t="inlineStr">
        <is>
          <t>TRÚNG N1 🎯</t>
        </is>
      </c>
      <c r="L172" s="3" t="inlineStr">
        <is>
          <t>01, 13, 19, 22, 33, 36, 37, 42, 51, 55, 59, 68, 77, 78, 81, 83, 86, 90, 91, 92</t>
        </is>
      </c>
      <c r="M172" s="6" t="inlineStr">
        <is>
          <t>TRÚNG HỎA LỰC 🎯</t>
        </is>
      </c>
      <c r="N172" s="6" t="inlineStr">
        <is>
          <t>TRÚNG N1 🎯</t>
        </is>
      </c>
      <c r="O17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3">
      <c r="A173" s="2" t="n">
        <v>64</v>
      </c>
      <c r="B173" s="2" t="inlineStr">
        <is>
          <t>Thứ ba ngày 10-03-2026</t>
        </is>
      </c>
      <c r="C173" s="3" t="inlineStr">
        <is>
          <t>Thứ Hai</t>
        </is>
      </c>
      <c r="D173" s="3" t="inlineStr">
        <is>
          <t>22342</t>
        </is>
      </c>
      <c r="E173" s="3" t="inlineStr">
        <is>
          <t>42</t>
        </is>
      </c>
      <c r="F173" s="3" t="inlineStr">
        <is>
          <t>G7.1, G7.2</t>
        </is>
      </c>
      <c r="G173" s="3" t="inlineStr">
        <is>
          <t>Tổng 0, Tổng 3, Tổng 5, Tổng 8</t>
        </is>
      </c>
      <c r="H173" s="3" t="inlineStr">
        <is>
          <t>01235678</t>
        </is>
      </c>
      <c r="I173" s="3" t="inlineStr">
        <is>
          <t>Tổng 5-Bóng 0</t>
        </is>
      </c>
      <c r="J173" s="3" t="n">
        <v>36</v>
      </c>
      <c r="K173" s="7" t="inlineStr">
        <is>
          <t>TRƯỢT ❌</t>
        </is>
      </c>
      <c r="L173" s="3" t="inlineStr">
        <is>
          <t>03, 05, 08, 12, 14, 17, 19, 21, 23, 28, 30, 37, 46, 53, 55, 62, 78, 80, 85, 91</t>
        </is>
      </c>
      <c r="M173" s="7" t="inlineStr">
        <is>
          <t>TRƯỢT ❌</t>
        </is>
      </c>
      <c r="N173" s="7" t="inlineStr">
        <is>
          <t>TRƯỢT KHUNG ❌</t>
        </is>
      </c>
      <c r="O173" s="3" t="inlineStr">
        <is>
          <t>00, 03, 05, 08, 12, 14, 17, 19, 21, 23, 26, 28, 30, 32, 35, 37, 41, 46, 50, 53, 55, 58, 62, 64, 67, 69, 71, 73, 76, 78, 80, 82, 85, 87, 91, 96</t>
        </is>
      </c>
    </row>
    <row r="174">
      <c r="A174" s="2" t="n">
        <v>63</v>
      </c>
      <c r="B174" s="2" t="inlineStr">
        <is>
          <t>Thứ hai ngày 09-03-2026</t>
        </is>
      </c>
      <c r="C174" s="3" t="inlineStr">
        <is>
          <t>Chủ Nhật</t>
        </is>
      </c>
      <c r="D174" s="3" t="inlineStr">
        <is>
          <t>90580</t>
        </is>
      </c>
      <c r="E174" s="3" t="inlineStr">
        <is>
          <t>80</t>
        </is>
      </c>
      <c r="F174" s="3" t="inlineStr">
        <is>
          <t>G7.3, G7.4</t>
        </is>
      </c>
      <c r="G174" s="3" t="inlineStr">
        <is>
          <t>Tổng 1, Tổng 4, Tổng 6, Tổng 9</t>
        </is>
      </c>
      <c r="H174" s="3" t="inlineStr">
        <is>
          <t>2479</t>
        </is>
      </c>
      <c r="I174" s="3" t="inlineStr">
        <is>
          <t>Tổng 9-Bóng 4</t>
        </is>
      </c>
      <c r="J174" s="3" t="n">
        <v>20</v>
      </c>
      <c r="K174" s="7" t="inlineStr">
        <is>
          <t>TRƯỢT ❌</t>
        </is>
      </c>
      <c r="L174" s="3" t="inlineStr">
        <is>
          <t>04, 09, 22, 24, 27, 29, 40, 42, 45, 47, 54, 59, 72, 74, 77, 79, 90, 92, 95, 97</t>
        </is>
      </c>
      <c r="M174" s="7" t="inlineStr">
        <is>
          <t>TRƯỢT ❌</t>
        </is>
      </c>
      <c r="N174" s="6" t="inlineStr">
        <is>
          <t>TRÚNG N2 🎯</t>
        </is>
      </c>
      <c r="O174" s="3" t="inlineStr">
        <is>
          <t>04, 09, 22, 24, 27, 29, 40, 42, 45, 47, 54, 59, 72, 74, 77, 79, 90, 92, 95, 97</t>
        </is>
      </c>
    </row>
    <row r="175">
      <c r="A175" s="2" t="n">
        <v>62</v>
      </c>
      <c r="B175" s="2" t="inlineStr">
        <is>
          <t>Chủ nhật ngày 08-03-2026</t>
        </is>
      </c>
      <c r="C175" s="3" t="inlineStr">
        <is>
          <t>Thứ Bảy</t>
        </is>
      </c>
      <c r="D175" s="3" t="inlineStr">
        <is>
          <t>81336</t>
        </is>
      </c>
      <c r="E175" s="3" t="inlineStr">
        <is>
          <t>36</t>
        </is>
      </c>
      <c r="F175" s="3" t="inlineStr">
        <is>
          <t>G7.1, G7.2</t>
        </is>
      </c>
      <c r="G175" s="3" t="inlineStr">
        <is>
          <t>Tổng 2, Tổng 3, Tổng 7, Tổng 8</t>
        </is>
      </c>
      <c r="H175" s="3" t="inlineStr">
        <is>
          <t>12346789</t>
        </is>
      </c>
      <c r="I175" s="3" t="inlineStr">
        <is>
          <t>Tổng 7-Bóng 2</t>
        </is>
      </c>
      <c r="J175" s="3" t="n">
        <v>40</v>
      </c>
      <c r="K175" s="7" t="inlineStr">
        <is>
          <t>TRƯỢT ❌</t>
        </is>
      </c>
      <c r="L175" s="3" t="inlineStr">
        <is>
          <t>03, 08, 12, 16, 17, 21, 30, 35, 48, 49, 53, 57, 61, 62, 75, 80, 85, 89, 93, 94</t>
        </is>
      </c>
      <c r="M175" s="7" t="inlineStr">
        <is>
          <t>TRƯỢT ❌</t>
        </is>
      </c>
      <c r="N175" s="6" t="inlineStr">
        <is>
          <t>TRÚNG N2 🎯</t>
        </is>
      </c>
      <c r="O175" s="3" t="inlineStr">
        <is>
          <t>02, 03, 07, 08, 11, 12, 16, 17, 20, 21, 25, 26, 30, 34, 35, 39, 43, 44, 48, 49, 52, 53, 57, 58, 61, 62, 66, 67, 70, 71, 75, 76, 80, 84, 85, 89, 93, 94, 98, 99</t>
        </is>
      </c>
    </row>
    <row r="176">
      <c r="A176" s="2" t="n">
        <v>61</v>
      </c>
      <c r="B176" s="2" t="inlineStr">
        <is>
          <t>Thứ bảy ngày 07-03-2026</t>
        </is>
      </c>
      <c r="C176" s="3" t="inlineStr">
        <is>
          <t>Thứ Sáu</t>
        </is>
      </c>
      <c r="D176" s="3" t="inlineStr">
        <is>
          <t>51951</t>
        </is>
      </c>
      <c r="E176" s="3" t="inlineStr">
        <is>
          <t>51</t>
        </is>
      </c>
      <c r="F176" s="3" t="inlineStr">
        <is>
          <t>G7.2, G7.3</t>
        </is>
      </c>
      <c r="G176" s="3" t="inlineStr">
        <is>
          <t>Tổng 2, Tổng 3, Tổng 7, Tổng 8</t>
        </is>
      </c>
      <c r="H176" s="3" t="inlineStr">
        <is>
          <t>0123456789</t>
        </is>
      </c>
      <c r="I176" s="3" t="inlineStr">
        <is>
          <t>Tổng 2-Bóng 7</t>
        </is>
      </c>
      <c r="J176" s="3" t="n">
        <v>40</v>
      </c>
      <c r="K176" s="7" t="inlineStr">
        <is>
          <t>TRƯỢT ❌</t>
        </is>
      </c>
      <c r="L176" s="3" t="inlineStr">
        <is>
          <t>03, 08, 12, 16, 17, 21, 30, 35, 48, 49, 53, 57, 61, 62, 75, 80, 85, 89, 93, 94</t>
        </is>
      </c>
      <c r="M176" s="7" t="inlineStr">
        <is>
          <t>TRƯỢT ❌</t>
        </is>
      </c>
      <c r="N176" s="6" t="inlineStr">
        <is>
          <t>TRÚNG N3 🎯</t>
        </is>
      </c>
      <c r="O176" s="3" t="inlineStr">
        <is>
          <t>02, 03, 07, 08, 11, 12, 16, 17, 20, 21, 25, 26, 30, 34, 35, 39, 43, 44, 48, 49, 52, 53, 57, 58, 61, 62, 66, 67, 70, 71, 75, 76, 80, 84, 85, 89, 93, 94, 98, 99</t>
        </is>
      </c>
    </row>
    <row r="177">
      <c r="A177" s="2" t="n">
        <v>60</v>
      </c>
      <c r="B177" s="2" t="inlineStr">
        <is>
          <t>Thứ sáu ngày 06-03-2026</t>
        </is>
      </c>
      <c r="C177" s="3" t="inlineStr">
        <is>
          <t>Thứ Năm</t>
        </is>
      </c>
      <c r="D177" s="3" t="inlineStr">
        <is>
          <t>38249</t>
        </is>
      </c>
      <c r="E177" s="3" t="inlineStr">
        <is>
          <t>49</t>
        </is>
      </c>
      <c r="F177" s="3" t="inlineStr">
        <is>
          <t>G7.4, G7.1</t>
        </is>
      </c>
      <c r="G177" s="3" t="inlineStr">
        <is>
          <t>Tổng 0, Tổng 2, Tổng 3, Tổng 5, Tổng 7, Tổng 8</t>
        </is>
      </c>
      <c r="H177" s="3" t="inlineStr">
        <is>
          <t>014569</t>
        </is>
      </c>
      <c r="I177" s="3" t="inlineStr">
        <is>
          <t>Tổng 0-Bóng 5</t>
        </is>
      </c>
      <c r="J177" s="3" t="n">
        <v>52</v>
      </c>
      <c r="K177" s="6" t="inlineStr">
        <is>
          <t>TRÚNG N1 🎯</t>
        </is>
      </c>
      <c r="L177" s="3" t="inlineStr">
        <is>
          <t>05, 08, 12, 14, 17, 19, 21, 30, 48, 53, 55, 57, 61, 62, 75, 80, 85, 89, 91, 94</t>
        </is>
      </c>
      <c r="M177" s="7" t="inlineStr">
        <is>
          <t>TRƯỢT ❌</t>
        </is>
      </c>
      <c r="N177" s="6" t="inlineStr">
        <is>
          <t>TRÚNG N1 🎯</t>
        </is>
      </c>
      <c r="O177" s="3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78">
      <c r="A178" s="2" t="n">
        <v>59</v>
      </c>
      <c r="B178" s="2" t="inlineStr">
        <is>
          <t>Thứ năm ngày 05-03-2026</t>
        </is>
      </c>
      <c r="C178" s="3" t="inlineStr">
        <is>
          <t>Thứ Tư</t>
        </is>
      </c>
      <c r="D178" s="3" t="inlineStr">
        <is>
          <t>16659</t>
        </is>
      </c>
      <c r="E178" s="3" t="inlineStr">
        <is>
          <t>59</t>
        </is>
      </c>
      <c r="F178" s="3" t="inlineStr">
        <is>
          <t>G7.1, G7.2</t>
        </is>
      </c>
      <c r="G178" s="3" t="inlineStr">
        <is>
          <t>Tổng 0, Tổng 3, Tổng 5, Tổng 8</t>
        </is>
      </c>
      <c r="H178" s="3" t="inlineStr">
        <is>
          <t>0123456789</t>
        </is>
      </c>
      <c r="I178" s="3" t="inlineStr">
        <is>
          <t>Tổng 5-Bóng 0</t>
        </is>
      </c>
      <c r="J178" s="3" t="n">
        <v>40</v>
      </c>
      <c r="K178" s="7" t="inlineStr">
        <is>
          <t>TRƯỢT ❌</t>
        </is>
      </c>
      <c r="L178" s="3" t="inlineStr">
        <is>
          <t>05, 08, 12, 14, 17, 19, 21, 23, 28, 30, 37, 49, 53, 55, 62, 78, 80, 85, 91, 94</t>
        </is>
      </c>
      <c r="M178" s="7" t="inlineStr">
        <is>
          <t>TRƯỢT ❌</t>
        </is>
      </c>
      <c r="N178" s="6" t="inlineStr">
        <is>
          <t>TRÚNG N2 🎯</t>
        </is>
      </c>
      <c r="O178" s="3" t="inlineStr">
        <is>
          <t>00, 03, 05, 08, 12, 14, 17, 19, 21, 23, 26, 28, 30, 32, 35, 37, 41, 44, 46, 49, 50, 53, 55, 58, 62, 64, 67, 69, 71, 73, 76, 78, 80, 82, 85, 87, 91, 94, 96, 99</t>
        </is>
      </c>
    </row>
    <row r="179">
      <c r="A179" s="2" t="n">
        <v>58</v>
      </c>
      <c r="B179" s="2" t="inlineStr">
        <is>
          <t>Thứ tư ngày 04-03-2026</t>
        </is>
      </c>
      <c r="C179" s="3" t="inlineStr">
        <is>
          <t>Thứ Ba</t>
        </is>
      </c>
      <c r="D179" s="3" t="inlineStr">
        <is>
          <t>10619</t>
        </is>
      </c>
      <c r="E179" s="3" t="inlineStr">
        <is>
          <t>19</t>
        </is>
      </c>
      <c r="F179" s="3" t="inlineStr">
        <is>
          <t>G7.3, G7.1</t>
        </is>
      </c>
      <c r="G179" s="3" t="inlineStr">
        <is>
          <t>Tổng 1, Tổng 3, Tổng 4, Tổng 6, Tổng 8, Tổng 9</t>
        </is>
      </c>
      <c r="H179" s="3" t="inlineStr">
        <is>
          <t>12346789</t>
        </is>
      </c>
      <c r="I179" s="3" t="inlineStr">
        <is>
          <t>Tổng 1-Bóng 6</t>
        </is>
      </c>
      <c r="J179" s="3" t="n">
        <v>60</v>
      </c>
      <c r="K179" s="7" t="inlineStr">
        <is>
          <t>TRƯỢT ❌</t>
        </is>
      </c>
      <c r="L179" s="3" t="inlineStr">
        <is>
          <t>01, 08, 12, 13, 17, 22, 30, 33, 45, 53, 54, 62, 68, 77, 81, 83, 85, 86, 90, 92</t>
        </is>
      </c>
      <c r="M179" s="7" t="inlineStr">
        <is>
          <t>TRƯỢT ❌</t>
        </is>
      </c>
      <c r="N179" s="6" t="inlineStr">
        <is>
          <t>TRÚNG N2 🎯</t>
        </is>
      </c>
      <c r="O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0">
      <c r="A180" s="2" t="n">
        <v>57</v>
      </c>
      <c r="B180" s="2" t="inlineStr">
        <is>
          <t>Thứ ba ngày 03-03-2026</t>
        </is>
      </c>
      <c r="C180" s="3" t="inlineStr">
        <is>
          <t>Thứ Hai</t>
        </is>
      </c>
      <c r="D180" s="3" t="inlineStr">
        <is>
          <t>70078</t>
        </is>
      </c>
      <c r="E180" s="3" t="inlineStr">
        <is>
          <t>78</t>
        </is>
      </c>
      <c r="F180" s="3" t="inlineStr">
        <is>
          <t>G7.1, G7.2</t>
        </is>
      </c>
      <c r="G180" s="3" t="inlineStr">
        <is>
          <t>Tổng 2, Tổng 4, Tổng 7, Tổng 9</t>
        </is>
      </c>
      <c r="H180" s="3" t="inlineStr">
        <is>
          <t>01345689</t>
        </is>
      </c>
      <c r="I180" s="3" t="inlineStr">
        <is>
          <t>Tổng 4-Bóng 9</t>
        </is>
      </c>
      <c r="J180" s="3" t="n">
        <v>36</v>
      </c>
      <c r="K180" s="7" t="inlineStr">
        <is>
          <t>TRƯỢT ❌</t>
        </is>
      </c>
      <c r="L180" s="3" t="inlineStr">
        <is>
          <t>02, 11, 13, 16, 18, 45, 48, 54, 57, 61, 63, 66, 68, 75, 81, 86, 89, 90, 93, 95</t>
        </is>
      </c>
      <c r="M180" s="7" t="inlineStr">
        <is>
          <t>TRƯỢT ❌</t>
        </is>
      </c>
      <c r="N180" s="6" t="inlineStr">
        <is>
          <t>TRÚNG N3 🎯</t>
        </is>
      </c>
      <c r="O180" s="3" t="inlineStr">
        <is>
          <t>02, 04, 07, 09, 11, 13, 16, 18, 20, 25, 31, 34, 36, 39, 40, 43, 45, 48, 52, 54, 57, 59, 61, 63, 66, 68, 70, 75, 81, 84, 86, 89, 90, 93, 95, 98</t>
        </is>
      </c>
    </row>
    <row r="181">
      <c r="A181" s="2" t="n">
        <v>56</v>
      </c>
      <c r="B181" s="2" t="inlineStr">
        <is>
          <t>Thứ hai ngày 02-03-2026</t>
        </is>
      </c>
      <c r="C181" s="3" t="inlineStr">
        <is>
          <t>Chủ Nhật</t>
        </is>
      </c>
      <c r="D181" s="3" t="inlineStr">
        <is>
          <t>75257</t>
        </is>
      </c>
      <c r="E181" s="3" t="inlineStr">
        <is>
          <t>57</t>
        </is>
      </c>
      <c r="F181" s="3" t="inlineStr">
        <is>
          <t>G7.3, G7.1</t>
        </is>
      </c>
      <c r="G181" s="3" t="inlineStr">
        <is>
          <t>Tổng 1, Tổng 6</t>
        </is>
      </c>
      <c r="H181" s="3" t="inlineStr">
        <is>
          <t>0123456789</t>
        </is>
      </c>
      <c r="I181" s="3" t="inlineStr">
        <is>
          <t>Tổng 6-Bóng 1</t>
        </is>
      </c>
      <c r="J181" s="3" t="n">
        <v>20</v>
      </c>
      <c r="K181" s="7" t="inlineStr">
        <is>
          <t>TRƯỢT ❌</t>
        </is>
      </c>
      <c r="L181" s="3" t="inlineStr">
        <is>
          <t>01, 06, 10, 15, 24, 29, 33, 38, 42, 47, 51, 56, 60, 65, 74, 79, 83, 88, 92, 97</t>
        </is>
      </c>
      <c r="M181" s="7" t="inlineStr">
        <is>
          <t>TRƯỢT ❌</t>
        </is>
      </c>
      <c r="N181" s="7" t="inlineStr">
        <is>
          <t>TRƯỢT KHUNG ❌</t>
        </is>
      </c>
      <c r="O181" s="3" t="inlineStr">
        <is>
          <t>01, 06, 10, 15, 24, 29, 33, 38, 42, 47, 51, 56, 60, 65, 74, 79, 83, 88, 92, 97</t>
        </is>
      </c>
    </row>
    <row r="182">
      <c r="A182" s="2" t="n">
        <v>55</v>
      </c>
      <c r="B182" s="2" t="inlineStr">
        <is>
          <t>Chủ nhật ngày 01-03-2026</t>
        </is>
      </c>
      <c r="C182" s="3" t="inlineStr">
        <is>
          <t>Thứ Bảy</t>
        </is>
      </c>
      <c r="D182" s="3" t="inlineStr">
        <is>
          <t>90148</t>
        </is>
      </c>
      <c r="E182" s="3" t="inlineStr">
        <is>
          <t>48</t>
        </is>
      </c>
      <c r="F182" s="3" t="inlineStr">
        <is>
          <t>G7.1, G7.2</t>
        </is>
      </c>
      <c r="G182" s="3" t="inlineStr">
        <is>
          <t>Tổng 0, Tổng 1, Tổng 5, Tổng 6</t>
        </is>
      </c>
      <c r="H182" s="3" t="inlineStr">
        <is>
          <t>0123456789</t>
        </is>
      </c>
      <c r="I182" s="3" t="inlineStr">
        <is>
          <t>Tổng 5-Bóng 0</t>
        </is>
      </c>
      <c r="J182" s="3" t="n">
        <v>40</v>
      </c>
      <c r="K182" s="7" t="inlineStr">
        <is>
          <t>TRƯỢT ❌</t>
        </is>
      </c>
      <c r="L182" s="3" t="inlineStr">
        <is>
          <t>01, 05, 14, 23, 24, 28, 29, 33, 37, 38, 46, 47, 51, 55, 74, 78, 83, 91, 92, 97</t>
        </is>
      </c>
      <c r="M182" s="7" t="inlineStr">
        <is>
          <t>TRƯỢT ❌</t>
        </is>
      </c>
      <c r="N182" s="6" t="inlineStr">
        <is>
          <t>TRÚNG N3 🎯</t>
        </is>
      </c>
      <c r="O182" s="3" t="inlineStr">
        <is>
          <t>00, 01, 05, 06, 10, 14, 15, 19, 23, 24, 28, 29, 32, 33, 37, 38, 41, 42, 46, 47, 50, 51, 55, 56, 60, 64, 65, 69, 73, 74, 78, 79, 82, 83, 87, 88, 91, 92, 96, 97</t>
        </is>
      </c>
    </row>
    <row r="183">
      <c r="A183" s="2" t="n">
        <v>54</v>
      </c>
      <c r="B183" s="2" t="inlineStr">
        <is>
          <t>Thứ bảy ngày 28-02-2026</t>
        </is>
      </c>
      <c r="C183" s="3" t="inlineStr">
        <is>
          <t>Thứ Sáu</t>
        </is>
      </c>
      <c r="D183" s="3" t="inlineStr">
        <is>
          <t>47891</t>
        </is>
      </c>
      <c r="E183" s="3" t="inlineStr">
        <is>
          <t>91</t>
        </is>
      </c>
      <c r="F183" s="3" t="inlineStr">
        <is>
          <t>G7.2, G7.3</t>
        </is>
      </c>
      <c r="G183" s="3" t="inlineStr">
        <is>
          <t>Tổng 1, Tổng 2, Tổng 3, Tổng 6, Tổng 7, Tổng 8</t>
        </is>
      </c>
      <c r="H183" s="3" t="inlineStr">
        <is>
          <t>0123456789</t>
        </is>
      </c>
      <c r="I183" s="3" t="inlineStr">
        <is>
          <t>Tổng 8-Bóng 3</t>
        </is>
      </c>
      <c r="J183" s="3" t="n">
        <v>60</v>
      </c>
      <c r="K183" s="7" t="inlineStr">
        <is>
          <t>TRƯỢT ❌</t>
        </is>
      </c>
      <c r="L183" s="3" t="inlineStr">
        <is>
          <t>01, 08, 12, 17, 21, 30, 33, 47, 48, 53, 61, 62, 74, 75, 80, 83, 85, 92, 94, 97</t>
        </is>
      </c>
      <c r="M183" s="7" t="inlineStr">
        <is>
          <t>TRƯỢT ❌</t>
        </is>
      </c>
      <c r="N183" s="6" t="inlineStr">
        <is>
          <t>TRÚNG N2 🎯</t>
        </is>
      </c>
      <c r="O18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4">
      <c r="A184" s="2" t="n">
        <v>53</v>
      </c>
      <c r="B184" s="2" t="inlineStr">
        <is>
          <t>Thứ sáu ngày 27-02-2026</t>
        </is>
      </c>
      <c r="C184" s="3" t="inlineStr">
        <is>
          <t>Thứ Năm</t>
        </is>
      </c>
      <c r="D184" s="3" t="inlineStr">
        <is>
          <t>13283</t>
        </is>
      </c>
      <c r="E184" s="3" t="inlineStr">
        <is>
          <t>83</t>
        </is>
      </c>
      <c r="F184" s="3" t="inlineStr">
        <is>
          <t>G7.4, G7.1</t>
        </is>
      </c>
      <c r="G184" s="3" t="inlineStr">
        <is>
          <t>Tổng 0, Tổng 3, Tổng 4, Tổng 5, Tổng 8, Tổng 9</t>
        </is>
      </c>
      <c r="H184" s="3" t="inlineStr">
        <is>
          <t>014569</t>
        </is>
      </c>
      <c r="I184" s="3" t="inlineStr">
        <is>
          <t>Tổng 4-Bóng 9</t>
        </is>
      </c>
      <c r="J184" s="3" t="n">
        <v>48</v>
      </c>
      <c r="K184" s="7" t="inlineStr">
        <is>
          <t>TRƯỢT ❌</t>
        </is>
      </c>
      <c r="L184" s="3" t="inlineStr">
        <is>
          <t>05, 08, 12, 13, 14, 17, 21, 30, 45, 53, 54, 55, 62, 68, 80, 81, 85, 86, 90, 94</t>
        </is>
      </c>
      <c r="M184" s="7" t="inlineStr">
        <is>
          <t>TRƯỢT ❌</t>
        </is>
      </c>
      <c r="N184" s="6" t="inlineStr">
        <is>
          <t>TRÚNG N2 🎯</t>
        </is>
      </c>
      <c r="O184" s="3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185">
      <c r="A185" s="2" t="n">
        <v>52</v>
      </c>
      <c r="B185" s="2" t="inlineStr">
        <is>
          <t>Thứ năm ngày 26-02-2026</t>
        </is>
      </c>
      <c r="C185" s="3" t="inlineStr">
        <is>
          <t>Thứ Tư</t>
        </is>
      </c>
      <c r="D185" s="3" t="inlineStr">
        <is>
          <t>86408</t>
        </is>
      </c>
      <c r="E185" s="3" t="inlineStr">
        <is>
          <t>08</t>
        </is>
      </c>
      <c r="F185" s="3" t="inlineStr">
        <is>
          <t>G7.1, G7.2</t>
        </is>
      </c>
      <c r="G185" s="3" t="inlineStr">
        <is>
          <t>Tổng 0, Tổng 2, Tổng 3, Tổng 5, Tổng 7, Tổng 8</t>
        </is>
      </c>
      <c r="H185" s="3" t="inlineStr">
        <is>
          <t>0123456789</t>
        </is>
      </c>
      <c r="I185" s="3" t="inlineStr">
        <is>
          <t>Tổng 5-Bóng 0</t>
        </is>
      </c>
      <c r="J185" s="3" t="n">
        <v>60</v>
      </c>
      <c r="K185" s="6" t="inlineStr">
        <is>
          <t>TRÚNG N1 🎯</t>
        </is>
      </c>
      <c r="L185" s="3" t="inlineStr">
        <is>
          <t>05, 12, 14, 17, 21, 23, 30, 37, 48, 49, 53, 55, 61, 62, 75, 78, 80, 85, 89, 94</t>
        </is>
      </c>
      <c r="M185" s="7" t="inlineStr">
        <is>
          <t>TRƯỢT ❌</t>
        </is>
      </c>
      <c r="N185" s="6" t="inlineStr">
        <is>
          <t>TRÚNG N1 🎯</t>
        </is>
      </c>
      <c r="O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6">
      <c r="A186" s="2" t="n">
        <v>51</v>
      </c>
      <c r="B186" s="2" t="inlineStr">
        <is>
          <t>Thứ tư ngày 25-02-2026</t>
        </is>
      </c>
      <c r="C186" s="3" t="inlineStr">
        <is>
          <t>Thứ Ba</t>
        </is>
      </c>
      <c r="D186" s="3" t="inlineStr">
        <is>
          <t>48153</t>
        </is>
      </c>
      <c r="E186" s="3" t="inlineStr">
        <is>
          <t>53</t>
        </is>
      </c>
      <c r="F186" s="3" t="inlineStr">
        <is>
          <t>G7.1, G7.2</t>
        </is>
      </c>
      <c r="G186" s="3" t="inlineStr">
        <is>
          <t>Tổng 1, Tổng 4, Tổng 6, Tổng 9</t>
        </is>
      </c>
      <c r="H186" s="3" t="inlineStr">
        <is>
          <t>0123456789</t>
        </is>
      </c>
      <c r="I186" s="3" t="inlineStr">
        <is>
          <t>Tổng 1-Bóng 6</t>
        </is>
      </c>
      <c r="J186" s="3" t="n">
        <v>40</v>
      </c>
      <c r="K186" s="7" t="inlineStr">
        <is>
          <t>TRƯỢT ❌</t>
        </is>
      </c>
      <c r="L186" s="3" t="inlineStr">
        <is>
          <t>01, 13, 22, 24, 27, 33, 38, 45, 47, 51, 54, 63, 68, 74, 77, 81, 86, 90, 92, 97</t>
        </is>
      </c>
      <c r="M186" s="7" t="inlineStr">
        <is>
          <t>TRƯỢT ❌</t>
        </is>
      </c>
      <c r="N186" s="6" t="inlineStr">
        <is>
          <t>TRÚNG N3 🎯</t>
        </is>
      </c>
      <c r="O186" s="3" t="inlineStr">
        <is>
          <t>01, 04, 06, 09, 10, 13, 15, 18, 22, 24, 27, 29, 31, 33, 36, 38, 40, 42, 45, 47, 51, 54, 56, 59, 60, 63, 65, 68, 72, 74, 77, 79, 81, 83, 86, 88, 90, 92, 95, 97</t>
        </is>
      </c>
    </row>
    <row r="187">
      <c r="A187" s="2" t="n">
        <v>50</v>
      </c>
      <c r="B187" s="2" t="inlineStr">
        <is>
          <t>Thứ ba ngày 24-02-2026</t>
        </is>
      </c>
      <c r="C187" s="3" t="inlineStr">
        <is>
          <t>Thứ Hai</t>
        </is>
      </c>
      <c r="D187" s="3" t="inlineStr">
        <is>
          <t>65037</t>
        </is>
      </c>
      <c r="E187" s="3" t="inlineStr">
        <is>
          <t>37</t>
        </is>
      </c>
      <c r="F187" s="3" t="inlineStr">
        <is>
          <t>G7.1, G7.3</t>
        </is>
      </c>
      <c r="G187" s="3" t="inlineStr">
        <is>
          <t>Tổng 0, Tổng 1, Tổng 4, Tổng 5, Tổng 6, Tổng 9</t>
        </is>
      </c>
      <c r="H187" s="3" t="inlineStr">
        <is>
          <t>02345789</t>
        </is>
      </c>
      <c r="I187" s="3" t="inlineStr">
        <is>
          <t>Tổng 1-Bóng 6</t>
        </is>
      </c>
      <c r="J187" s="3" t="n">
        <v>60</v>
      </c>
      <c r="K187" s="6" t="inlineStr">
        <is>
          <t>TRÚNG N1 🎯</t>
        </is>
      </c>
      <c r="L187" s="3" t="inlineStr">
        <is>
          <t>01, 05, 13, 14, 22, 33, 45, 47, 54, 55, 63, 68, 74, 77, 78, 81, 86, 90, 92, 97</t>
        </is>
      </c>
      <c r="M187" s="7" t="inlineStr">
        <is>
          <t>TRƯỢT ❌</t>
        </is>
      </c>
      <c r="N187" s="6" t="inlineStr">
        <is>
          <t>TRÚNG N1 🎯</t>
        </is>
      </c>
      <c r="O18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8">
      <c r="A188" s="2" t="n">
        <v>49</v>
      </c>
      <c r="B188" s="2" t="inlineStr">
        <is>
          <t>Thứ hai ngày 23-02-2026</t>
        </is>
      </c>
      <c r="C188" s="3" t="inlineStr">
        <is>
          <t>Chủ Nhật</t>
        </is>
      </c>
      <c r="D188" s="3" t="inlineStr">
        <is>
          <t>67655</t>
        </is>
      </c>
      <c r="E188" s="3" t="inlineStr">
        <is>
          <t>55</t>
        </is>
      </c>
      <c r="F188" s="3" t="inlineStr">
        <is>
          <t>G7.3, G7.1</t>
        </is>
      </c>
      <c r="G188" s="3" t="inlineStr">
        <is>
          <t>Tổng 1, Tổng 3, Tổng 4, Tổng 6, Tổng 8, Tổng 9</t>
        </is>
      </c>
      <c r="H188" s="3" t="inlineStr">
        <is>
          <t>034589</t>
        </is>
      </c>
      <c r="I188" s="3" t="inlineStr">
        <is>
          <t>Tổng 6-Bóng 1</t>
        </is>
      </c>
      <c r="J188" s="3" t="n">
        <v>48</v>
      </c>
      <c r="K188" s="7" t="inlineStr">
        <is>
          <t>TRƯỢT ❌</t>
        </is>
      </c>
      <c r="L188" s="3" t="inlineStr">
        <is>
          <t>01, 13, 30, 33, 38, 45, 47, 51, 54, 63, 68, 74, 80, 81, 85, 86, 90, 92, 94, 97</t>
        </is>
      </c>
      <c r="M188" s="7" t="inlineStr">
        <is>
          <t>TRƯỢT ❌</t>
        </is>
      </c>
      <c r="N188" s="6" t="inlineStr">
        <is>
          <t>TRÚNG N3 🎯</t>
        </is>
      </c>
      <c r="O188" s="3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89">
      <c r="A189" s="2" t="n">
        <v>48</v>
      </c>
      <c r="B189" s="2" t="inlineStr">
        <is>
          <t>Chủ nhật ngày 22-02-2026</t>
        </is>
      </c>
      <c r="C189" s="3" t="inlineStr">
        <is>
          <t>Thứ Bảy</t>
        </is>
      </c>
      <c r="D189" s="3" t="inlineStr">
        <is>
          <t>64512</t>
        </is>
      </c>
      <c r="E189" s="3" t="inlineStr">
        <is>
          <t>12</t>
        </is>
      </c>
      <c r="F189" s="3" t="inlineStr">
        <is>
          <t>G7.1, G7.2</t>
        </is>
      </c>
      <c r="G189" s="3" t="inlineStr">
        <is>
          <t>Tổng 0, Tổng 3, Tổng 5, Tổng 8</t>
        </is>
      </c>
      <c r="H189" s="3" t="inlineStr">
        <is>
          <t>014569</t>
        </is>
      </c>
      <c r="I189" s="3" t="inlineStr">
        <is>
          <t>Tổng 8-Bóng 3</t>
        </is>
      </c>
      <c r="J189" s="3" t="n">
        <v>32</v>
      </c>
      <c r="K189" s="6" t="inlineStr">
        <is>
          <t>TRÚNG N1 🎯</t>
        </is>
      </c>
      <c r="L189" s="3" t="inlineStr">
        <is>
          <t>03, 05, 14, 17, 21, 26, 30, 35, 46, 49, 50, 53, 58, 62, 67, 76, 80, 85, 91, 94</t>
        </is>
      </c>
      <c r="M189" s="7" t="inlineStr">
        <is>
          <t>TRƯỢT ❌</t>
        </is>
      </c>
      <c r="N189" s="6" t="inlineStr">
        <is>
          <t>TRÚNG N1 🎯</t>
        </is>
      </c>
      <c r="O189" s="3" t="inlineStr">
        <is>
          <t>00, 03, 05, 08, 12, 14, 17, 19, 21, 26, 30, 35, 41, 44, 46, 49, 50, 53, 55, 58, 62, 64, 67, 69, 71, 76, 80, 85, 91, 94, 96, 99</t>
        </is>
      </c>
    </row>
    <row r="190">
      <c r="A190" s="2" t="n">
        <v>47</v>
      </c>
      <c r="B190" s="2" t="inlineStr">
        <is>
          <t>Thứ bảy ngày 21-02-2026</t>
        </is>
      </c>
      <c r="C190" s="3" t="inlineStr">
        <is>
          <t>Thứ Sáu</t>
        </is>
      </c>
      <c r="D190" s="3" t="inlineStr">
        <is>
          <t>44413</t>
        </is>
      </c>
      <c r="E190" s="3" t="inlineStr">
        <is>
          <t>13</t>
        </is>
      </c>
      <c r="F190" s="3" t="inlineStr">
        <is>
          <t>G7.2, G7.3</t>
        </is>
      </c>
      <c r="G190" s="3" t="inlineStr">
        <is>
          <t>Tổng 1, Tổng 3, Tổng 4, Tổng 6, Tổng 8, Tổng 9</t>
        </is>
      </c>
      <c r="H190" s="3" t="inlineStr">
        <is>
          <t>0123456789</t>
        </is>
      </c>
      <c r="I190" s="3" t="inlineStr">
        <is>
          <t>Tổng 8-Bóng 3</t>
        </is>
      </c>
      <c r="J190" s="3" t="n">
        <v>60</v>
      </c>
      <c r="K190" s="6" t="inlineStr">
        <is>
          <t>TRÚNG N1 🎯</t>
        </is>
      </c>
      <c r="L190" s="3" t="inlineStr">
        <is>
          <t>01, 17, 21, 22, 30, 33, 45, 51, 54, 62, 63, 68, 74, 77, 80, 81, 85, 86, 90, 92</t>
        </is>
      </c>
      <c r="M190" s="7" t="inlineStr">
        <is>
          <t>TRƯỢT ❌</t>
        </is>
      </c>
      <c r="N190" s="6" t="inlineStr">
        <is>
          <t>TRÚNG N1 🎯</t>
        </is>
      </c>
      <c r="O19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1">
      <c r="A191" s="2" t="n">
        <v>46</v>
      </c>
      <c r="B191" s="2" t="inlineStr">
        <is>
          <t>Thứ sáu ngày 20-02-2026</t>
        </is>
      </c>
      <c r="C191" s="3" t="inlineStr">
        <is>
          <t>Chủ Nhật</t>
        </is>
      </c>
      <c r="D191" s="3" t="inlineStr">
        <is>
          <t>36481</t>
        </is>
      </c>
      <c r="E191" s="3" t="inlineStr">
        <is>
          <t>81</t>
        </is>
      </c>
      <c r="F191" s="3" t="inlineStr">
        <is>
          <t>G7.3, G7.1</t>
        </is>
      </c>
      <c r="G191" s="3" t="inlineStr">
        <is>
          <t>Tổng 1, Tổng 2, Tổng 6, Tổng 7</t>
        </is>
      </c>
      <c r="H191" s="3" t="inlineStr">
        <is>
          <t>02345789</t>
        </is>
      </c>
      <c r="I191" s="3" t="inlineStr">
        <is>
          <t>Tổng 2-Bóng 7</t>
        </is>
      </c>
      <c r="J191" s="3" t="n">
        <v>36</v>
      </c>
      <c r="K191" s="7" t="inlineStr">
        <is>
          <t>TRƯỢT ❌</t>
        </is>
      </c>
      <c r="L191" s="3" t="inlineStr">
        <is>
          <t>01, 24, 29, 33, 38, 42, 47, 48, 51, 56, 57, 74, 75, 79, 83, 88, 89, 92, 93, 97</t>
        </is>
      </c>
      <c r="M191" s="7" t="inlineStr">
        <is>
          <t>TRƯỢT ❌</t>
        </is>
      </c>
      <c r="N191" s="7" t="inlineStr">
        <is>
          <t>TRƯỢT KHUNG ❌</t>
        </is>
      </c>
      <c r="O191" s="3" t="inlineStr">
        <is>
          <t>01, 02, 06, 07, 10, 15, 20, 24, 25, 29, 33, 34, 38, 39, 42, 43, 47, 48, 51, 52, 56, 57, 60, 65, 70, 74, 75, 79, 83, 84, 88, 89, 92, 93, 97, 98</t>
        </is>
      </c>
    </row>
    <row r="192">
      <c r="A192" s="2" t="n">
        <v>45</v>
      </c>
      <c r="B192" s="2" t="inlineStr">
        <is>
          <t>Chủ nhật ngày 15-02-2026</t>
        </is>
      </c>
      <c r="C192" s="3" t="inlineStr">
        <is>
          <t>Thứ Bảy</t>
        </is>
      </c>
      <c r="D192" s="3" t="inlineStr">
        <is>
          <t>22601</t>
        </is>
      </c>
      <c r="E192" s="3" t="inlineStr">
        <is>
          <t>01</t>
        </is>
      </c>
      <c r="F192" s="3" t="inlineStr">
        <is>
          <t>G7.1, G7.2</t>
        </is>
      </c>
      <c r="G192" s="3" t="inlineStr">
        <is>
          <t>Tổng 2, Tổng 4, Tổng 7, Tổng 9</t>
        </is>
      </c>
      <c r="H192" s="3" t="inlineStr">
        <is>
          <t>01345689</t>
        </is>
      </c>
      <c r="I192" s="3" t="inlineStr">
        <is>
          <t>Tổng 7-Bóng 2</t>
        </is>
      </c>
      <c r="J192" s="3" t="n">
        <v>36</v>
      </c>
      <c r="K192" s="7" t="inlineStr">
        <is>
          <t>TRƯỢT ❌</t>
        </is>
      </c>
      <c r="L192" s="3" t="inlineStr">
        <is>
          <t>02, 11, 13, 16, 18, 45, 48, 54, 57, 61, 63, 66, 68, 75, 81, 86, 89, 90, 93, 95</t>
        </is>
      </c>
      <c r="M192" s="7" t="inlineStr">
        <is>
          <t>TRƯỢT ❌</t>
        </is>
      </c>
      <c r="N192" s="6" t="inlineStr">
        <is>
          <t>TRÚNG N2 🎯</t>
        </is>
      </c>
      <c r="O192" s="3" t="inlineStr">
        <is>
          <t>02, 04, 07, 09, 11, 13, 16, 18, 20, 25, 31, 34, 36, 39, 40, 43, 45, 48, 52, 54, 57, 59, 61, 63, 66, 68, 70, 75, 81, 84, 86, 89, 90, 93, 95, 98</t>
        </is>
      </c>
    </row>
    <row r="193">
      <c r="A193" s="2" t="n">
        <v>44</v>
      </c>
      <c r="B193" s="2" t="inlineStr">
        <is>
          <t>Thứ bảy ngày 14-02-2026</t>
        </is>
      </c>
      <c r="C193" s="3" t="inlineStr">
        <is>
          <t>Thứ Sáu</t>
        </is>
      </c>
      <c r="D193" s="3" t="inlineStr">
        <is>
          <t>90630</t>
        </is>
      </c>
      <c r="E193" s="3" t="inlineStr">
        <is>
          <t>30</t>
        </is>
      </c>
      <c r="F193" s="3" t="inlineStr">
        <is>
          <t>G7.3, G7.4</t>
        </is>
      </c>
      <c r="G193" s="3" t="inlineStr">
        <is>
          <t>Tổng 1, Tổng 3, Tổng 6, Tổng 8</t>
        </is>
      </c>
      <c r="H193" s="3" t="inlineStr">
        <is>
          <t>0123456789</t>
        </is>
      </c>
      <c r="I193" s="3" t="inlineStr">
        <is>
          <t>Tổng 8-Bóng 3</t>
        </is>
      </c>
      <c r="J193" s="3" t="n">
        <v>40</v>
      </c>
      <c r="K193" s="6" t="inlineStr">
        <is>
          <t>TRÚNG N1 🎯</t>
        </is>
      </c>
      <c r="L193" s="3" t="inlineStr">
        <is>
          <t>01, 03, 17, 21, 24, 29, 30, 33, 38, 47, 49, 51, 53, 62, 74, 80, 85, 92, 94, 97</t>
        </is>
      </c>
      <c r="M193" s="6" t="inlineStr">
        <is>
          <t>TRÚNG HỎA LỰC 🎯</t>
        </is>
      </c>
      <c r="N193" s="6" t="inlineStr">
        <is>
          <t>TRÚNG N1 🎯</t>
        </is>
      </c>
      <c r="O193" s="3" t="inlineStr">
        <is>
          <t>01, 03, 06, 08, 10, 12, 15, 17, 21, 24, 26, 29, 30, 33, 35, 38, 42, 44, 47, 49, 51, 53, 56, 58, 60, 62, 65, 67, 71, 74, 76, 79, 80, 83, 85, 88, 92, 94, 97, 99</t>
        </is>
      </c>
    </row>
    <row r="194">
      <c r="A194" s="2" t="n">
        <v>43</v>
      </c>
      <c r="B194" s="2" t="inlineStr">
        <is>
          <t>Thứ sáu ngày 13-02-2026</t>
        </is>
      </c>
      <c r="C194" s="3" t="inlineStr">
        <is>
          <t>Thứ Năm</t>
        </is>
      </c>
      <c r="D194" s="3" t="inlineStr">
        <is>
          <t>93177</t>
        </is>
      </c>
      <c r="E194" s="3" t="inlineStr">
        <is>
          <t>77</t>
        </is>
      </c>
      <c r="F194" s="3" t="inlineStr">
        <is>
          <t>G7.4, G7.1</t>
        </is>
      </c>
      <c r="G194" s="3" t="inlineStr">
        <is>
          <t>Tổng 1, Tổng 3, Tổng 4, Tổng 6, Tổng 8, Tổng 9</t>
        </is>
      </c>
      <c r="H194" s="3" t="inlineStr">
        <is>
          <t>013568</t>
        </is>
      </c>
      <c r="I194" s="3" t="inlineStr">
        <is>
          <t>Tổng 8-Bóng 3</t>
        </is>
      </c>
      <c r="J194" s="3" t="n">
        <v>44</v>
      </c>
      <c r="K194" s="7" t="inlineStr">
        <is>
          <t>TRƯỢT ❌</t>
        </is>
      </c>
      <c r="L194" s="3" t="inlineStr">
        <is>
          <t>01, 03, 17, 21, 30, 33, 35, 38, 45, 51, 53, 54, 62, 63, 68, 80, 83, 85, 86, 90</t>
        </is>
      </c>
      <c r="M194" s="7" t="inlineStr">
        <is>
          <t>TRƯỢT ❌</t>
        </is>
      </c>
      <c r="N194" s="6" t="inlineStr">
        <is>
          <t>TRÚNG N2 🎯</t>
        </is>
      </c>
      <c r="O194" s="3" t="inlineStr">
        <is>
          <t>01, 03, 04, 06, 08, 09, 10, 12, 13, 15, 17, 18, 21, 26, 30, 31, 33, 35, 36, 38, 40, 45, 51, 53, 54, 56, 58, 59, 60, 62, 63, 65, 67, 68, 71, 76, 80, 81, 83, 85, 86, 88, 90, 95</t>
        </is>
      </c>
    </row>
    <row r="195">
      <c r="A195" s="2" t="n">
        <v>42</v>
      </c>
      <c r="B195" s="2" t="inlineStr">
        <is>
          <t>Thứ năm ngày 12-02-2026</t>
        </is>
      </c>
      <c r="C195" s="3" t="inlineStr">
        <is>
          <t>Thứ Tư</t>
        </is>
      </c>
      <c r="D195" s="3" t="inlineStr">
        <is>
          <t>81475</t>
        </is>
      </c>
      <c r="E195" s="3" t="inlineStr">
        <is>
          <t>75</t>
        </is>
      </c>
      <c r="F195" s="3" t="inlineStr">
        <is>
          <t>G7.1, G7.2</t>
        </is>
      </c>
      <c r="G195" s="3" t="inlineStr">
        <is>
          <t>Tổng 1, Tổng 2, Tổng 6, Tổng 7</t>
        </is>
      </c>
      <c r="H195" s="3" t="inlineStr">
        <is>
          <t>234789</t>
        </is>
      </c>
      <c r="I195" s="3" t="inlineStr">
        <is>
          <t>Tổng 6-Bóng 1</t>
        </is>
      </c>
      <c r="J195" s="3" t="n">
        <v>28</v>
      </c>
      <c r="K195" s="6" t="inlineStr">
        <is>
          <t>TRÚNG N1 🎯</t>
        </is>
      </c>
      <c r="L195" s="3" t="inlineStr">
        <is>
          <t>02, 07, 24, 29, 33, 38, 39, 42, 47, 48, 52, 57, 74, 79, 83, 88, 89, 92, 93, 97</t>
        </is>
      </c>
      <c r="M195" s="7" t="inlineStr">
        <is>
          <t>TRƯỢT ❌</t>
        </is>
      </c>
      <c r="N195" s="6" t="inlineStr">
        <is>
          <t>TRÚNG N1 🎯</t>
        </is>
      </c>
      <c r="O195" s="3" t="inlineStr">
        <is>
          <t>02, 07, 20, 24, 25, 29, 33, 34, 38, 39, 42, 43, 47, 48, 52, 57, 70, 74, 75, 79, 83, 84, 88, 89, 92, 93, 97, 98</t>
        </is>
      </c>
    </row>
    <row r="196">
      <c r="A196" s="2" t="n">
        <v>41</v>
      </c>
      <c r="B196" s="2" t="inlineStr">
        <is>
          <t>Thứ tư ngày 11-02-2026</t>
        </is>
      </c>
      <c r="C196" s="3" t="inlineStr">
        <is>
          <t>Thứ Ba</t>
        </is>
      </c>
      <c r="D196" s="3" t="inlineStr">
        <is>
          <t>20692</t>
        </is>
      </c>
      <c r="E196" s="3" t="inlineStr">
        <is>
          <t>92</t>
        </is>
      </c>
      <c r="F196" s="3" t="inlineStr">
        <is>
          <t>G7.1, G7.4</t>
        </is>
      </c>
      <c r="G196" s="3" t="inlineStr">
        <is>
          <t>Tổng 1, Tổng 2, Tổng 4, Tổng 6, Tổng 7, Tổng 9</t>
        </is>
      </c>
      <c r="H196" s="3" t="inlineStr">
        <is>
          <t>014569</t>
        </is>
      </c>
      <c r="I196" s="3" t="inlineStr">
        <is>
          <t>Tổng 6-Bóng 1</t>
        </is>
      </c>
      <c r="J196" s="3" t="n">
        <v>52</v>
      </c>
      <c r="K196" s="6" t="inlineStr">
        <is>
          <t>TRÚNG N1 🎯</t>
        </is>
      </c>
      <c r="L196" s="3" t="inlineStr">
        <is>
          <t>01, 16, 18, 24, 29, 45, 47, 48, 51, 54, 61, 63, 68, 74, 79, 86, 89, 90, 93, 97</t>
        </is>
      </c>
      <c r="M196" s="7" t="inlineStr">
        <is>
          <t>TRƯỢT ❌</t>
        </is>
      </c>
      <c r="N196" s="6" t="inlineStr">
        <is>
          <t>TRÚNG N1 🎯</t>
        </is>
      </c>
      <c r="O196" s="3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197">
      <c r="A197" s="2" t="n">
        <v>40</v>
      </c>
      <c r="B197" s="2" t="inlineStr">
        <is>
          <t>Thứ ba ngày 10-02-2026</t>
        </is>
      </c>
      <c r="C197" s="3" t="inlineStr">
        <is>
          <t>Thứ Hai</t>
        </is>
      </c>
      <c r="D197" s="3" t="inlineStr">
        <is>
          <t>65390</t>
        </is>
      </c>
      <c r="E197" s="3" t="inlineStr">
        <is>
          <t>90</t>
        </is>
      </c>
      <c r="F197" s="3" t="inlineStr">
        <is>
          <t>G7.3, G7.1</t>
        </is>
      </c>
      <c r="G197" s="3" t="inlineStr">
        <is>
          <t>Tổng 0, Tổng 3, Tổng 5, Tổng 8</t>
        </is>
      </c>
      <c r="H197" s="3" t="inlineStr">
        <is>
          <t>01245679</t>
        </is>
      </c>
      <c r="I197" s="3" t="inlineStr">
        <is>
          <t>Tổng 8-Bóng 3</t>
        </is>
      </c>
      <c r="J197" s="3" t="n">
        <v>40</v>
      </c>
      <c r="K197" s="7" t="inlineStr">
        <is>
          <t>TRƯỢT ❌</t>
        </is>
      </c>
      <c r="L197" s="3" t="inlineStr">
        <is>
          <t>03, 05, 14, 17, 21, 23, 28, 30, 35, 46, 49, 53, 62, 67, 78, 80, 82, 85, 91, 94</t>
        </is>
      </c>
      <c r="M197" s="7" t="inlineStr">
        <is>
          <t>TRƯỢT ❌</t>
        </is>
      </c>
      <c r="N197" s="7" t="inlineStr">
        <is>
          <t>TRƯỢT KHUNG ❌</t>
        </is>
      </c>
      <c r="O197" s="3" t="inlineStr">
        <is>
          <t>00, 03, 05, 08, 12, 14, 17, 19, 21, 23, 26, 28, 30, 32, 35, 37, 41, 44, 46, 49, 50, 53, 55, 58, 62, 64, 67, 69, 71, 73, 76, 78, 80, 82, 85, 87, 91, 94, 96, 99</t>
        </is>
      </c>
    </row>
    <row r="198">
      <c r="A198" s="2" t="n">
        <v>39</v>
      </c>
      <c r="B198" s="2" t="inlineStr">
        <is>
          <t>Thứ hai ngày 09-02-2026</t>
        </is>
      </c>
      <c r="C198" s="3" t="inlineStr">
        <is>
          <t>Chủ Nhật</t>
        </is>
      </c>
      <c r="D198" s="3" t="inlineStr">
        <is>
          <t>05901</t>
        </is>
      </c>
      <c r="E198" s="3" t="inlineStr">
        <is>
          <t>01</t>
        </is>
      </c>
      <c r="F198" s="3" t="inlineStr">
        <is>
          <t>G7.3, G7.1</t>
        </is>
      </c>
      <c r="G198" s="3" t="inlineStr">
        <is>
          <t>Tổng 1, Tổng 2, Tổng 3, Tổng 6, Tổng 7, Tổng 8</t>
        </is>
      </c>
      <c r="H198" s="3" t="inlineStr">
        <is>
          <t>01345689</t>
        </is>
      </c>
      <c r="I198" s="3" t="inlineStr">
        <is>
          <t>Tổng 7-Bóng 2</t>
        </is>
      </c>
      <c r="J198" s="3" t="n">
        <v>60</v>
      </c>
      <c r="K198" s="6" t="inlineStr">
        <is>
          <t>TRÚNG N1 🎯</t>
        </is>
      </c>
      <c r="L198" s="3" t="inlineStr">
        <is>
          <t>16, 17, 21, 24, 30, 33, 38, 47, 48, 49, 51, 61, 62, 74, 80, 85, 89, 93, 94, 97</t>
        </is>
      </c>
      <c r="M198" s="7" t="inlineStr">
        <is>
          <t>TRƯỢT ❌</t>
        </is>
      </c>
      <c r="N198" s="6" t="inlineStr">
        <is>
          <t>TRÚNG N1 🎯</t>
        </is>
      </c>
      <c r="O19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99">
      <c r="A199" s="2" t="n">
        <v>38</v>
      </c>
      <c r="B199" s="2" t="inlineStr">
        <is>
          <t>Chủ nhật ngày 08-02-2026</t>
        </is>
      </c>
      <c r="C199" s="3" t="inlineStr">
        <is>
          <t>Thứ Bảy</t>
        </is>
      </c>
      <c r="D199" s="3" t="inlineStr">
        <is>
          <t>57977</t>
        </is>
      </c>
      <c r="E199" s="3" t="inlineStr">
        <is>
          <t>77</t>
        </is>
      </c>
      <c r="F199" s="3" t="inlineStr">
        <is>
          <t>G7.3, G7.4</t>
        </is>
      </c>
      <c r="G199" s="3" t="inlineStr">
        <is>
          <t>Tổng 2, Tổng 4, Tổng 7, Tổng 9</t>
        </is>
      </c>
      <c r="H199" s="3" t="inlineStr">
        <is>
          <t>12346789</t>
        </is>
      </c>
      <c r="I199" s="3" t="inlineStr">
        <is>
          <t>Tổng 2-Bóng 7</t>
        </is>
      </c>
      <c r="J199" s="3" t="n">
        <v>40</v>
      </c>
      <c r="K199" s="6" t="inlineStr">
        <is>
          <t>TRÚNG N1 🎯</t>
        </is>
      </c>
      <c r="L199" s="3" t="inlineStr">
        <is>
          <t>11, 13, 16, 18, 22, 27, 45, 48, 54, 57, 61, 63, 66, 68, 77, 81, 86, 89, 93, 95</t>
        </is>
      </c>
      <c r="M199" s="6" t="inlineStr">
        <is>
          <t>TRÚNG HỎA LỰC 🎯</t>
        </is>
      </c>
      <c r="N199" s="6" t="inlineStr">
        <is>
          <t>TRÚNG N1 🎯</t>
        </is>
      </c>
      <c r="O199" s="3" t="inlineStr">
        <is>
          <t>02, 04, 07, 09, 11, 13, 16, 18, 20, 22, 25, 27, 31, 34, 36, 39, 40, 43, 45, 48, 52, 54, 57, 59, 61, 63, 66, 68, 70, 72, 75, 77, 81, 84, 86, 89, 90, 93, 95, 98</t>
        </is>
      </c>
    </row>
    <row r="200">
      <c r="A200" s="2" t="n">
        <v>37</v>
      </c>
      <c r="B200" s="2" t="inlineStr">
        <is>
          <t>Thứ bảy ngày 07-02-2026</t>
        </is>
      </c>
      <c r="C200" s="3" t="inlineStr">
        <is>
          <t>Thứ Sáu</t>
        </is>
      </c>
      <c r="D200" s="3" t="inlineStr">
        <is>
          <t>38385</t>
        </is>
      </c>
      <c r="E200" s="3" t="inlineStr">
        <is>
          <t>85</t>
        </is>
      </c>
      <c r="F200" s="3" t="inlineStr">
        <is>
          <t>G7.4, G7.1</t>
        </is>
      </c>
      <c r="G200" s="3" t="inlineStr">
        <is>
          <t>Tổng 0, Tổng 5</t>
        </is>
      </c>
      <c r="H200" s="3" t="inlineStr">
        <is>
          <t>013568</t>
        </is>
      </c>
      <c r="I200" s="3" t="inlineStr">
        <is>
          <t>Tổng 0-Bóng 5</t>
        </is>
      </c>
      <c r="J200" s="3" t="n">
        <v>20</v>
      </c>
      <c r="K200" s="7" t="inlineStr">
        <is>
          <t>TRƯỢT ❌</t>
        </is>
      </c>
      <c r="L200" s="3" t="inlineStr">
        <is>
          <t>00, 05, 14, 19, 23, 28, 32, 37, 41, 46, 50, 55, 64, 69, 73, 78, 82, 87, 91, 96</t>
        </is>
      </c>
      <c r="M200" s="7" t="inlineStr">
        <is>
          <t>TRƯỢT ❌</t>
        </is>
      </c>
      <c r="N200" s="7" t="inlineStr">
        <is>
          <t>TRƯỢT KHUNG ❌</t>
        </is>
      </c>
      <c r="O200" s="3" t="inlineStr">
        <is>
          <t>00, 05, 14, 19, 23, 28, 32, 37, 41, 46, 50, 55, 64, 69, 73, 78, 82, 87, 91, 96</t>
        </is>
      </c>
    </row>
    <row r="201">
      <c r="A201" s="2" t="n">
        <v>36</v>
      </c>
      <c r="B201" s="2" t="inlineStr">
        <is>
          <t>Thứ sáu ngày 06-02-2026</t>
        </is>
      </c>
      <c r="C201" s="3" t="inlineStr">
        <is>
          <t>Thứ Năm</t>
        </is>
      </c>
      <c r="D201" s="3" t="inlineStr">
        <is>
          <t>06133</t>
        </is>
      </c>
      <c r="E201" s="3" t="inlineStr">
        <is>
          <t>33</t>
        </is>
      </c>
      <c r="F201" s="3" t="inlineStr">
        <is>
          <t>G7.1, G7.4</t>
        </is>
      </c>
      <c r="G201" s="3" t="inlineStr">
        <is>
          <t>Tổng 2, Tổng 3, Tổng 7, Tổng 8</t>
        </is>
      </c>
      <c r="H201" s="3" t="inlineStr">
        <is>
          <t>023578</t>
        </is>
      </c>
      <c r="I201" s="3" t="inlineStr">
        <is>
          <t>Tổng 2-Bóng 7</t>
        </is>
      </c>
      <c r="J201" s="3" t="n">
        <v>32</v>
      </c>
      <c r="K201" s="7" t="inlineStr">
        <is>
          <t>TRƯỢT ❌</t>
        </is>
      </c>
      <c r="L201" s="3" t="inlineStr">
        <is>
          <t>02, 03, 07, 17, 21, 26, 30, 35, 39, 48, 52, 53, 57, 58, 62, 67, 76, 80, 89, 93</t>
        </is>
      </c>
      <c r="M201" s="7" t="inlineStr">
        <is>
          <t>TRƯỢT ❌</t>
        </is>
      </c>
      <c r="N201" s="6" t="inlineStr">
        <is>
          <t>TRÚNG N2 🎯</t>
        </is>
      </c>
      <c r="O201" s="3" t="inlineStr">
        <is>
          <t>02, 03, 07, 08, 12, 17, 20, 21, 25, 26, 30, 34, 35, 39, 43, 48, 52, 53, 57, 58, 62, 67, 70, 71, 75, 76, 80, 84, 85, 89, 93, 98</t>
        </is>
      </c>
    </row>
    <row r="202">
      <c r="A202" s="2" t="n">
        <v>35</v>
      </c>
      <c r="B202" s="2" t="inlineStr">
        <is>
          <t>Thứ năm ngày 05-02-2026</t>
        </is>
      </c>
      <c r="C202" s="3" t="inlineStr">
        <is>
          <t>Thứ Tư</t>
        </is>
      </c>
      <c r="D202" s="3" t="inlineStr">
        <is>
          <t>10268</t>
        </is>
      </c>
      <c r="E202" s="3" t="inlineStr">
        <is>
          <t>68</t>
        </is>
      </c>
      <c r="F202" s="3" t="inlineStr">
        <is>
          <t>G7.1, G7.2</t>
        </is>
      </c>
      <c r="G202" s="3" t="inlineStr">
        <is>
          <t>Tổng 1, Tổng 4, Tổng 6, Tổng 9</t>
        </is>
      </c>
      <c r="H202" s="3" t="inlineStr">
        <is>
          <t>013568</t>
        </is>
      </c>
      <c r="I202" s="3" t="inlineStr">
        <is>
          <t>Tổng 4-Bóng 9</t>
        </is>
      </c>
      <c r="J202" s="3" t="n">
        <v>28</v>
      </c>
      <c r="K202" s="6" t="inlineStr">
        <is>
          <t>TRÚNG N1 🎯</t>
        </is>
      </c>
      <c r="L202" s="3" t="inlineStr">
        <is>
          <t>01, 09, 13, 18, 31, 38, 40, 45, 51, 54, 56, 59, 60, 63, 68, 81, 83, 86, 88, 95</t>
        </is>
      </c>
      <c r="M202" s="6" t="inlineStr">
        <is>
          <t>TRÚNG HỎA LỰC 🎯</t>
        </is>
      </c>
      <c r="N202" s="6" t="inlineStr">
        <is>
          <t>TRÚNG N1 🎯</t>
        </is>
      </c>
      <c r="O202" s="3" t="inlineStr">
        <is>
          <t>01, 04, 06, 09, 10, 13, 15, 18, 31, 33, 36, 38, 40, 45, 51, 54, 56, 59, 60, 63, 65, 68, 81, 83, 86, 88, 90, 95</t>
        </is>
      </c>
    </row>
    <row r="203">
      <c r="A203" s="2" t="n">
        <v>34</v>
      </c>
      <c r="B203" s="2" t="inlineStr">
        <is>
          <t>Thứ tư ngày 04-02-2026</t>
        </is>
      </c>
      <c r="C203" s="3" t="inlineStr">
        <is>
          <t>Thứ Ba</t>
        </is>
      </c>
      <c r="D203" s="3" t="inlineStr">
        <is>
          <t>06517</t>
        </is>
      </c>
      <c r="E203" s="3" t="inlineStr">
        <is>
          <t>17</t>
        </is>
      </c>
      <c r="F203" s="3" t="inlineStr">
        <is>
          <t>G7.1, G7.2</t>
        </is>
      </c>
      <c r="G203" s="3" t="inlineStr">
        <is>
          <t>Tổng 0, Tổng 2, Tổng 5, Tổng 7</t>
        </is>
      </c>
      <c r="H203" s="3" t="inlineStr">
        <is>
          <t>12346789</t>
        </is>
      </c>
      <c r="I203" s="3" t="inlineStr">
        <is>
          <t>Tổng 0-Bóng 5</t>
        </is>
      </c>
      <c r="J203" s="3" t="n">
        <v>36</v>
      </c>
      <c r="K203" s="7" t="inlineStr">
        <is>
          <t>TRƯỢT ❌</t>
        </is>
      </c>
      <c r="L203" s="3" t="inlineStr">
        <is>
          <t>02, 07, 11, 14, 16, 23, 28, 32, 39, 46, 48, 57, 61, 66, 78, 82, 87, 89, 91, 93</t>
        </is>
      </c>
      <c r="M203" s="7" t="inlineStr">
        <is>
          <t>TRƯỢT ❌</t>
        </is>
      </c>
      <c r="N203" s="7" t="inlineStr">
        <is>
          <t>TRƯỢT KHUNG ❌</t>
        </is>
      </c>
      <c r="O203" s="3" t="inlineStr">
        <is>
          <t>02, 07, 11, 14, 16, 19, 20, 23, 25, 28, 32, 34, 37, 39, 41, 43, 46, 48, 52, 57, 61, 64, 66, 69, 70, 73, 75, 78, 82, 84, 87, 89, 91, 93, 96, 98</t>
        </is>
      </c>
    </row>
    <row r="204">
      <c r="A204" s="2" t="n">
        <v>33</v>
      </c>
      <c r="B204" s="2" t="inlineStr">
        <is>
          <t>Thứ ba ngày 03-02-2026</t>
        </is>
      </c>
      <c r="C204" s="3" t="inlineStr">
        <is>
          <t>Thứ Hai</t>
        </is>
      </c>
      <c r="D204" s="3" t="inlineStr">
        <is>
          <t>97648</t>
        </is>
      </c>
      <c r="E204" s="3" t="inlineStr">
        <is>
          <t>48</t>
        </is>
      </c>
      <c r="F204" s="3" t="inlineStr">
        <is>
          <t>G7.1, G7.2</t>
        </is>
      </c>
      <c r="G204" s="3" t="inlineStr">
        <is>
          <t>Tổng 0, Tổng 2, Tổng 3, Tổng 5, Tổng 7, Tổng 8</t>
        </is>
      </c>
      <c r="H204" s="3" t="inlineStr">
        <is>
          <t>0123456789</t>
        </is>
      </c>
      <c r="I204" s="3" t="inlineStr">
        <is>
          <t>Tổng 8-Bóng 3</t>
        </is>
      </c>
      <c r="J204" s="3" t="n">
        <v>60</v>
      </c>
      <c r="K204" s="6" t="inlineStr">
        <is>
          <t>TRÚNG N1 🎯</t>
        </is>
      </c>
      <c r="L204" s="3" t="inlineStr">
        <is>
          <t>05, 14, 16, 17, 21, 23, 28, 30, 46, 48, 49, 53, 61, 62, 78, 80, 89, 91, 93, 94</t>
        </is>
      </c>
      <c r="M204" s="6" t="inlineStr">
        <is>
          <t>TRÚNG HỎA LỰC 🎯</t>
        </is>
      </c>
      <c r="N204" s="6" t="inlineStr">
        <is>
          <t>TRÚNG N1 🎯</t>
        </is>
      </c>
      <c r="O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5">
      <c r="A205" s="2" t="n">
        <v>32</v>
      </c>
      <c r="B205" s="2" t="inlineStr">
        <is>
          <t>Thứ hai ngày 02-02-2026</t>
        </is>
      </c>
      <c r="C205" s="3" t="inlineStr">
        <is>
          <t>Chủ Nhật</t>
        </is>
      </c>
      <c r="D205" s="3" t="inlineStr">
        <is>
          <t>73461</t>
        </is>
      </c>
      <c r="E205" s="3" t="inlineStr">
        <is>
          <t>61</t>
        </is>
      </c>
      <c r="F205" s="3" t="inlineStr">
        <is>
          <t>G7.3, G7.1</t>
        </is>
      </c>
      <c r="G205" s="3" t="inlineStr">
        <is>
          <t>Tổng 0, Tổng 1, Tổng 3, Tổng 5, Tổng 6, Tổng 8</t>
        </is>
      </c>
      <c r="H205" s="3" t="inlineStr">
        <is>
          <t>02345789</t>
        </is>
      </c>
      <c r="I205" s="3" t="inlineStr">
        <is>
          <t>Tổng 0-Bóng 5</t>
        </is>
      </c>
      <c r="J205" s="3" t="n">
        <v>60</v>
      </c>
      <c r="K205" s="7" t="inlineStr">
        <is>
          <t>TRƯỢT ❌</t>
        </is>
      </c>
      <c r="L205" s="3" t="inlineStr">
        <is>
          <t>05, 14, 17, 21, 23, 24, 28, 30, 38, 41, 47, 49, 51, 62, 74, 78, 80, 91, 94, 97</t>
        </is>
      </c>
      <c r="M205" s="7" t="inlineStr">
        <is>
          <t>TRƯỢT ❌</t>
        </is>
      </c>
      <c r="N205" s="6" t="inlineStr">
        <is>
          <t>TRÚNG N3 🎯</t>
        </is>
      </c>
      <c r="O20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6">
      <c r="A206" s="2" t="n">
        <v>31</v>
      </c>
      <c r="B206" s="2" t="inlineStr">
        <is>
          <t>Chủ nhật ngày 01-02-2026</t>
        </is>
      </c>
      <c r="C206" s="3" t="inlineStr">
        <is>
          <t>Thứ Bảy</t>
        </is>
      </c>
      <c r="D206" s="3" t="inlineStr">
        <is>
          <t>01377</t>
        </is>
      </c>
      <c r="E206" s="3" t="inlineStr">
        <is>
          <t>77</t>
        </is>
      </c>
      <c r="F206" s="3" t="inlineStr">
        <is>
          <t>G7.4, G7.1</t>
        </is>
      </c>
      <c r="G206" s="3" t="inlineStr">
        <is>
          <t>Tổng 1, Tổng 4, Tổng 6, Tổng 9</t>
        </is>
      </c>
      <c r="H206" s="3" t="inlineStr">
        <is>
          <t>01245679</t>
        </is>
      </c>
      <c r="I206" s="3" t="inlineStr">
        <is>
          <t>Tổng 4-Bóng 9</t>
        </is>
      </c>
      <c r="J206" s="3" t="n">
        <v>36</v>
      </c>
      <c r="K206" s="6" t="inlineStr">
        <is>
          <t>TRÚNG N1 🎯</t>
        </is>
      </c>
      <c r="L206" s="3" t="inlineStr">
        <is>
          <t>13, 18, 22, 24, 27, 29, 42, 45, 47, 51, 54, 56, 63, 68, 74, 79, 81, 86, 95, 97</t>
        </is>
      </c>
      <c r="M206" s="7" t="inlineStr">
        <is>
          <t>TRƯỢT ❌</t>
        </is>
      </c>
      <c r="N206" s="6" t="inlineStr">
        <is>
          <t>TRÚNG N1 🎯</t>
        </is>
      </c>
      <c r="O206" s="3" t="inlineStr">
        <is>
          <t>01, 04, 06, 09, 10, 13, 15, 18, 22, 24, 27, 29, 31, 36, 40, 42, 45, 47, 51, 54, 56, 59, 60, 63, 65, 68, 72, 74, 77, 79, 81, 86, 90, 92, 95, 97</t>
        </is>
      </c>
    </row>
    <row r="207">
      <c r="A207" s="2" t="n">
        <v>30</v>
      </c>
      <c r="B207" s="2" t="inlineStr">
        <is>
          <t>Thứ bảy ngày 31-01-2026</t>
        </is>
      </c>
      <c r="C207" s="3" t="inlineStr">
        <is>
          <t>Thứ Sáu</t>
        </is>
      </c>
      <c r="D207" s="3" t="inlineStr">
        <is>
          <t>42754</t>
        </is>
      </c>
      <c r="E207" s="3" t="inlineStr">
        <is>
          <t>54</t>
        </is>
      </c>
      <c r="F207" s="3" t="inlineStr">
        <is>
          <t>G7.4, G7.1</t>
        </is>
      </c>
      <c r="G207" s="3" t="inlineStr">
        <is>
          <t>Tổng 1, Tổng 3, Tổng 4, Tổng 6, Tổng 8, Tổng 9</t>
        </is>
      </c>
      <c r="H207" s="3" t="inlineStr">
        <is>
          <t>01235678</t>
        </is>
      </c>
      <c r="I207" s="3" t="inlineStr">
        <is>
          <t>Tổng 1-Bóng 6</t>
        </is>
      </c>
      <c r="J207" s="3" t="n">
        <v>56</v>
      </c>
      <c r="K207" s="6" t="inlineStr">
        <is>
          <t>TRÚNG N1 🎯</t>
        </is>
      </c>
      <c r="L207" s="3" t="inlineStr">
        <is>
          <t>03, 17, 21, 22, 24, 27, 29, 30, 38, 45, 47, 51, 53, 62, 63, 68, 74, 80, 86, 97</t>
        </is>
      </c>
      <c r="M207" s="7" t="inlineStr">
        <is>
          <t>TRƯỢT ❌</t>
        </is>
      </c>
      <c r="N207" s="6" t="inlineStr">
        <is>
          <t>TRÚNG N1 🎯</t>
        </is>
      </c>
      <c r="O207" s="3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208">
      <c r="A208" s="2" t="n">
        <v>29</v>
      </c>
      <c r="B208" s="2" t="inlineStr">
        <is>
          <t>Thứ sáu ngày 30-01-2026</t>
        </is>
      </c>
      <c r="C208" s="3" t="inlineStr">
        <is>
          <t>Thứ Năm</t>
        </is>
      </c>
      <c r="D208" s="3" t="inlineStr">
        <is>
          <t>32845</t>
        </is>
      </c>
      <c r="E208" s="3" t="inlineStr">
        <is>
          <t>45</t>
        </is>
      </c>
      <c r="F208" s="3" t="inlineStr">
        <is>
          <t>G7.4, G7.1</t>
        </is>
      </c>
      <c r="G208" s="3" t="inlineStr">
        <is>
          <t>Tổng 0, Tổng 4, Tổng 5, Tổng 9</t>
        </is>
      </c>
      <c r="H208" s="3" t="inlineStr">
        <is>
          <t>01235678</t>
        </is>
      </c>
      <c r="I208" s="3" t="inlineStr">
        <is>
          <t>Tổng 0-Bóng 5</t>
        </is>
      </c>
      <c r="J208" s="3" t="n">
        <v>40</v>
      </c>
      <c r="K208" s="6" t="inlineStr">
        <is>
          <t>TRÚNG N1 🎯</t>
        </is>
      </c>
      <c r="L208" s="3" t="inlineStr">
        <is>
          <t>05, 13, 14, 18, 22, 23, 27, 28, 46, 50, 59, 63, 68, 78, 81, 82, 86, 87, 91, 95</t>
        </is>
      </c>
      <c r="M208" s="7" t="inlineStr">
        <is>
          <t>TRƯỢT ❌</t>
        </is>
      </c>
      <c r="N208" s="6" t="inlineStr">
        <is>
          <t>TRÚNG N1 🎯</t>
        </is>
      </c>
      <c r="O208" s="3" t="inlineStr">
        <is>
          <t>00, 04, 05, 09, 13, 14, 18, 19, 22, 23, 27, 28, 31, 32, 36, 37, 40, 41, 45, 46, 50, 54, 55, 59, 63, 64, 68, 69, 72, 73, 77, 78, 81, 82, 86, 87, 90, 91, 95, 96</t>
        </is>
      </c>
    </row>
    <row r="209">
      <c r="A209" s="2" t="n">
        <v>28</v>
      </c>
      <c r="B209" s="2" t="inlineStr">
        <is>
          <t>Thứ năm ngày 29-01-2026</t>
        </is>
      </c>
      <c r="C209" s="3" t="inlineStr">
        <is>
          <t>Thứ Tư</t>
        </is>
      </c>
      <c r="D209" s="3" t="inlineStr">
        <is>
          <t>38814</t>
        </is>
      </c>
      <c r="E209" s="3" t="inlineStr">
        <is>
          <t>14</t>
        </is>
      </c>
      <c r="F209" s="3" t="inlineStr">
        <is>
          <t>G7.2, G7.4</t>
        </is>
      </c>
      <c r="G209" s="3" t="inlineStr">
        <is>
          <t>Tổng 1, Tổng 4, Tổng 6, Tổng 9</t>
        </is>
      </c>
      <c r="H209" s="3" t="inlineStr">
        <is>
          <t>124679</t>
        </is>
      </c>
      <c r="I209" s="3" t="inlineStr">
        <is>
          <t>Tổng 4-Bóng 9</t>
        </is>
      </c>
      <c r="J209" s="3" t="n">
        <v>36</v>
      </c>
      <c r="K209" s="7" t="inlineStr">
        <is>
          <t>TRƯỢT ❌</t>
        </is>
      </c>
      <c r="L209" s="3" t="inlineStr">
        <is>
          <t>13, 18, 22, 24, 27, 29, 31, 42, 47, 51, 56, 59, 63, 68, 74, 79, 81, 86, 95, 97</t>
        </is>
      </c>
      <c r="M209" s="7" t="inlineStr">
        <is>
          <t>TRƯỢT ❌</t>
        </is>
      </c>
      <c r="N209" s="6" t="inlineStr">
        <is>
          <t>TRÚNG N2 🎯</t>
        </is>
      </c>
      <c r="O209" s="3" t="inlineStr">
        <is>
          <t>01, 04, 06, 09, 10, 13, 15, 18, 22, 24, 27, 29, 31, 36, 40, 42, 45, 47, 51, 54, 56, 59, 60, 63, 65, 68, 72, 74, 77, 79, 81, 86, 90, 92, 95, 97</t>
        </is>
      </c>
    </row>
    <row r="210">
      <c r="A210" s="2" t="n">
        <v>27</v>
      </c>
      <c r="B210" s="2" t="inlineStr">
        <is>
          <t>Thứ tư ngày 28-01-2026</t>
        </is>
      </c>
      <c r="C210" s="3" t="inlineStr">
        <is>
          <t>Thứ Ba</t>
        </is>
      </c>
      <c r="D210" s="3" t="inlineStr">
        <is>
          <t>24121</t>
        </is>
      </c>
      <c r="E210" s="3" t="inlineStr">
        <is>
          <t>21</t>
        </is>
      </c>
      <c r="F210" s="3" t="inlineStr">
        <is>
          <t>G7.1, G7.2</t>
        </is>
      </c>
      <c r="G210" s="3" t="inlineStr">
        <is>
          <t>Tổng 2, Tổng 3, Tổng 4, Tổng 7, Tổng 8, Tổng 9</t>
        </is>
      </c>
      <c r="H210" s="3" t="inlineStr">
        <is>
          <t>012567</t>
        </is>
      </c>
      <c r="I210" s="3" t="inlineStr">
        <is>
          <t>Tổng 3-Bóng 8</t>
        </is>
      </c>
      <c r="J210" s="3" t="n">
        <v>48</v>
      </c>
      <c r="K210" s="6" t="inlineStr">
        <is>
          <t>TRÚNG N1 🎯</t>
        </is>
      </c>
      <c r="L210" s="3" t="inlineStr">
        <is>
          <t>03, 11, 16, 17, 18, 22, 27, 30, 35, 53, 61, 62, 63, 67, 68, 76, 80, 81, 86, 95</t>
        </is>
      </c>
      <c r="M210" s="7" t="inlineStr">
        <is>
          <t>TRƯỢT ❌</t>
        </is>
      </c>
      <c r="N210" s="6" t="inlineStr">
        <is>
          <t>TRÚNG N1 🎯</t>
        </is>
      </c>
      <c r="O210" s="3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11">
      <c r="A211" s="2" t="n">
        <v>26</v>
      </c>
      <c r="B211" s="2" t="inlineStr">
        <is>
          <t>Thứ ba ngày 27-01-2026</t>
        </is>
      </c>
      <c r="C211" s="3" t="inlineStr">
        <is>
          <t>Thứ Hai</t>
        </is>
      </c>
      <c r="D211" s="3" t="inlineStr">
        <is>
          <t>39380</t>
        </is>
      </c>
      <c r="E211" s="3" t="inlineStr">
        <is>
          <t>80</t>
        </is>
      </c>
      <c r="F211" s="3" t="inlineStr">
        <is>
          <t>G7.1, G7.2</t>
        </is>
      </c>
      <c r="G211" s="3" t="inlineStr">
        <is>
          <t>Tổng 1, Tổng 3, Tổng 6, Tổng 8</t>
        </is>
      </c>
      <c r="H211" s="3" t="inlineStr">
        <is>
          <t>01235678</t>
        </is>
      </c>
      <c r="I211" s="3" t="inlineStr">
        <is>
          <t>Tổng 1-Bóng 6</t>
        </is>
      </c>
      <c r="J211" s="3" t="n">
        <v>36</v>
      </c>
      <c r="K211" s="6" t="inlineStr">
        <is>
          <t>TRÚNG N1 🎯</t>
        </is>
      </c>
      <c r="L211" s="3" t="inlineStr">
        <is>
          <t>03, 17, 24, 29, 30, 35, 38, 42, 47, 51, 53, 62, 67, 74, 76, 79, 80, 83, 88, 97</t>
        </is>
      </c>
      <c r="M211" s="6" t="inlineStr">
        <is>
          <t>TRÚNG HỎA LỰC 🎯</t>
        </is>
      </c>
      <c r="N211" s="6" t="inlineStr">
        <is>
          <t>TRÚNG N1 🎯</t>
        </is>
      </c>
      <c r="O211" s="3" t="inlineStr">
        <is>
          <t>01, 03, 06, 08, 10, 12, 15, 17, 21, 24, 26, 29, 30, 33, 35, 38, 42, 47, 51, 53, 56, 58, 60, 62, 65, 67, 71, 74, 76, 79, 80, 83, 85, 88, 92, 97</t>
        </is>
      </c>
    </row>
    <row r="212">
      <c r="A212" s="2" t="n">
        <v>25</v>
      </c>
      <c r="B212" s="2" t="inlineStr">
        <is>
          <t>Thứ hai ngày 26-01-2026</t>
        </is>
      </c>
      <c r="C212" s="3" t="inlineStr">
        <is>
          <t>Chủ Nhật</t>
        </is>
      </c>
      <c r="D212" s="3" t="inlineStr">
        <is>
          <t>00974</t>
        </is>
      </c>
      <c r="E212" s="3" t="inlineStr">
        <is>
          <t>74</t>
        </is>
      </c>
      <c r="F212" s="3" t="inlineStr">
        <is>
          <t>G7.1, G7.3</t>
        </is>
      </c>
      <c r="G212" s="3" t="inlineStr">
        <is>
          <t>Tổng 1, Tổng 4, Tổng 6, Tổng 9</t>
        </is>
      </c>
      <c r="H212" s="3" t="inlineStr">
        <is>
          <t>12346789</t>
        </is>
      </c>
      <c r="I212" s="3" t="inlineStr">
        <is>
          <t>Tổng 6-Bóng 1</t>
        </is>
      </c>
      <c r="J212" s="3" t="n">
        <v>40</v>
      </c>
      <c r="K212" s="6" t="inlineStr">
        <is>
          <t>TRÚNG N1 🎯</t>
        </is>
      </c>
      <c r="L212" s="3" t="inlineStr">
        <is>
          <t>18, 22, 24, 27, 29, 38, 42, 47, 51, 56, 63, 68, 74, 79, 81, 83, 86, 88, 95, 97</t>
        </is>
      </c>
      <c r="M212" s="6" t="inlineStr">
        <is>
          <t>TRÚNG HỎA LỰC 🎯</t>
        </is>
      </c>
      <c r="N212" s="6" t="inlineStr">
        <is>
          <t>TRÚNG N1 🎯</t>
        </is>
      </c>
      <c r="O212" s="3" t="inlineStr">
        <is>
          <t>01, 04, 06, 09, 10, 13, 15, 18, 22, 24, 27, 29, 31, 33, 36, 38, 40, 42, 45, 47, 51, 54, 56, 59, 60, 63, 65, 68, 72, 74, 77, 79, 81, 83, 86, 88, 90, 92, 95, 97</t>
        </is>
      </c>
    </row>
    <row r="213">
      <c r="A213" s="2" t="n">
        <v>24</v>
      </c>
      <c r="B213" s="2" t="inlineStr">
        <is>
          <t>Chủ nhật ngày 25-01-2026</t>
        </is>
      </c>
      <c r="C213" s="3" t="inlineStr">
        <is>
          <t>Thứ Bảy</t>
        </is>
      </c>
      <c r="D213" s="3" t="inlineStr">
        <is>
          <t>08230</t>
        </is>
      </c>
      <c r="E213" s="3" t="inlineStr">
        <is>
          <t>30</t>
        </is>
      </c>
      <c r="F213" s="3" t="inlineStr">
        <is>
          <t>G7.4, G7.1</t>
        </is>
      </c>
      <c r="G213" s="3" t="inlineStr">
        <is>
          <t>Tổng 1, Tổng 2, Tổng 6, Tổng 7</t>
        </is>
      </c>
      <c r="H213" s="3" t="inlineStr">
        <is>
          <t>01345689</t>
        </is>
      </c>
      <c r="I213" s="3" t="inlineStr">
        <is>
          <t>Tổng 1-Bóng 6</t>
        </is>
      </c>
      <c r="J213" s="3" t="n">
        <v>40</v>
      </c>
      <c r="K213" s="7" t="inlineStr">
        <is>
          <t>TRƯỢT ❌</t>
        </is>
      </c>
      <c r="L213" s="3" t="inlineStr">
        <is>
          <t>11, 16, 24, 29, 38, 42, 47, 48, 51, 56, 57, 61, 66, 74, 79, 83, 88, 89, 93, 97</t>
        </is>
      </c>
      <c r="M213" s="7" t="inlineStr">
        <is>
          <t>TRƯỢT ❌</t>
        </is>
      </c>
      <c r="N213" s="6" t="inlineStr">
        <is>
          <t>TRÚNG N2 🎯</t>
        </is>
      </c>
      <c r="O213" s="3" t="inlineStr">
        <is>
          <t>01, 02, 06, 07, 10, 11, 15, 16, 20, 24, 25, 29, 33, 34, 38, 39, 42, 43, 47, 48, 51, 52, 56, 57, 60, 61, 65, 66, 70, 74, 75, 79, 83, 84, 88, 89, 92, 93, 97, 98</t>
        </is>
      </c>
    </row>
    <row r="214">
      <c r="A214" s="2" t="n">
        <v>23</v>
      </c>
      <c r="B214" s="2" t="inlineStr">
        <is>
          <t>Thứ bảy ngày 24-01-2026</t>
        </is>
      </c>
      <c r="C214" s="3" t="inlineStr">
        <is>
          <t>Thứ Sáu</t>
        </is>
      </c>
      <c r="D214" s="3" t="inlineStr">
        <is>
          <t>52062</t>
        </is>
      </c>
      <c r="E214" s="3" t="inlineStr">
        <is>
          <t>62</t>
        </is>
      </c>
      <c r="F214" s="3" t="inlineStr">
        <is>
          <t>G7.4, G7.2</t>
        </is>
      </c>
      <c r="G214" s="3" t="inlineStr">
        <is>
          <t>Tổng 0, Tổng 1, Tổng 2, Tổng 5, Tổng 6, Tổng 7</t>
        </is>
      </c>
      <c r="H214" s="3" t="inlineStr">
        <is>
          <t>0123456789</t>
        </is>
      </c>
      <c r="I214" s="3" t="inlineStr">
        <is>
          <t>Tổng 7-Bóng 2</t>
        </is>
      </c>
      <c r="J214" s="3" t="n">
        <v>60</v>
      </c>
      <c r="K214" s="7" t="inlineStr">
        <is>
          <t>TRƯỢT ❌</t>
        </is>
      </c>
      <c r="L214" s="3" t="inlineStr">
        <is>
          <t>05, 16, 23, 24, 28, 29, 38, 41, 46, 47, 48, 51, 61, 74, 78, 79, 89, 91, 93, 97</t>
        </is>
      </c>
      <c r="M214" s="7" t="inlineStr">
        <is>
          <t>TRƯỢT ❌</t>
        </is>
      </c>
      <c r="N214" s="6" t="inlineStr">
        <is>
          <t>TRÚNG N3 🎯</t>
        </is>
      </c>
      <c r="O21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5">
      <c r="A215" s="2" t="n">
        <v>22</v>
      </c>
      <c r="B215" s="2" t="inlineStr">
        <is>
          <t>Thứ sáu ngày 23-01-2026</t>
        </is>
      </c>
      <c r="C215" s="3" t="inlineStr">
        <is>
          <t>Thứ Năm</t>
        </is>
      </c>
      <c r="D215" s="3" t="inlineStr">
        <is>
          <t>57022</t>
        </is>
      </c>
      <c r="E215" s="3" t="inlineStr">
        <is>
          <t>22</t>
        </is>
      </c>
      <c r="F215" s="3" t="inlineStr">
        <is>
          <t>G7.4, G7.1</t>
        </is>
      </c>
      <c r="G215" s="3" t="inlineStr">
        <is>
          <t>Tổng 2, Tổng 3, Tổng 7, Tổng 8</t>
        </is>
      </c>
      <c r="H215" s="3" t="inlineStr">
        <is>
          <t>01345689</t>
        </is>
      </c>
      <c r="I215" s="3" t="inlineStr">
        <is>
          <t>Tổng 8-Bóng 3</t>
        </is>
      </c>
      <c r="J215" s="3" t="n">
        <v>40</v>
      </c>
      <c r="K215" s="7" t="inlineStr">
        <is>
          <t>TRƯỢT ❌</t>
        </is>
      </c>
      <c r="L215" s="3" t="inlineStr">
        <is>
          <t>02, 03, 11, 16, 17, 35, 48, 49, 53, 57, 58, 61, 62, 66, 67, 76, 80, 89, 93, 94</t>
        </is>
      </c>
      <c r="M215" s="7" t="inlineStr">
        <is>
          <t>TRƯỢT ❌</t>
        </is>
      </c>
      <c r="N215" s="6" t="inlineStr">
        <is>
          <t>TRÚNG N2 🎯</t>
        </is>
      </c>
      <c r="O215" s="3" t="inlineStr">
        <is>
          <t>02, 03, 07, 08, 11, 12, 16, 17, 20, 21, 25, 26, 30, 34, 35, 39, 43, 44, 48, 49, 52, 53, 57, 58, 61, 62, 66, 67, 70, 71, 75, 76, 80, 84, 85, 89, 93, 94, 98, 99</t>
        </is>
      </c>
    </row>
    <row r="216">
      <c r="A216" s="2" t="n">
        <v>21</v>
      </c>
      <c r="B216" s="2" t="inlineStr">
        <is>
          <t>Thứ năm ngày 22-01-2026</t>
        </is>
      </c>
      <c r="C216" s="3" t="inlineStr">
        <is>
          <t>Thứ Tư</t>
        </is>
      </c>
      <c r="D216" s="3" t="inlineStr">
        <is>
          <t>84063</t>
        </is>
      </c>
      <c r="E216" s="3" t="inlineStr">
        <is>
          <t>63</t>
        </is>
      </c>
      <c r="F216" s="3" t="inlineStr">
        <is>
          <t>G7.1, G7.2</t>
        </is>
      </c>
      <c r="G216" s="3" t="inlineStr">
        <is>
          <t>Tổng 0, Tổng 1, Tổng 3, Tổng 5, Tổng 6, Tổng 8</t>
        </is>
      </c>
      <c r="H216" s="3" t="inlineStr">
        <is>
          <t>0123456789</t>
        </is>
      </c>
      <c r="I216" s="3" t="inlineStr">
        <is>
          <t>Tổng 5-Bóng 0</t>
        </is>
      </c>
      <c r="J216" s="3" t="n">
        <v>60</v>
      </c>
      <c r="K216" s="7" t="inlineStr">
        <is>
          <t>TRƯỢT ❌</t>
        </is>
      </c>
      <c r="L216" s="3" t="inlineStr">
        <is>
          <t>03, 05, 17, 23, 24, 28, 29, 38, 41, 46, 47, 49, 51, 53, 62, 74, 78, 91, 94, 97</t>
        </is>
      </c>
      <c r="M216" s="7" t="inlineStr">
        <is>
          <t>TRƯỢT ❌</t>
        </is>
      </c>
      <c r="N216" s="6" t="inlineStr">
        <is>
          <t>TRÚNG N3 🎯</t>
        </is>
      </c>
      <c r="O21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17">
      <c r="A217" s="2" t="n">
        <v>20</v>
      </c>
      <c r="B217" s="2" t="inlineStr">
        <is>
          <t>Thứ tư ngày 21-01-2026</t>
        </is>
      </c>
      <c r="C217" s="3" t="inlineStr">
        <is>
          <t>Thứ Ba</t>
        </is>
      </c>
      <c r="D217" s="3" t="inlineStr">
        <is>
          <t>06186</t>
        </is>
      </c>
      <c r="E217" s="3" t="inlineStr">
        <is>
          <t>86</t>
        </is>
      </c>
      <c r="F217" s="3" t="inlineStr">
        <is>
          <t>G7.1, G7.2</t>
        </is>
      </c>
      <c r="G217" s="3" t="inlineStr">
        <is>
          <t>Tổng 2, Tổng 3, Tổng 4, Tổng 7, Tổng 8, Tổng 9</t>
        </is>
      </c>
      <c r="H217" s="3" t="inlineStr">
        <is>
          <t>0123456789</t>
        </is>
      </c>
      <c r="I217" s="3" t="inlineStr">
        <is>
          <t>Tổng 7-Bóng 2</t>
        </is>
      </c>
      <c r="J217" s="3" t="n">
        <v>60</v>
      </c>
      <c r="K217" s="6" t="inlineStr">
        <is>
          <t>TRÚNG N1 🎯</t>
        </is>
      </c>
      <c r="L217" s="3" t="inlineStr">
        <is>
          <t>03, 11, 16, 17, 18, 22, 27, 35, 48, 49, 53, 61, 62, 67, 68, 76, 86, 89, 93, 94</t>
        </is>
      </c>
      <c r="M217" s="6" t="inlineStr">
        <is>
          <t>TRÚNG HỎA LỰC 🎯</t>
        </is>
      </c>
      <c r="N217" s="6" t="inlineStr">
        <is>
          <t>TRÚNG N1 🎯</t>
        </is>
      </c>
      <c r="O21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8">
      <c r="A218" s="2" t="n">
        <v>19</v>
      </c>
      <c r="B218" s="2" t="inlineStr">
        <is>
          <t>Thứ ba ngày 20-01-2026</t>
        </is>
      </c>
      <c r="C218" s="3" t="inlineStr">
        <is>
          <t>Thứ Hai</t>
        </is>
      </c>
      <c r="D218" s="3" t="inlineStr">
        <is>
          <t>56878</t>
        </is>
      </c>
      <c r="E218" s="3" t="inlineStr">
        <is>
          <t>78</t>
        </is>
      </c>
      <c r="F218" s="3" t="inlineStr">
        <is>
          <t>G7.1, G7.2</t>
        </is>
      </c>
      <c r="G218" s="3" t="inlineStr">
        <is>
          <t>Tổng 0, Tổng 1, Tổng 5, Tổng 6</t>
        </is>
      </c>
      <c r="H218" s="3" t="inlineStr">
        <is>
          <t>02345789</t>
        </is>
      </c>
      <c r="I218" s="3" t="inlineStr">
        <is>
          <t>Tổng 5-Bóng 0</t>
        </is>
      </c>
      <c r="J218" s="3" t="n">
        <v>40</v>
      </c>
      <c r="K218" s="6" t="inlineStr">
        <is>
          <t>TRÚNG N1 🎯</t>
        </is>
      </c>
      <c r="L218" s="3" t="inlineStr">
        <is>
          <t>05, 23, 24, 28, 29, 38, 42, 46, 47, 50, 51, 74, 78, 79, 82, 83, 87, 88, 91, 97</t>
        </is>
      </c>
      <c r="M218" s="6" t="inlineStr">
        <is>
          <t>TRÚNG HỎA LỰC 🎯</t>
        </is>
      </c>
      <c r="N218" s="6" t="inlineStr">
        <is>
          <t>TRÚNG N1 🎯</t>
        </is>
      </c>
      <c r="O218" s="3" t="inlineStr">
        <is>
          <t>00, 01, 05, 06, 10, 14, 15, 19, 23, 24, 28, 29, 32, 33, 37, 38, 41, 42, 46, 47, 50, 51, 55, 56, 60, 64, 65, 69, 73, 74, 78, 79, 82, 83, 87, 88, 91, 92, 96, 97</t>
        </is>
      </c>
    </row>
    <row r="219">
      <c r="A219" s="2" t="n">
        <v>18</v>
      </c>
      <c r="B219" s="2" t="inlineStr">
        <is>
          <t>Thứ hai ngày 19-01-2026</t>
        </is>
      </c>
      <c r="C219" s="3" t="inlineStr">
        <is>
          <t>Chủ Nhật</t>
        </is>
      </c>
      <c r="D219" s="3" t="inlineStr">
        <is>
          <t>88286</t>
        </is>
      </c>
      <c r="E219" s="3" t="inlineStr">
        <is>
          <t>86</t>
        </is>
      </c>
      <c r="F219" s="3" t="inlineStr">
        <is>
          <t>G7.3, G7.1</t>
        </is>
      </c>
      <c r="G219" s="3" t="inlineStr">
        <is>
          <t>Tổng 2, Tổng 3, Tổng 4, Tổng 7, Tổng 8, Tổng 9</t>
        </is>
      </c>
      <c r="H219" s="3" t="inlineStr">
        <is>
          <t>01245679</t>
        </is>
      </c>
      <c r="I219" s="3" t="inlineStr">
        <is>
          <t>Tổng 4-Bóng 9</t>
        </is>
      </c>
      <c r="J219" s="3" t="n">
        <v>60</v>
      </c>
      <c r="K219" s="6" t="inlineStr">
        <is>
          <t>TRÚNG N1 🎯</t>
        </is>
      </c>
      <c r="L219" s="3" t="inlineStr">
        <is>
          <t>03, 11, 16, 17, 18, 22, 27, 35, 48, 49, 53, 61, 62, 67, 68, 76, 81, 89, 93, 94</t>
        </is>
      </c>
      <c r="M219" s="7" t="inlineStr">
        <is>
          <t>TRƯỢT ❌</t>
        </is>
      </c>
      <c r="N219" s="6" t="inlineStr">
        <is>
          <t>TRÚNG N1 🎯</t>
        </is>
      </c>
      <c r="O21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20">
      <c r="A220" s="2" t="n">
        <v>17</v>
      </c>
      <c r="B220" s="2" t="inlineStr">
        <is>
          <t>Chủ nhật ngày 18-01-2026</t>
        </is>
      </c>
      <c r="C220" s="3" t="inlineStr">
        <is>
          <t>Thứ Bảy</t>
        </is>
      </c>
      <c r="D220" s="3" t="inlineStr">
        <is>
          <t>17151</t>
        </is>
      </c>
      <c r="E220" s="3" t="inlineStr">
        <is>
          <t>51</t>
        </is>
      </c>
      <c r="F220" s="3" t="inlineStr">
        <is>
          <t>G7.4, G7.1</t>
        </is>
      </c>
      <c r="G220" s="3" t="inlineStr">
        <is>
          <t>Tổng 0, Tổng 4, Tổng 5, Tổng 9</t>
        </is>
      </c>
      <c r="H220" s="3" t="inlineStr">
        <is>
          <t>0123456789</t>
        </is>
      </c>
      <c r="I220" s="3" t="inlineStr">
        <is>
          <t>Tổng 9-Bóng 4</t>
        </is>
      </c>
      <c r="J220" s="3" t="n">
        <v>40</v>
      </c>
      <c r="K220" s="7" t="inlineStr">
        <is>
          <t>TRƯỢT ❌</t>
        </is>
      </c>
      <c r="L220" s="3" t="inlineStr">
        <is>
          <t>05, 13, 18, 22, 23, 27, 28, 31, 32, 46, 50, 55, 59, 68, 78, 81, 82, 87, 91, 95</t>
        </is>
      </c>
      <c r="M220" s="7" t="inlineStr">
        <is>
          <t>TRƯỢT ❌</t>
        </is>
      </c>
      <c r="N220" s="6" t="inlineStr">
        <is>
          <t>TRÚNG N2 🎯</t>
        </is>
      </c>
      <c r="O220" s="3" t="inlineStr">
        <is>
          <t>00, 04, 05, 09, 13, 14, 18, 19, 22, 23, 27, 28, 31, 32, 36, 37, 40, 41, 45, 46, 50, 54, 55, 59, 63, 64, 68, 69, 72, 73, 77, 78, 81, 82, 86, 87, 90, 91, 95, 96</t>
        </is>
      </c>
    </row>
    <row r="221">
      <c r="A221" s="2" t="n">
        <v>16</v>
      </c>
      <c r="B221" s="2" t="inlineStr">
        <is>
          <t>Thứ bảy ngày 17-01-2026</t>
        </is>
      </c>
      <c r="C221" s="3" t="inlineStr">
        <is>
          <t>Thứ Sáu</t>
        </is>
      </c>
      <c r="D221" s="3" t="inlineStr">
        <is>
          <t>09824</t>
        </is>
      </c>
      <c r="E221" s="3" t="inlineStr">
        <is>
          <t>24</t>
        </is>
      </c>
      <c r="F221" s="3" t="inlineStr">
        <is>
          <t>G7.2, G7.4</t>
        </is>
      </c>
      <c r="G221" s="3" t="inlineStr">
        <is>
          <t>Tổng 1, Tổng 4, Tổng 6, Tổng 9</t>
        </is>
      </c>
      <c r="H221" s="3" t="inlineStr">
        <is>
          <t>02345789</t>
        </is>
      </c>
      <c r="I221" s="3" t="inlineStr">
        <is>
          <t>Tổng 9-Bóng 4</t>
        </is>
      </c>
      <c r="J221" s="3" t="n">
        <v>40</v>
      </c>
      <c r="K221" s="6" t="inlineStr">
        <is>
          <t>TRÚNG N1 🎯</t>
        </is>
      </c>
      <c r="L221" s="3" t="inlineStr">
        <is>
          <t>13, 18, 22, 27, 29, 31, 38, 42, 47, 54, 56, 59, 68, 74, 79, 81, 83, 88, 95, 97</t>
        </is>
      </c>
      <c r="M221" s="7" t="inlineStr">
        <is>
          <t>TRƯỢT ❌</t>
        </is>
      </c>
      <c r="N221" s="6" t="inlineStr">
        <is>
          <t>TRÚNG N1 🎯</t>
        </is>
      </c>
      <c r="O221" s="3" t="inlineStr">
        <is>
          <t>01, 04, 06, 09, 10, 13, 15, 18, 22, 24, 27, 29, 31, 33, 36, 38, 40, 42, 45, 47, 51, 54, 56, 59, 60, 63, 65, 68, 72, 74, 77, 79, 81, 83, 86, 88, 90, 92, 95, 97</t>
        </is>
      </c>
    </row>
    <row r="222">
      <c r="A222" s="2" t="n">
        <v>15</v>
      </c>
      <c r="B222" s="2" t="inlineStr">
        <is>
          <t>Thứ sáu ngày 16-01-2026</t>
        </is>
      </c>
      <c r="C222" s="3" t="inlineStr">
        <is>
          <t>Thứ Năm</t>
        </is>
      </c>
      <c r="D222" s="3" t="inlineStr">
        <is>
          <t>90128</t>
        </is>
      </c>
      <c r="E222" s="3" t="inlineStr">
        <is>
          <t>28</t>
        </is>
      </c>
      <c r="F222" s="3" t="inlineStr">
        <is>
          <t>G7.4, G7.1</t>
        </is>
      </c>
      <c r="G222" s="3" t="inlineStr">
        <is>
          <t>Tổng 3, Tổng 8</t>
        </is>
      </c>
      <c r="H222" s="3" t="inlineStr">
        <is>
          <t>01245679</t>
        </is>
      </c>
      <c r="I222" s="3" t="inlineStr">
        <is>
          <t>Tổng 3-Bóng 8</t>
        </is>
      </c>
      <c r="J222" s="3" t="n">
        <v>20</v>
      </c>
      <c r="K222" s="7" t="inlineStr">
        <is>
          <t>TRƯỢT ❌</t>
        </is>
      </c>
      <c r="L222" s="3" t="inlineStr">
        <is>
          <t>03, 08, 12, 17, 21, 26, 30, 35, 44, 49, 53, 58, 62, 67, 71, 76, 80, 85, 94, 99</t>
        </is>
      </c>
      <c r="M222" s="7" t="inlineStr">
        <is>
          <t>TRƯỢT ❌</t>
        </is>
      </c>
      <c r="N222" s="7" t="inlineStr">
        <is>
          <t>TRƯỢT KHUNG ❌</t>
        </is>
      </c>
      <c r="O222" s="3" t="inlineStr">
        <is>
          <t>03, 08, 12, 17, 21, 26, 30, 35, 44, 49, 53, 58, 62, 67, 71, 76, 80, 85, 94, 99</t>
        </is>
      </c>
    </row>
    <row r="223">
      <c r="A223" s="2" t="n">
        <v>14</v>
      </c>
      <c r="B223" s="2" t="inlineStr">
        <is>
          <t>Thứ năm ngày 15-01-2026</t>
        </is>
      </c>
      <c r="C223" s="3" t="inlineStr">
        <is>
          <t>Thứ Tư</t>
        </is>
      </c>
      <c r="D223" s="3" t="inlineStr">
        <is>
          <t>84522</t>
        </is>
      </c>
      <c r="E223" s="3" t="inlineStr">
        <is>
          <t>22</t>
        </is>
      </c>
      <c r="F223" s="3" t="inlineStr">
        <is>
          <t>G7.1, G7.2</t>
        </is>
      </c>
      <c r="G223" s="3" t="inlineStr">
        <is>
          <t>Tổng 1, Tổng 3, Tổng 6, Tổng 8</t>
        </is>
      </c>
      <c r="H223" s="3" t="inlineStr">
        <is>
          <t>01245679</t>
        </is>
      </c>
      <c r="I223" s="3" t="inlineStr">
        <is>
          <t>Tổng 6-Bóng 1</t>
        </is>
      </c>
      <c r="J223" s="3" t="n">
        <v>36</v>
      </c>
      <c r="K223" s="7" t="inlineStr">
        <is>
          <t>TRƯỢT ❌</t>
        </is>
      </c>
      <c r="L223" s="3" t="inlineStr">
        <is>
          <t>03, 17, 26, 29, 35, 42, 47, 49, 51, 53, 56, 58, 62, 67, 74, 76, 79, 80, 94, 97</t>
        </is>
      </c>
      <c r="M223" s="7" t="inlineStr">
        <is>
          <t>TRƯỢT ❌</t>
        </is>
      </c>
      <c r="N223" s="6" t="inlineStr">
        <is>
          <t>TRÚNG N3 🎯</t>
        </is>
      </c>
      <c r="O223" s="3" t="inlineStr">
        <is>
          <t>01, 03, 06, 08, 10, 12, 15, 17, 21, 24, 26, 29, 30, 35, 42, 44, 47, 49, 51, 53, 56, 58, 60, 62, 65, 67, 71, 74, 76, 79, 80, 85, 92, 94, 97, 99</t>
        </is>
      </c>
    </row>
    <row r="224">
      <c r="A224" s="2" t="n">
        <v>13</v>
      </c>
      <c r="B224" s="2" t="inlineStr">
        <is>
          <t>Thứ tư ngày 14-01-2026</t>
        </is>
      </c>
      <c r="C224" s="3" t="inlineStr">
        <is>
          <t>Thứ Ba</t>
        </is>
      </c>
      <c r="D224" s="3" t="inlineStr">
        <is>
          <t>02817</t>
        </is>
      </c>
      <c r="E224" s="3" t="inlineStr">
        <is>
          <t>17</t>
        </is>
      </c>
      <c r="F224" s="3" t="inlineStr">
        <is>
          <t>G7.1, G7.2</t>
        </is>
      </c>
      <c r="G224" s="3" t="inlineStr">
        <is>
          <t>Tổng 0, Tổng 1, Tổng 4, Tổng 5, Tổng 6, Tổng 9</t>
        </is>
      </c>
      <c r="H224" s="3" t="inlineStr">
        <is>
          <t>0123456789</t>
        </is>
      </c>
      <c r="I224" s="3" t="inlineStr">
        <is>
          <t>Tổng 4-Bóng 9</t>
        </is>
      </c>
      <c r="J224" s="3" t="n">
        <v>60</v>
      </c>
      <c r="K224" s="7" t="inlineStr">
        <is>
          <t>TRƯỢT ❌</t>
        </is>
      </c>
      <c r="L224" s="3" t="inlineStr">
        <is>
          <t>05, 18, 22, 23, 27, 29, 38, 41, 46, 47, 68, 74, 78, 79, 81, 82, 83, 87, 91, 97</t>
        </is>
      </c>
      <c r="M224" s="7" t="inlineStr">
        <is>
          <t>TRƯỢT ❌</t>
        </is>
      </c>
      <c r="N224" s="6" t="inlineStr">
        <is>
          <t>TRÚNG N2 🎯</t>
        </is>
      </c>
      <c r="O2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5">
      <c r="A225" s="2" t="n">
        <v>12</v>
      </c>
      <c r="B225" s="2" t="inlineStr">
        <is>
          <t>Thứ ba ngày 13-01-2026</t>
        </is>
      </c>
      <c r="C225" s="3" t="inlineStr">
        <is>
          <t>Thứ Hai</t>
        </is>
      </c>
      <c r="D225" s="3" t="inlineStr">
        <is>
          <t>28027</t>
        </is>
      </c>
      <c r="E225" s="3" t="inlineStr">
        <is>
          <t>27</t>
        </is>
      </c>
      <c r="F225" s="3" t="inlineStr">
        <is>
          <t>G7.1, G7.2</t>
        </is>
      </c>
      <c r="G225" s="3" t="inlineStr">
        <is>
          <t>Tổng 0, Tổng 2, Tổng 4, Tổng 5, Tổng 7, Tổng 9</t>
        </is>
      </c>
      <c r="H225" s="3" t="inlineStr">
        <is>
          <t>0123456789</t>
        </is>
      </c>
      <c r="I225" s="3" t="inlineStr">
        <is>
          <t>Tổng 5-Bóng 0</t>
        </is>
      </c>
      <c r="J225" s="3" t="n">
        <v>60</v>
      </c>
      <c r="K225" s="6" t="inlineStr">
        <is>
          <t>TRÚNG N1 🎯</t>
        </is>
      </c>
      <c r="L225" s="3" t="inlineStr">
        <is>
          <t>05, 11, 16, 18, 22, 23, 46, 48, 50, 61, 68, 78, 81, 82, 87, 89, 91, 93, 95, 98</t>
        </is>
      </c>
      <c r="M225" s="7" t="inlineStr">
        <is>
          <t>TRƯỢT ❌</t>
        </is>
      </c>
      <c r="N225" s="6" t="inlineStr">
        <is>
          <t>TRÚNG N1 🎯</t>
        </is>
      </c>
      <c r="O22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6">
      <c r="A226" s="2" t="n">
        <v>11</v>
      </c>
      <c r="B226" s="2" t="inlineStr">
        <is>
          <t>Thứ hai ngày 12-01-2026</t>
        </is>
      </c>
      <c r="C226" s="3" t="inlineStr">
        <is>
          <t>Chủ Nhật</t>
        </is>
      </c>
      <c r="D226" s="3" t="inlineStr">
        <is>
          <t>31894</t>
        </is>
      </c>
      <c r="E226" s="3" t="inlineStr">
        <is>
          <t>94</t>
        </is>
      </c>
      <c r="F226" s="3" t="inlineStr">
        <is>
          <t>G7.1, G7.2</t>
        </is>
      </c>
      <c r="G226" s="3" t="inlineStr">
        <is>
          <t>Tổng 0, Tổng 2, Tổng 4, Tổng 5, Tổng 7, Tổng 9</t>
        </is>
      </c>
      <c r="H226" s="3" t="inlineStr">
        <is>
          <t>0123456789</t>
        </is>
      </c>
      <c r="I226" s="3" t="inlineStr">
        <is>
          <t>Tổng 0-Bóng 5</t>
        </is>
      </c>
      <c r="J226" s="3" t="n">
        <v>60</v>
      </c>
      <c r="K226" s="7" t="inlineStr">
        <is>
          <t>TRƯỢT ❌</t>
        </is>
      </c>
      <c r="L226" s="3" t="inlineStr">
        <is>
          <t>05, 11, 16, 18, 22, 23, 46, 48, 50, 61, 68, 78, 81, 82, 87, 89, 91, 93, 95, 98</t>
        </is>
      </c>
      <c r="M226" s="7" t="inlineStr">
        <is>
          <t>TRƯỢT ❌</t>
        </is>
      </c>
      <c r="N226" s="6" t="inlineStr">
        <is>
          <t>TRÚNG N2 🎯</t>
        </is>
      </c>
      <c r="O22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7">
      <c r="A227" s="2" t="n">
        <v>10</v>
      </c>
      <c r="B227" s="2" t="inlineStr">
        <is>
          <t>Chủ nhật ngày 11-01-2026</t>
        </is>
      </c>
      <c r="C227" s="3" t="inlineStr">
        <is>
          <t>Thứ Bảy</t>
        </is>
      </c>
      <c r="D227" s="3" t="inlineStr">
        <is>
          <t>82438</t>
        </is>
      </c>
      <c r="E227" s="3" t="inlineStr">
        <is>
          <t>38</t>
        </is>
      </c>
      <c r="F227" s="3" t="inlineStr">
        <is>
          <t>G7.4, G7.1</t>
        </is>
      </c>
      <c r="G227" s="3" t="inlineStr">
        <is>
          <t>Tổng 0, Tổng 2, Tổng 4, Tổng 5, Tổng 7, Tổng 9</t>
        </is>
      </c>
      <c r="H227" s="3" t="inlineStr">
        <is>
          <t>0123456789</t>
        </is>
      </c>
      <c r="I227" s="3" t="inlineStr">
        <is>
          <t>Tổng 0-Bóng 5</t>
        </is>
      </c>
      <c r="J227" s="3" t="n">
        <v>60</v>
      </c>
      <c r="K227" s="7" t="inlineStr">
        <is>
          <t>TRƯỢT ❌</t>
        </is>
      </c>
      <c r="L227" s="3" t="inlineStr">
        <is>
          <t>05, 11, 16, 18, 22, 23, 46, 48, 50, 61, 68, 78, 81, 82, 87, 89, 91, 93, 95, 98</t>
        </is>
      </c>
      <c r="M227" s="7" t="inlineStr">
        <is>
          <t>TRƯỢT ❌</t>
        </is>
      </c>
      <c r="N227" s="6" t="inlineStr">
        <is>
          <t>TRÚNG N3 🎯</t>
        </is>
      </c>
      <c r="O22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28">
      <c r="A228" s="2" t="n">
        <v>9</v>
      </c>
      <c r="B228" s="2" t="inlineStr">
        <is>
          <t>Thứ bảy ngày 10-01-2026</t>
        </is>
      </c>
      <c r="C228" s="3" t="inlineStr">
        <is>
          <t>Thứ Sáu</t>
        </is>
      </c>
      <c r="D228" s="3" t="inlineStr">
        <is>
          <t>67793</t>
        </is>
      </c>
      <c r="E228" s="3" t="inlineStr">
        <is>
          <t>93</t>
        </is>
      </c>
      <c r="F228" s="3" t="inlineStr">
        <is>
          <t>G7.1, G7.2</t>
        </is>
      </c>
      <c r="G228" s="3" t="inlineStr">
        <is>
          <t>Tổng 0, Tổng 1, Tổng 5, Tổng 6</t>
        </is>
      </c>
      <c r="H228" s="3" t="inlineStr">
        <is>
          <t>0123456789</t>
        </is>
      </c>
      <c r="I228" s="3" t="inlineStr">
        <is>
          <t>Tổng 0-Bóng 5</t>
        </is>
      </c>
      <c r="J228" s="3" t="n">
        <v>40</v>
      </c>
      <c r="K228" s="7" t="inlineStr">
        <is>
          <t>TRƯỢT ❌</t>
        </is>
      </c>
      <c r="L228" s="3" t="inlineStr">
        <is>
          <t>05, 23, 29, 32, 42, 46, 47, 50, 55, 56, 73, 74, 78, 79, 82, 83, 87, 88, 91, 97</t>
        </is>
      </c>
      <c r="M228" s="7" t="inlineStr">
        <is>
          <t>TRƯỢT ❌</t>
        </is>
      </c>
      <c r="N228" s="6" t="inlineStr">
        <is>
          <t>TRÚNG N2 🎯</t>
        </is>
      </c>
      <c r="O228" s="3" t="inlineStr">
        <is>
          <t>00, 01, 05, 06, 10, 14, 15, 19, 23, 24, 28, 29, 32, 33, 37, 38, 41, 42, 46, 47, 50, 51, 55, 56, 60, 64, 65, 69, 73, 74, 78, 79, 82, 83, 87, 88, 91, 92, 96, 97</t>
        </is>
      </c>
    </row>
    <row r="229">
      <c r="A229" s="2" t="n">
        <v>8</v>
      </c>
      <c r="B229" s="2" t="inlineStr">
        <is>
          <t>Thứ sáu ngày 09-01-2026</t>
        </is>
      </c>
      <c r="C229" s="3" t="inlineStr">
        <is>
          <t>Thứ Năm</t>
        </is>
      </c>
      <c r="D229" s="3" t="inlineStr">
        <is>
          <t>39523</t>
        </is>
      </c>
      <c r="E229" s="3" t="inlineStr">
        <is>
          <t>23</t>
        </is>
      </c>
      <c r="F229" s="3" t="inlineStr">
        <is>
          <t>G7.4, G7.1</t>
        </is>
      </c>
      <c r="G229" s="3" t="inlineStr">
        <is>
          <t>Tổng 3, Tổng 4, Tổng 8, Tổng 9</t>
        </is>
      </c>
      <c r="H229" s="3" t="inlineStr">
        <is>
          <t>0123456789</t>
        </is>
      </c>
      <c r="I229" s="3" t="inlineStr">
        <is>
          <t>Tổng 8-Bóng 3</t>
        </is>
      </c>
      <c r="J229" s="3" t="n">
        <v>40</v>
      </c>
      <c r="K229" s="7" t="inlineStr">
        <is>
          <t>TRƯỢT ❌</t>
        </is>
      </c>
      <c r="L229" s="3" t="inlineStr">
        <is>
          <t>03, 13, 17, 18, 22, 26, 35, 49, 53, 58, 59, 62, 67, 68, 76, 80, 81, 85, 94, 95</t>
        </is>
      </c>
      <c r="M229" s="7" t="inlineStr">
        <is>
          <t>TRƯỢT ❌</t>
        </is>
      </c>
      <c r="N229" s="7" t="inlineStr">
        <is>
          <t>TRƯỢT KHUNG ❌</t>
        </is>
      </c>
      <c r="O229" s="3" t="inlineStr">
        <is>
          <t>03, 04, 08, 09, 12, 13, 17, 18, 21, 22, 26, 27, 30, 31, 35, 36, 40, 44, 45, 49, 53, 54, 58, 59, 62, 63, 67, 68, 71, 72, 76, 77, 80, 81, 85, 86, 90, 94, 95, 99</t>
        </is>
      </c>
    </row>
    <row r="230">
      <c r="A230" s="2" t="n">
        <v>7</v>
      </c>
      <c r="B230" s="2" t="inlineStr">
        <is>
          <t>Thứ năm ngày 08-01-2026</t>
        </is>
      </c>
      <c r="C230" s="3" t="inlineStr">
        <is>
          <t>Thứ Tư</t>
        </is>
      </c>
      <c r="D230" s="3" t="inlineStr">
        <is>
          <t>40162</t>
        </is>
      </c>
      <c r="E230" s="3" t="inlineStr">
        <is>
          <t>62</t>
        </is>
      </c>
      <c r="F230" s="3" t="inlineStr">
        <is>
          <t>G7.1, G7.2</t>
        </is>
      </c>
      <c r="G230" s="3" t="inlineStr">
        <is>
          <t>Tổng 0, Tổng 2, Tổng 5, Tổng 7</t>
        </is>
      </c>
      <c r="H230" s="3" t="inlineStr">
        <is>
          <t>0123456789</t>
        </is>
      </c>
      <c r="I230" s="3" t="inlineStr">
        <is>
          <t>Tổng 0-Bóng 5</t>
        </is>
      </c>
      <c r="J230" s="3" t="n">
        <v>40</v>
      </c>
      <c r="K230" s="7" t="inlineStr">
        <is>
          <t>TRƯỢT ❌</t>
        </is>
      </c>
      <c r="L230" s="3" t="inlineStr">
        <is>
          <t>02, 05, 07, 11, 16, 32, 39, 46, 48, 50, 52, 55, 57, 61, 66, 78, 82, 87, 89, 91</t>
        </is>
      </c>
      <c r="M230" s="7" t="inlineStr">
        <is>
          <t>TRƯỢT ❌</t>
        </is>
      </c>
      <c r="N230" s="6" t="inlineStr">
        <is>
          <t>TRÚNG N2 🎯</t>
        </is>
      </c>
      <c r="O230" s="3" t="inlineStr">
        <is>
          <t>00, 02, 05, 07, 11, 14, 16, 19, 20, 23, 25, 28, 32, 34, 37, 39, 41, 43, 46, 48, 50, 52, 55, 57, 61, 64, 66, 69, 70, 73, 75, 78, 82, 84, 87, 89, 91, 93, 96, 98</t>
        </is>
      </c>
    </row>
    <row r="231">
      <c r="A231" s="2" t="n">
        <v>6</v>
      </c>
      <c r="B231" s="2" t="inlineStr">
        <is>
          <t>Thứ tư ngày 07-01-2026</t>
        </is>
      </c>
      <c r="C231" s="3" t="inlineStr">
        <is>
          <t>Thứ Ba</t>
        </is>
      </c>
      <c r="D231" s="3" t="inlineStr">
        <is>
          <t>14389</t>
        </is>
      </c>
      <c r="E231" s="3" t="inlineStr">
        <is>
          <t>89</t>
        </is>
      </c>
      <c r="F231" s="3" t="inlineStr">
        <is>
          <t>G7.1, G7.2</t>
        </is>
      </c>
      <c r="G231" s="3" t="inlineStr">
        <is>
          <t>Tổng 0, Tổng 1, Tổng 2, Tổng 5, Tổng 6, Tổng 7</t>
        </is>
      </c>
      <c r="H231" s="3" t="inlineStr">
        <is>
          <t>012567</t>
        </is>
      </c>
      <c r="I231" s="3" t="inlineStr">
        <is>
          <t>Tổng 7-Bóng 2</t>
        </is>
      </c>
      <c r="J231" s="3" t="n">
        <v>48</v>
      </c>
      <c r="K231" s="7" t="inlineStr">
        <is>
          <t>TRƯỢT ❌</t>
        </is>
      </c>
      <c r="L231" s="3" t="inlineStr">
        <is>
          <t>05, 11, 16, 29, 41, 42, 46, 47, 50, 56, 57, 61, 66, 74, 78, 79, 82, 87, 91, 97</t>
        </is>
      </c>
      <c r="M231" s="7" t="inlineStr">
        <is>
          <t>TRƯỢT ❌</t>
        </is>
      </c>
      <c r="N231" s="6" t="inlineStr">
        <is>
          <t>TRÚNG N3 🎯</t>
        </is>
      </c>
      <c r="O231" s="3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32">
      <c r="A232" s="2" t="n">
        <v>5</v>
      </c>
      <c r="B232" s="2" t="inlineStr">
        <is>
          <t>Thứ ba ngày 06-01-2026</t>
        </is>
      </c>
      <c r="C232" s="3" t="inlineStr">
        <is>
          <t>Thứ Hai</t>
        </is>
      </c>
      <c r="D232" s="3" t="inlineStr">
        <is>
          <t>78447</t>
        </is>
      </c>
      <c r="E232" s="3" t="inlineStr">
        <is>
          <t>47</t>
        </is>
      </c>
      <c r="F232" s="3" t="inlineStr">
        <is>
          <t>G7.1, G7.2</t>
        </is>
      </c>
      <c r="G232" s="3" t="inlineStr">
        <is>
          <t>Tổng 1, Tổng 2, Tổng 6, Tổng 7</t>
        </is>
      </c>
      <c r="H232" s="3" t="inlineStr">
        <is>
          <t>0123456789</t>
        </is>
      </c>
      <c r="I232" s="3" t="inlineStr">
        <is>
          <t>Tổng 1-Bóng 6</t>
        </is>
      </c>
      <c r="J232" s="3" t="n">
        <v>40</v>
      </c>
      <c r="K232" s="6" t="inlineStr">
        <is>
          <t>TRÚNG N1 🎯</t>
        </is>
      </c>
      <c r="L232" s="3" t="inlineStr">
        <is>
          <t>02, 07, 11, 16, 29, 39, 42, 47, 48, 52, 56, 57, 61, 66, 74, 75, 79, 83, 88, 97</t>
        </is>
      </c>
      <c r="M232" s="6" t="inlineStr">
        <is>
          <t>TRÚNG HỎA LỰC 🎯</t>
        </is>
      </c>
      <c r="N232" s="6" t="inlineStr">
        <is>
          <t>TRÚNG N1 🎯</t>
        </is>
      </c>
      <c r="O232" s="3" t="inlineStr">
        <is>
          <t>01, 02, 06, 07, 10, 11, 15, 16, 20, 24, 25, 29, 33, 34, 38, 39, 42, 43, 47, 48, 51, 52, 56, 57, 60, 61, 65, 66, 70, 74, 75, 79, 83, 84, 88, 89, 92, 93, 97, 98</t>
        </is>
      </c>
    </row>
    <row r="233">
      <c r="A233" s="2" t="n">
        <v>4</v>
      </c>
      <c r="B233" s="2" t="inlineStr">
        <is>
          <t>Thứ hai ngày 05-01-2026</t>
        </is>
      </c>
      <c r="C233" s="3" t="inlineStr">
        <is>
          <t>Chủ Nhật</t>
        </is>
      </c>
      <c r="D233" s="3" t="inlineStr">
        <is>
          <t>70505</t>
        </is>
      </c>
      <c r="E233" s="3" t="inlineStr">
        <is>
          <t>05</t>
        </is>
      </c>
      <c r="F233" s="3" t="inlineStr">
        <is>
          <t>G7.1, G7.2</t>
        </is>
      </c>
      <c r="G233" s="3" t="inlineStr">
        <is>
          <t>Tổng 1, Tổng 2, Tổng 4, Tổng 6, Tổng 7, Tổng 9</t>
        </is>
      </c>
      <c r="H233" s="3" t="inlineStr">
        <is>
          <t>0123456789</t>
        </is>
      </c>
      <c r="I233" s="3" t="inlineStr">
        <is>
          <t>Tổng 1-Bóng 6</t>
        </is>
      </c>
      <c r="J233" s="3" t="n">
        <v>60</v>
      </c>
      <c r="K233" s="7" t="inlineStr">
        <is>
          <t>TRƯỢT ❌</t>
        </is>
      </c>
      <c r="L233" s="3" t="inlineStr">
        <is>
          <t>11, 13, 16, 18, 22, 29, 42, 47, 48, 56, 57, 61, 68, 74, 79, 81, 83, 88, 95, 97</t>
        </is>
      </c>
      <c r="M233" s="7" t="inlineStr">
        <is>
          <t>TRƯỢT ❌</t>
        </is>
      </c>
      <c r="N233" s="6" t="inlineStr">
        <is>
          <t>TRÚNG N2 🎯</t>
        </is>
      </c>
      <c r="O23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34">
      <c r="A234" s="2" t="n">
        <v>3</v>
      </c>
      <c r="B234" s="2" t="inlineStr">
        <is>
          <t>Chủ nhật ngày 04-01-2026</t>
        </is>
      </c>
      <c r="C234" s="3" t="inlineStr">
        <is>
          <t>Thứ Bảy</t>
        </is>
      </c>
      <c r="D234" s="3" t="inlineStr">
        <is>
          <t>72397</t>
        </is>
      </c>
      <c r="E234" s="3" t="inlineStr">
        <is>
          <t>97</t>
        </is>
      </c>
      <c r="F234" s="3" t="inlineStr">
        <is>
          <t>G7.1, G7.2</t>
        </is>
      </c>
      <c r="G234" s="3" t="inlineStr">
        <is>
          <t>Tổng 0, Tổng 1, Tổng 2, Tổng 5, Tổng 6, Tổng 7</t>
        </is>
      </c>
      <c r="H234" s="3" t="inlineStr">
        <is>
          <t>12346789</t>
        </is>
      </c>
      <c r="I234" s="3" t="inlineStr">
        <is>
          <t>Tổng 2-Bóng 7</t>
        </is>
      </c>
      <c r="J234" s="3" t="n">
        <v>56</v>
      </c>
      <c r="K234" s="6" t="inlineStr">
        <is>
          <t>TRÚNG N1 🎯</t>
        </is>
      </c>
      <c r="L234" s="3" t="inlineStr">
        <is>
          <t>11, 16, 29, 41, 42, 46, 47, 48, 56, 57, 61, 74, 78, 79, 82, 83, 87, 88, 91, 97</t>
        </is>
      </c>
      <c r="M234" s="6" t="inlineStr">
        <is>
          <t>TRÚNG HỎA LỰC 🎯</t>
        </is>
      </c>
      <c r="N234" s="6" t="inlineStr">
        <is>
          <t>TRÚNG N1 🎯</t>
        </is>
      </c>
      <c r="O234" s="3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35">
      <c r="A235" s="2" t="n">
        <v>2</v>
      </c>
      <c r="B235" s="2" t="inlineStr">
        <is>
          <t>Thứ bảy ngày 03-01-2026</t>
        </is>
      </c>
      <c r="C235" s="3" t="inlineStr">
        <is>
          <t>Thứ Sáu</t>
        </is>
      </c>
      <c r="D235" s="3" t="inlineStr">
        <is>
          <t>00949</t>
        </is>
      </c>
      <c r="E235" s="3" t="inlineStr">
        <is>
          <t>49</t>
        </is>
      </c>
      <c r="F235" s="3" t="inlineStr">
        <is>
          <t>G7.1, G7.2</t>
        </is>
      </c>
      <c r="G235" s="3" t="inlineStr">
        <is>
          <t>Tổng 1, Tổng 4, Tổng 6, Tổng 9</t>
        </is>
      </c>
      <c r="H235" s="3" t="inlineStr">
        <is>
          <t>234789</t>
        </is>
      </c>
      <c r="I235" s="3" t="inlineStr">
        <is>
          <t>Tổng 4-Bóng 9</t>
        </is>
      </c>
      <c r="J235" s="3" t="n">
        <v>32</v>
      </c>
      <c r="K235" s="7" t="inlineStr">
        <is>
          <t>TRƯỢT ❌</t>
        </is>
      </c>
      <c r="L235" s="3" t="inlineStr">
        <is>
          <t>13, 18, 22, 27, 29, 31, 38, 40, 42, 47, 54, 59, 68, 74, 79, 81, 83, 88, 95, 97</t>
        </is>
      </c>
      <c r="M235" s="7" t="inlineStr">
        <is>
          <t>TRƯỢT ❌</t>
        </is>
      </c>
      <c r="N235" s="6" t="inlineStr">
        <is>
          <t>TRÚNG N2 🎯</t>
        </is>
      </c>
      <c r="O235" s="3" t="inlineStr">
        <is>
          <t>04, 09, 13, 18, 22, 24, 27, 29, 31, 33, 36, 38, 40, 42, 45, 47, 54, 59, 63, 68, 72, 74, 77, 79, 81, 83, 86, 88, 90, 92, 95, 97</t>
        </is>
      </c>
    </row>
    <row r="236">
      <c r="A236" s="2" t="n">
        <v>1</v>
      </c>
      <c r="B236" s="2" t="inlineStr">
        <is>
          <t>Thứ sáu ngày 02-01-2026</t>
        </is>
      </c>
      <c r="C236" s="3" t="inlineStr">
        <is>
          <t>Thứ Năm</t>
        </is>
      </c>
      <c r="D236" s="3" t="inlineStr">
        <is>
          <t>45748</t>
        </is>
      </c>
      <c r="E236" s="3" t="inlineStr">
        <is>
          <t>48</t>
        </is>
      </c>
      <c r="F236" s="3" t="inlineStr">
        <is>
          <t>G7.1, G7.2</t>
        </is>
      </c>
      <c r="G236" s="3" t="inlineStr">
        <is>
          <t>Tổng 0, Tổng 1, Tổng 2, Tổng 5, Tổng 6, Tổng 7</t>
        </is>
      </c>
      <c r="H236" s="3" t="inlineStr">
        <is>
          <t>01245679</t>
        </is>
      </c>
      <c r="I236" s="3" t="inlineStr">
        <is>
          <t>Tổng 6-Bóng 1</t>
        </is>
      </c>
      <c r="J236" s="3" t="n">
        <v>56</v>
      </c>
      <c r="K236" s="6" t="inlineStr">
        <is>
          <t>TRÚNG N1 🎯</t>
        </is>
      </c>
      <c r="L236" s="3" t="inlineStr">
        <is>
          <t>05, 11, 16, 29, 41, 42, 46, 47, 50, 56, 57, 61, 66, 74, 78, 79, 82, 87, 91, 97</t>
        </is>
      </c>
      <c r="M236" s="7" t="inlineStr">
        <is>
          <t>TRƯỢT ❌</t>
        </is>
      </c>
      <c r="N236" s="6" t="inlineStr">
        <is>
          <t>TRÚNG N1 🎯</t>
        </is>
      </c>
      <c r="O236" s="3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Cầu Ghép Góc (Head 7.1 + Tail 7.4)</t>
        </is>
      </c>
      <c r="B2" s="2" t="inlineStr">
        <is>
          <t>Tổng (G7.1[0] + G7.4[1]) mod 10 &amp; Bóng</t>
        </is>
      </c>
      <c r="C2" s="3" t="inlineStr">
        <is>
          <t>96 lần</t>
        </is>
      </c>
      <c r="D2" s="3" t="inlineStr">
        <is>
          <t>42.67%</t>
        </is>
      </c>
      <c r="E2" s="3" t="inlineStr">
        <is>
          <t>Độc lập với G7 đơn, nổ cực mạnh Thứ 2 (50%) &amp; Thứ 7 (48.5%)</t>
        </is>
      </c>
    </row>
    <row r="3">
      <c r="A3" s="2" t="inlineStr">
        <is>
          <t>Tích Hợp Chạm G7 Ngày</t>
        </is>
      </c>
      <c r="B3" s="2" t="inlineStr">
        <is>
          <t>Bắt chữ số G7.1-G7.4 + Bóng dương</t>
        </is>
      </c>
      <c r="C3" s="3" t="inlineStr">
        <is>
          <t>189 lần</t>
        </is>
      </c>
      <c r="D3" s="3" t="inlineStr">
        <is>
          <t>84.70%</t>
        </is>
      </c>
      <c r="E3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38</t>
        </is>
      </c>
      <c r="C2" s="3" t="inlineStr">
        <is>
          <t>Tổng 1</t>
        </is>
      </c>
      <c r="D2" s="3" t="inlineStr">
        <is>
          <t>4 ngày</t>
        </is>
      </c>
      <c r="E2" s="3" t="inlineStr">
        <is>
          <t>27.5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83</t>
        </is>
      </c>
      <c r="C3" s="3" t="inlineStr">
        <is>
          <t>Tổng 1</t>
        </is>
      </c>
      <c r="D3" s="3" t="inlineStr">
        <is>
          <t>9 ngày</t>
        </is>
      </c>
      <c r="E3" s="3" t="inlineStr">
        <is>
          <t>22.0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17</t>
        </is>
      </c>
      <c r="C4" s="3" t="inlineStr">
        <is>
          <t>Tổng 8</t>
        </is>
      </c>
      <c r="D4" s="3" t="inlineStr">
        <is>
          <t>3 ngày</t>
        </is>
      </c>
      <c r="E4" s="3" t="inlineStr">
        <is>
          <t>21.5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33</t>
        </is>
      </c>
      <c r="C5" s="3" t="inlineStr">
        <is>
          <t>Tổng 6</t>
        </is>
      </c>
      <c r="D5" s="3" t="inlineStr">
        <is>
          <t>6 ngày</t>
        </is>
      </c>
      <c r="E5" s="3" t="inlineStr">
        <is>
          <t>21.5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80</t>
        </is>
      </c>
      <c r="C6" s="3" t="inlineStr">
        <is>
          <t>Tổng 8</t>
        </is>
      </c>
      <c r="D6" s="3" t="inlineStr">
        <is>
          <t>2 ngày</t>
        </is>
      </c>
      <c r="E6" s="3" t="inlineStr">
        <is>
          <t>19.5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79</t>
        </is>
      </c>
      <c r="C7" s="3" t="inlineStr">
        <is>
          <t>Tổng 6</t>
        </is>
      </c>
      <c r="D7" s="3" t="inlineStr">
        <is>
          <t>20 ngày</t>
        </is>
      </c>
      <c r="E7" s="3" t="inlineStr">
        <is>
          <t>15.5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26</t>
        </is>
      </c>
      <c r="C8" s="3" t="inlineStr">
        <is>
          <t>Tổng 8</t>
        </is>
      </c>
      <c r="D8" s="3" t="inlineStr">
        <is>
          <t>15 ngày</t>
        </is>
      </c>
      <c r="E8" s="3" t="inlineStr">
        <is>
          <t>12.5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21</t>
        </is>
      </c>
      <c r="C9" s="3" t="inlineStr">
        <is>
          <t>Tổng 3</t>
        </is>
      </c>
      <c r="D9" s="3" t="inlineStr">
        <is>
          <t>18 ngày</t>
        </is>
      </c>
      <c r="E9" s="3" t="inlineStr">
        <is>
          <t>12.5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47</t>
        </is>
      </c>
      <c r="C10" s="3" t="inlineStr">
        <is>
          <t>Tổng 1</t>
        </is>
      </c>
      <c r="D10" s="3" t="inlineStr">
        <is>
          <t>24 ngày</t>
        </is>
      </c>
      <c r="E10" s="3" t="inlineStr">
        <is>
          <t>10.5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67</t>
        </is>
      </c>
      <c r="C11" s="3" t="inlineStr">
        <is>
          <t>Tổng 3</t>
        </is>
      </c>
      <c r="D11" s="3" t="inlineStr">
        <is>
          <t>21 ngày</t>
        </is>
      </c>
      <c r="E11" s="3" t="inlineStr">
        <is>
          <t>10.5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60</t>
        </is>
      </c>
      <c r="C12" s="3" t="inlineStr">
        <is>
          <t>Tổng 6</t>
        </is>
      </c>
      <c r="D12" s="3" t="inlineStr">
        <is>
          <t>22 ngày</t>
        </is>
      </c>
      <c r="E12" s="3" t="inlineStr">
        <is>
          <t>8.5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10</t>
        </is>
      </c>
      <c r="C13" s="3" t="inlineStr">
        <is>
          <t>Tổng 1</t>
        </is>
      </c>
      <c r="D13" s="3" t="inlineStr">
        <is>
          <t>27 ngày</t>
        </is>
      </c>
      <c r="E13" s="3" t="inlineStr">
        <is>
          <t>7.5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42</t>
        </is>
      </c>
      <c r="C14" s="3" t="inlineStr">
        <is>
          <t>Tổng 6</t>
        </is>
      </c>
      <c r="D14" s="3" t="inlineStr">
        <is>
          <t>59 ngày</t>
        </is>
      </c>
      <c r="E14" s="3" t="inlineStr">
        <is>
          <t>5.0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65</t>
        </is>
      </c>
      <c r="C15" s="3" t="inlineStr">
        <is>
          <t>Tổng 1</t>
        </is>
      </c>
      <c r="D15" s="3" t="inlineStr">
        <is>
          <t>55 ngày</t>
        </is>
      </c>
      <c r="E15" s="3" t="inlineStr">
        <is>
          <t>5.0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97</t>
        </is>
      </c>
      <c r="C16" s="3" t="inlineStr">
        <is>
          <t>Tổng 6</t>
        </is>
      </c>
      <c r="D16" s="3" t="inlineStr">
        <is>
          <t>52 ngày</t>
        </is>
      </c>
      <c r="E16" s="3" t="inlineStr">
        <is>
          <t>4.0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01</t>
        </is>
      </c>
      <c r="C17" s="3" t="inlineStr">
        <is>
          <t>Tổng 1</t>
        </is>
      </c>
      <c r="D17" s="3" t="inlineStr">
        <is>
          <t>47 ngày</t>
        </is>
      </c>
      <c r="E17" s="3" t="inlineStr">
        <is>
          <t>4.0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71</t>
        </is>
      </c>
      <c r="C18" s="3" t="inlineStr">
        <is>
          <t>Tổng 8</t>
        </is>
      </c>
      <c r="D18" s="3" t="inlineStr">
        <is>
          <t>53 ngày</t>
        </is>
      </c>
      <c r="E18" s="3" t="inlineStr">
        <is>
          <t>4.0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85</t>
        </is>
      </c>
      <c r="C19" s="3" t="inlineStr">
        <is>
          <t>Tổng 3</t>
        </is>
      </c>
      <c r="D19" s="3" t="inlineStr">
        <is>
          <t>49 ngày</t>
        </is>
      </c>
      <c r="E19" s="3" t="inlineStr">
        <is>
          <t>4.0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53</t>
        </is>
      </c>
      <c r="C20" s="3" t="inlineStr">
        <is>
          <t>Tổng 8</t>
        </is>
      </c>
      <c r="D20" s="3" t="inlineStr">
        <is>
          <t>61 ngày</t>
        </is>
      </c>
      <c r="E20" s="3" t="inlineStr">
        <is>
          <t>3.0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51</t>
        </is>
      </c>
      <c r="C21" s="3" t="inlineStr">
        <is>
          <t>Tổng 6</t>
        </is>
      </c>
      <c r="D21" s="3" t="inlineStr">
        <is>
          <t>64 ngày</t>
        </is>
      </c>
      <c r="E21" s="3" t="inlineStr">
        <is>
          <t>3.0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2" t="inlineStr">
        <is>
          <t>TT 1</t>
        </is>
      </c>
      <c r="B3" s="2" t="inlineStr">
        <is>
          <t>Thuật toán 1: Tổng Trực diện vs Tổng Bóng G7</t>
        </is>
      </c>
      <c r="C3" s="3" t="inlineStr">
        <is>
          <t>G7.1-G7.4</t>
        </is>
      </c>
      <c r="D3" s="3" t="inlineStr">
        <is>
          <t>---</t>
        </is>
      </c>
      <c r="E3" s="3" t="inlineStr">
        <is>
          <t>---</t>
        </is>
      </c>
      <c r="F3" s="3" t="inlineStr">
        <is>
          <t>---</t>
        </is>
      </c>
      <c r="G3" s="3" t="inlineStr">
        <is>
          <t>20 con / vị trí G7 (G7.3 Top 1)</t>
        </is>
      </c>
      <c r="H3" s="3" t="inlineStr">
        <is>
          <t>45 / 222 lần (G7.3)</t>
        </is>
      </c>
      <c r="I3" s="3" t="inlineStr">
        <is>
          <t>20.3%</t>
        </is>
      </c>
      <c r="J3" s="3" t="inlineStr">
        <is>
          <t>Bóng (42.3%) áp đảo Trực diện (26.1%). Ưu tiên G7.3 &amp; G7.2</t>
        </is>
      </c>
      <c r="K3" s="3" t="inlineStr">
        <is>
          <t>---</t>
        </is>
      </c>
      <c r="L3" s="3" t="inlineStr">
        <is>
          <t>---</t>
        </is>
      </c>
      <c r="M3" s="3" t="inlineStr">
        <is>
          <t>---</t>
        </is>
      </c>
      <c r="N3" s="3" t="inlineStr">
        <is>
          <t>---</t>
        </is>
      </c>
    </row>
    <row r="4">
      <c r="A4" s="2" t="inlineStr">
        <is>
          <t>TT 2</t>
        </is>
      </c>
      <c r="B4" s="2" t="inlineStr">
        <is>
          <t>Thuật toán 2: Màng Lọc Chạm G7 (Độ Phủ Cao)</t>
        </is>
      </c>
      <c r="C4" s="3" t="inlineStr">
        <is>
          <t>G7.1-G7.4</t>
        </is>
      </c>
      <c r="D4" s="3" t="inlineStr">
        <is>
          <t>---</t>
        </is>
      </c>
      <c r="E4" s="3" t="inlineStr">
        <is>
          <t>---</t>
        </is>
      </c>
      <c r="F4" s="3" t="inlineStr">
        <is>
          <t>---</t>
        </is>
      </c>
      <c r="G4" s="3" t="inlineStr">
        <is>
          <t>~50-60 con (6-7 chữ số chạm)</t>
        </is>
      </c>
      <c r="H4" s="3" t="inlineStr">
        <is>
          <t>198 / 234 ngày</t>
        </is>
      </c>
      <c r="I4" s="3" t="inlineStr">
        <is>
          <t>84.6%</t>
        </is>
      </c>
      <c r="J4" s="3" t="inlineStr">
        <is>
          <t>Độ phủ 84.7%. Màng lọc bắt buộc để hạ dàn nguyên liệu</t>
        </is>
      </c>
      <c r="K4" s="3" t="inlineStr">
        <is>
          <t>---</t>
        </is>
      </c>
      <c r="L4" s="3" t="inlineStr">
        <is>
          <t>---</t>
        </is>
      </c>
      <c r="M4" s="3" t="inlineStr">
        <is>
          <t>---</t>
        </is>
      </c>
      <c r="N4" s="3" t="inlineStr">
        <is>
          <t>---</t>
        </is>
      </c>
    </row>
    <row r="5">
      <c r="A5" s="2" t="inlineStr">
        <is>
          <t>TT 3</t>
        </is>
      </c>
      <c r="B5" s="2" t="inlineStr">
        <is>
          <t>Thuật toán 3: Cầu Ghép Góc (Đầu G7.1 + Đuôi G7.4)</t>
        </is>
      </c>
      <c r="C5" s="3" t="inlineStr">
        <is>
          <t>G7.1[0]</t>
        </is>
      </c>
      <c r="D5" s="3" t="inlineStr">
        <is>
          <t>---</t>
        </is>
      </c>
      <c r="E5" s="3" t="inlineStr">
        <is>
          <t>---</t>
        </is>
      </c>
      <c r="F5" s="3" t="inlineStr">
        <is>
          <t>G7.4[1]</t>
        </is>
      </c>
      <c r="G5" s="3" t="inlineStr">
        <is>
          <t>20 con (2 bộ Tổng/Bóng)</t>
        </is>
      </c>
      <c r="H5" s="3" t="inlineStr">
        <is>
          <t>50 / 234 ngày</t>
        </is>
      </c>
      <c r="I5" s="3" t="inlineStr">
        <is>
          <t>21.4%</t>
        </is>
      </c>
      <c r="J5" s="3" t="inlineStr">
        <is>
          <t>Cầu độc lập hiệu quả cao, nổ mạnh Thứ Hai &amp; Thứ Bảy (~29%)</t>
        </is>
      </c>
      <c r="K5" s="3" t="inlineStr">
        <is>
          <t>---</t>
        </is>
      </c>
      <c r="L5" s="3" t="inlineStr">
        <is>
          <t>---</t>
        </is>
      </c>
      <c r="M5" s="3" t="inlineStr">
        <is>
          <t>---</t>
        </is>
      </c>
      <c r="N5" s="3" t="inlineStr">
        <is>
          <t>---</t>
        </is>
      </c>
    </row>
    <row r="6">
      <c r="A6" s="2" t="inlineStr">
        <is>
          <t>TT 4</t>
        </is>
      </c>
      <c r="B6" s="2" t="inlineStr">
        <is>
          <t>Thuật toán 4: Dàn Giao Thoa Ép Cầu [Chạm x Tổng]</t>
        </is>
      </c>
      <c r="C6" s="3" t="inlineStr">
        <is>
          <t>G7.1-G7.4</t>
        </is>
      </c>
      <c r="D6" s="3" t="inlineStr">
        <is>
          <t>---</t>
        </is>
      </c>
      <c r="E6" s="3" t="inlineStr">
        <is>
          <t>---</t>
        </is>
      </c>
      <c r="F6" s="3" t="inlineStr">
        <is>
          <t>---</t>
        </is>
      </c>
      <c r="G6" s="3" t="inlineStr">
        <is>
          <t>~48 con (Giao giữa Chạm G7 &amp; Tổng G7)</t>
        </is>
      </c>
      <c r="H6" s="3" t="inlineStr">
        <is>
          <t>102 / 234 ngày</t>
        </is>
      </c>
      <c r="I6" s="3" t="inlineStr">
        <is>
          <t>43.6%</t>
        </is>
      </c>
      <c r="J6" s="3" t="inlineStr">
        <is>
          <t>Ép dàn cực đỉnh (~48 con) giữ tỷ lệ ăn 42.8%, nổ 56.2% Thứ Năm</t>
        </is>
      </c>
      <c r="K6" s="3" t="inlineStr">
        <is>
          <t>---</t>
        </is>
      </c>
      <c r="L6" s="3" t="inlineStr">
        <is>
          <t>---</t>
        </is>
      </c>
      <c r="M6" s="3" t="inlineStr">
        <is>
          <t>---</t>
        </is>
      </c>
      <c r="N6" s="3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7" t="inlineStr">
        <is>
          <t>KHÔNG</t>
        </is>
      </c>
      <c r="M8" s="7" t="inlineStr">
        <is>
          <t>KHÔNG</t>
        </is>
      </c>
      <c r="N8" s="7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6" t="inlineStr">
        <is>
          <t>TRÚNG</t>
        </is>
      </c>
      <c r="M9" s="7" t="inlineStr">
        <is>
          <t>KHÔNG</t>
        </is>
      </c>
      <c r="N9" s="7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6" t="inlineStr">
        <is>
          <t>TRÚNG</t>
        </is>
      </c>
      <c r="M10" s="7" t="inlineStr">
        <is>
          <t>KHÔNG</t>
        </is>
      </c>
      <c r="N10" s="6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6" t="inlineStr">
        <is>
          <t>TRÚNG</t>
        </is>
      </c>
      <c r="M11" s="7" t="inlineStr">
        <is>
          <t>KHÔNG</t>
        </is>
      </c>
      <c r="N11" s="7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6" t="inlineStr">
        <is>
          <t>TRÚNG</t>
        </is>
      </c>
      <c r="M12" s="6" t="inlineStr">
        <is>
          <t>TRÚNG</t>
        </is>
      </c>
      <c r="N12" s="6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7" t="inlineStr">
        <is>
          <t>KHÔNG</t>
        </is>
      </c>
      <c r="M13" s="6" t="inlineStr">
        <is>
          <t>TRÚNG</t>
        </is>
      </c>
      <c r="N13" s="7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6" t="inlineStr">
        <is>
          <t>TRÚNG</t>
        </is>
      </c>
      <c r="M14" s="7" t="inlineStr">
        <is>
          <t>KHÔNG</t>
        </is>
      </c>
      <c r="N14" s="7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6" t="inlineStr">
        <is>
          <t>TRÚNG</t>
        </is>
      </c>
      <c r="M15" s="7" t="inlineStr">
        <is>
          <t>KHÔNG</t>
        </is>
      </c>
      <c r="N15" s="6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7" t="inlineStr">
        <is>
          <t>KHÔNG</t>
        </is>
      </c>
      <c r="M16" s="7" t="inlineStr">
        <is>
          <t>KHÔNG</t>
        </is>
      </c>
      <c r="N16" s="7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6" t="inlineStr">
        <is>
          <t>TRÚNG</t>
        </is>
      </c>
      <c r="M17" s="7" t="inlineStr">
        <is>
          <t>KHÔNG</t>
        </is>
      </c>
      <c r="N17" s="7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6" t="inlineStr">
        <is>
          <t>TRÚNG</t>
        </is>
      </c>
      <c r="M18" s="7" t="inlineStr">
        <is>
          <t>KHÔNG</t>
        </is>
      </c>
      <c r="N18" s="7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6" t="inlineStr">
        <is>
          <t>TRÚNG</t>
        </is>
      </c>
      <c r="M19" s="7" t="inlineStr">
        <is>
          <t>KHÔNG</t>
        </is>
      </c>
      <c r="N19" s="6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6" t="inlineStr">
        <is>
          <t>TRÚNG</t>
        </is>
      </c>
      <c r="M20" s="7" t="inlineStr">
        <is>
          <t>KHÔNG</t>
        </is>
      </c>
      <c r="N20" s="7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6" t="inlineStr">
        <is>
          <t>TRÚNG</t>
        </is>
      </c>
      <c r="M21" s="7" t="inlineStr">
        <is>
          <t>KHÔNG</t>
        </is>
      </c>
      <c r="N21" s="7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6" t="inlineStr">
        <is>
          <t>TRÚNG</t>
        </is>
      </c>
      <c r="M22" s="7" t="inlineStr">
        <is>
          <t>KHÔNG</t>
        </is>
      </c>
      <c r="N22" s="6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6" t="inlineStr">
        <is>
          <t>TRÚNG</t>
        </is>
      </c>
      <c r="M23" s="7" t="inlineStr">
        <is>
          <t>KHÔNG</t>
        </is>
      </c>
      <c r="N23" s="6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6" t="inlineStr">
        <is>
          <t>TRÚNG</t>
        </is>
      </c>
      <c r="M24" s="7" t="inlineStr">
        <is>
          <t>KHÔNG</t>
        </is>
      </c>
      <c r="N24" s="6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6" t="inlineStr">
        <is>
          <t>TRÚNG</t>
        </is>
      </c>
      <c r="M25" s="6" t="inlineStr">
        <is>
          <t>TRÚNG</t>
        </is>
      </c>
      <c r="N25" s="7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7" t="inlineStr">
        <is>
          <t>KHÔNG</t>
        </is>
      </c>
      <c r="M26" s="6" t="inlineStr">
        <is>
          <t>TRÚNG</t>
        </is>
      </c>
      <c r="N26" s="7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6" t="inlineStr">
        <is>
          <t>TRÚNG</t>
        </is>
      </c>
      <c r="M27" s="7" t="inlineStr">
        <is>
          <t>KHÔNG</t>
        </is>
      </c>
      <c r="N27" s="6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6" t="inlineStr">
        <is>
          <t>TRÚNG</t>
        </is>
      </c>
      <c r="M28" s="7" t="inlineStr">
        <is>
          <t>KHÔNG</t>
        </is>
      </c>
      <c r="N28" s="7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7" t="inlineStr">
        <is>
          <t>KHÔNG</t>
        </is>
      </c>
      <c r="M29" s="7" t="inlineStr">
        <is>
          <t>KHÔNG</t>
        </is>
      </c>
      <c r="N29" s="7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6" t="inlineStr">
        <is>
          <t>TRÚNG</t>
        </is>
      </c>
      <c r="M30" s="7" t="inlineStr">
        <is>
          <t>KHÔNG</t>
        </is>
      </c>
      <c r="N30" s="7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6" t="inlineStr">
        <is>
          <t>TRÚNG</t>
        </is>
      </c>
      <c r="M31" s="7" t="inlineStr">
        <is>
          <t>KHÔNG</t>
        </is>
      </c>
      <c r="N31" s="7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6" t="inlineStr">
        <is>
          <t>TRÚNG</t>
        </is>
      </c>
      <c r="M32" s="6" t="inlineStr">
        <is>
          <t>TRÚNG</t>
        </is>
      </c>
      <c r="N32" s="6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6" t="inlineStr">
        <is>
          <t>TRÚNG</t>
        </is>
      </c>
      <c r="M33" s="7" t="inlineStr">
        <is>
          <t>KHÔNG</t>
        </is>
      </c>
      <c r="N33" s="6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6" t="inlineStr">
        <is>
          <t>TRÚNG</t>
        </is>
      </c>
      <c r="M34" s="6" t="inlineStr">
        <is>
          <t>TRÚNG</t>
        </is>
      </c>
      <c r="N34" s="7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6" t="inlineStr">
        <is>
          <t>TRÚNG</t>
        </is>
      </c>
      <c r="M35" s="7" t="inlineStr">
        <is>
          <t>KHÔNG</t>
        </is>
      </c>
      <c r="N35" s="7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7" t="inlineStr">
        <is>
          <t>KHÔNG</t>
        </is>
      </c>
      <c r="M36" s="7" t="inlineStr">
        <is>
          <t>KHÔNG</t>
        </is>
      </c>
      <c r="N36" s="7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6" t="inlineStr">
        <is>
          <t>TRÚNG</t>
        </is>
      </c>
      <c r="M37" s="7" t="inlineStr">
        <is>
          <t>KHÔNG</t>
        </is>
      </c>
      <c r="N37" s="6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6" t="inlineStr">
        <is>
          <t>TRÚNG</t>
        </is>
      </c>
      <c r="M38" s="6" t="inlineStr">
        <is>
          <t>TRÚNG</t>
        </is>
      </c>
      <c r="N38" s="6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7" t="inlineStr">
        <is>
          <t>KHÔNG</t>
        </is>
      </c>
      <c r="M39" s="7" t="inlineStr">
        <is>
          <t>KHÔNG</t>
        </is>
      </c>
      <c r="N39" s="7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6" t="inlineStr">
        <is>
          <t>TRÚNG</t>
        </is>
      </c>
      <c r="M40" s="7" t="inlineStr">
        <is>
          <t>KHÔNG</t>
        </is>
      </c>
      <c r="N40" s="6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6" t="inlineStr">
        <is>
          <t>TRÚNG</t>
        </is>
      </c>
      <c r="M41" s="7" t="inlineStr">
        <is>
          <t>KHÔNG</t>
        </is>
      </c>
      <c r="N41" s="6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6" t="inlineStr">
        <is>
          <t>TRÚNG</t>
        </is>
      </c>
      <c r="M42" s="6" t="inlineStr">
        <is>
          <t>TRÚNG</t>
        </is>
      </c>
      <c r="N42" s="7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6" t="inlineStr">
        <is>
          <t>TRÚNG</t>
        </is>
      </c>
      <c r="M43" s="7" t="inlineStr">
        <is>
          <t>KHÔNG</t>
        </is>
      </c>
      <c r="N43" s="6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6" t="inlineStr">
        <is>
          <t>TRÚNG</t>
        </is>
      </c>
      <c r="M44" s="7" t="inlineStr">
        <is>
          <t>KHÔNG</t>
        </is>
      </c>
      <c r="N44" s="7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6" t="inlineStr">
        <is>
          <t>TRÚNG</t>
        </is>
      </c>
      <c r="M45" s="7" t="inlineStr">
        <is>
          <t>KHÔNG</t>
        </is>
      </c>
      <c r="N45" s="6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6" t="inlineStr">
        <is>
          <t>TRÚNG</t>
        </is>
      </c>
      <c r="M46" s="7" t="inlineStr">
        <is>
          <t>KHÔNG</t>
        </is>
      </c>
      <c r="N46" s="6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7" t="inlineStr">
        <is>
          <t>KHÔNG</t>
        </is>
      </c>
      <c r="M47" s="7" t="inlineStr">
        <is>
          <t>KHÔNG</t>
        </is>
      </c>
      <c r="N47" s="7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6" t="inlineStr">
        <is>
          <t>TRÚNG</t>
        </is>
      </c>
      <c r="M48" s="6" t="inlineStr">
        <is>
          <t>TRÚNG</t>
        </is>
      </c>
      <c r="N48" s="7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6" t="inlineStr">
        <is>
          <t>TRÚNG</t>
        </is>
      </c>
      <c r="M49" s="7" t="inlineStr">
        <is>
          <t>KHÔNG</t>
        </is>
      </c>
      <c r="N49" s="6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7" t="inlineStr">
        <is>
          <t>KHÔNG</t>
        </is>
      </c>
      <c r="M50" s="7" t="inlineStr">
        <is>
          <t>KHÔNG</t>
        </is>
      </c>
      <c r="N50" s="7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6" t="inlineStr">
        <is>
          <t>TRÚNG</t>
        </is>
      </c>
      <c r="M51" s="6" t="inlineStr">
        <is>
          <t>TRÚNG</t>
        </is>
      </c>
      <c r="N51" s="7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6" t="inlineStr">
        <is>
          <t>TRÚNG</t>
        </is>
      </c>
      <c r="M52" s="7" t="inlineStr">
        <is>
          <t>KHÔNG</t>
        </is>
      </c>
      <c r="N52" s="6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7" t="inlineStr">
        <is>
          <t>KHÔNG</t>
        </is>
      </c>
      <c r="M53" s="7" t="inlineStr">
        <is>
          <t>KHÔNG</t>
        </is>
      </c>
      <c r="N53" s="7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6" t="inlineStr">
        <is>
          <t>TRÚNG</t>
        </is>
      </c>
      <c r="M54" s="7" t="inlineStr">
        <is>
          <t>KHÔNG</t>
        </is>
      </c>
      <c r="N54" s="6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6" t="inlineStr">
        <is>
          <t>TRÚNG</t>
        </is>
      </c>
      <c r="M55" s="6" t="inlineStr">
        <is>
          <t>TRÚNG</t>
        </is>
      </c>
      <c r="N55" s="7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7" t="inlineStr">
        <is>
          <t>KHÔNG</t>
        </is>
      </c>
      <c r="M56" s="7" t="inlineStr">
        <is>
          <t>KHÔNG</t>
        </is>
      </c>
      <c r="N56" s="7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6" t="inlineStr">
        <is>
          <t>TRÚNG</t>
        </is>
      </c>
      <c r="M57" s="7" t="inlineStr">
        <is>
          <t>KHÔNG</t>
        </is>
      </c>
      <c r="N57" s="6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6" t="inlineStr">
        <is>
          <t>TRÚNG</t>
        </is>
      </c>
      <c r="M58" s="7" t="inlineStr">
        <is>
          <t>KHÔNG</t>
        </is>
      </c>
      <c r="N58" s="7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6" t="inlineStr">
        <is>
          <t>TRÚNG</t>
        </is>
      </c>
      <c r="M59" s="7" t="inlineStr">
        <is>
          <t>KHÔNG</t>
        </is>
      </c>
      <c r="N59" s="6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7" t="inlineStr">
        <is>
          <t>KHÔNG</t>
        </is>
      </c>
      <c r="M60" s="7" t="inlineStr">
        <is>
          <t>KHÔNG</t>
        </is>
      </c>
      <c r="N60" s="7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6" t="inlineStr">
        <is>
          <t>TRÚNG</t>
        </is>
      </c>
      <c r="M61" s="7" t="inlineStr">
        <is>
          <t>KHÔNG</t>
        </is>
      </c>
      <c r="N61" s="7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6" t="inlineStr">
        <is>
          <t>TRÚNG</t>
        </is>
      </c>
      <c r="M62" s="7" t="inlineStr">
        <is>
          <t>KHÔNG</t>
        </is>
      </c>
      <c r="N62" s="7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6" t="inlineStr">
        <is>
          <t>TRÚNG</t>
        </is>
      </c>
      <c r="M63" s="7" t="inlineStr">
        <is>
          <t>KHÔNG</t>
        </is>
      </c>
      <c r="N63" s="7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6" t="inlineStr">
        <is>
          <t>TRÚNG</t>
        </is>
      </c>
      <c r="M64" s="7" t="inlineStr">
        <is>
          <t>KHÔNG</t>
        </is>
      </c>
      <c r="N64" s="6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6" t="inlineStr">
        <is>
          <t>TRÚNG</t>
        </is>
      </c>
      <c r="M65" s="7" t="inlineStr">
        <is>
          <t>KHÔNG</t>
        </is>
      </c>
      <c r="N65" s="7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6" t="inlineStr">
        <is>
          <t>TRÚNG</t>
        </is>
      </c>
      <c r="M66" s="7" t="inlineStr">
        <is>
          <t>KHÔNG</t>
        </is>
      </c>
      <c r="N66" s="7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6" t="inlineStr">
        <is>
          <t>TRÚNG</t>
        </is>
      </c>
      <c r="M67" s="7" t="inlineStr">
        <is>
          <t>KHÔNG</t>
        </is>
      </c>
      <c r="N67" s="6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6" t="inlineStr">
        <is>
          <t>TRÚNG</t>
        </is>
      </c>
      <c r="M68" s="7" t="inlineStr">
        <is>
          <t>KHÔNG</t>
        </is>
      </c>
      <c r="N68" s="6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6" t="inlineStr">
        <is>
          <t>TRÚNG</t>
        </is>
      </c>
      <c r="M69" s="7" t="inlineStr">
        <is>
          <t>KHÔNG</t>
        </is>
      </c>
      <c r="N69" s="7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7" t="inlineStr">
        <is>
          <t>KHÔNG</t>
        </is>
      </c>
      <c r="M70" s="7" t="inlineStr">
        <is>
          <t>KHÔNG</t>
        </is>
      </c>
      <c r="N70" s="7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6" t="inlineStr">
        <is>
          <t>TRÚNG</t>
        </is>
      </c>
      <c r="M71" s="7" t="inlineStr">
        <is>
          <t>KHÔNG</t>
        </is>
      </c>
      <c r="N71" s="6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6" t="inlineStr">
        <is>
          <t>TRÚNG</t>
        </is>
      </c>
      <c r="M72" s="6" t="inlineStr">
        <is>
          <t>TRÚNG</t>
        </is>
      </c>
      <c r="N72" s="6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6" t="inlineStr">
        <is>
          <t>TRÚNG</t>
        </is>
      </c>
      <c r="M73" s="7" t="inlineStr">
        <is>
          <t>KHÔNG</t>
        </is>
      </c>
      <c r="N73" s="6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6" t="inlineStr">
        <is>
          <t>TRÚNG</t>
        </is>
      </c>
      <c r="M74" s="7" t="inlineStr">
        <is>
          <t>KHÔNG</t>
        </is>
      </c>
      <c r="N74" s="6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6" t="inlineStr">
        <is>
          <t>TRÚNG</t>
        </is>
      </c>
      <c r="M75" s="7" t="inlineStr">
        <is>
          <t>KHÔNG</t>
        </is>
      </c>
      <c r="N75" s="7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7" t="inlineStr">
        <is>
          <t>KHÔNG</t>
        </is>
      </c>
      <c r="M76" s="7" t="inlineStr">
        <is>
          <t>KHÔNG</t>
        </is>
      </c>
      <c r="N76" s="7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7" t="inlineStr">
        <is>
          <t>KHÔNG</t>
        </is>
      </c>
      <c r="M77" s="6" t="inlineStr">
        <is>
          <t>TRÚNG</t>
        </is>
      </c>
      <c r="N77" s="7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6" t="inlineStr">
        <is>
          <t>TRÚNG</t>
        </is>
      </c>
      <c r="M78" s="7" t="inlineStr">
        <is>
          <t>KHÔNG</t>
        </is>
      </c>
      <c r="N78" s="6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6" t="inlineStr">
        <is>
          <t>TRÚNG</t>
        </is>
      </c>
      <c r="M79" s="7" t="inlineStr">
        <is>
          <t>KHÔNG</t>
        </is>
      </c>
      <c r="N79" s="7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6" t="inlineStr">
        <is>
          <t>TRÚNG</t>
        </is>
      </c>
      <c r="M80" s="6" t="inlineStr">
        <is>
          <t>TRÚNG</t>
        </is>
      </c>
      <c r="N80" s="7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6" t="inlineStr">
        <is>
          <t>TRÚNG</t>
        </is>
      </c>
      <c r="M81" s="6" t="inlineStr">
        <is>
          <t>TRÚNG</t>
        </is>
      </c>
      <c r="N81" s="6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6" t="inlineStr">
        <is>
          <t>TRÚNG</t>
        </is>
      </c>
      <c r="M82" s="7" t="inlineStr">
        <is>
          <t>KHÔNG</t>
        </is>
      </c>
      <c r="N82" s="6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6" t="inlineStr">
        <is>
          <t>TRÚNG</t>
        </is>
      </c>
      <c r="M83" s="7" t="inlineStr">
        <is>
          <t>KHÔNG</t>
        </is>
      </c>
      <c r="N83" s="6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6" t="inlineStr">
        <is>
          <t>TRÚNG</t>
        </is>
      </c>
      <c r="M84" s="7" t="inlineStr">
        <is>
          <t>KHÔNG</t>
        </is>
      </c>
      <c r="N84" s="7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6" t="inlineStr">
        <is>
          <t>TRÚNG</t>
        </is>
      </c>
      <c r="M85" s="6" t="inlineStr">
        <is>
          <t>TRÚNG</t>
        </is>
      </c>
      <c r="N85" s="6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7" t="inlineStr">
        <is>
          <t>KHÔNG</t>
        </is>
      </c>
      <c r="M86" s="7" t="inlineStr">
        <is>
          <t>KHÔNG</t>
        </is>
      </c>
      <c r="N86" s="7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6" t="inlineStr">
        <is>
          <t>TRÚNG</t>
        </is>
      </c>
      <c r="M87" s="6" t="inlineStr">
        <is>
          <t>TRÚNG</t>
        </is>
      </c>
      <c r="N87" s="7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6" t="inlineStr">
        <is>
          <t>TRÚNG</t>
        </is>
      </c>
      <c r="M88" s="6" t="inlineStr">
        <is>
          <t>TRÚNG</t>
        </is>
      </c>
      <c r="N88" s="6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7" t="inlineStr">
        <is>
          <t>KHÔNG</t>
        </is>
      </c>
      <c r="M89" s="7" t="inlineStr">
        <is>
          <t>KHÔNG</t>
        </is>
      </c>
      <c r="N89" s="7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6" t="inlineStr">
        <is>
          <t>TRÚNG</t>
        </is>
      </c>
      <c r="M90" s="7" t="inlineStr">
        <is>
          <t>KHÔNG</t>
        </is>
      </c>
      <c r="N90" s="7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6" t="inlineStr">
        <is>
          <t>TRÚNG</t>
        </is>
      </c>
      <c r="M91" s="7" t="inlineStr">
        <is>
          <t>KHÔNG</t>
        </is>
      </c>
      <c r="N91" s="7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7" t="inlineStr">
        <is>
          <t>KHÔNG</t>
        </is>
      </c>
      <c r="M92" s="7" t="inlineStr">
        <is>
          <t>KHÔNG</t>
        </is>
      </c>
      <c r="N92" s="7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7" t="inlineStr">
        <is>
          <t>KHÔNG</t>
        </is>
      </c>
      <c r="M93" s="7" t="inlineStr">
        <is>
          <t>KHÔNG</t>
        </is>
      </c>
      <c r="N93" s="7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6" t="inlineStr">
        <is>
          <t>TRÚNG</t>
        </is>
      </c>
      <c r="M94" s="6" t="inlineStr">
        <is>
          <t>TRÚNG</t>
        </is>
      </c>
      <c r="N94" s="7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6" t="inlineStr">
        <is>
          <t>TRÚNG</t>
        </is>
      </c>
      <c r="M95" s="7" t="inlineStr">
        <is>
          <t>KHÔNG</t>
        </is>
      </c>
      <c r="N95" s="7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7" t="inlineStr">
        <is>
          <t>KHÔNG</t>
        </is>
      </c>
      <c r="M96" s="7" t="inlineStr">
        <is>
          <t>KHÔNG</t>
        </is>
      </c>
      <c r="N96" s="7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6" t="inlineStr">
        <is>
          <t>TRÚNG</t>
        </is>
      </c>
      <c r="M97" s="7" t="inlineStr">
        <is>
          <t>KHÔNG</t>
        </is>
      </c>
      <c r="N97" s="6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6" t="inlineStr">
        <is>
          <t>TRÚNG</t>
        </is>
      </c>
      <c r="M98" s="7" t="inlineStr">
        <is>
          <t>KHÔNG</t>
        </is>
      </c>
      <c r="N98" s="7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6" t="inlineStr">
        <is>
          <t>TRÚNG</t>
        </is>
      </c>
      <c r="M99" s="7" t="inlineStr">
        <is>
          <t>KHÔNG</t>
        </is>
      </c>
      <c r="N99" s="6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6" t="inlineStr">
        <is>
          <t>TRÚNG</t>
        </is>
      </c>
      <c r="M100" s="6" t="inlineStr">
        <is>
          <t>TRÚNG</t>
        </is>
      </c>
      <c r="N100" s="7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6" t="inlineStr">
        <is>
          <t>TRÚNG</t>
        </is>
      </c>
      <c r="M101" s="6" t="inlineStr">
        <is>
          <t>TRÚNG</t>
        </is>
      </c>
      <c r="N101" s="7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6" t="inlineStr">
        <is>
          <t>TRÚNG</t>
        </is>
      </c>
      <c r="M102" s="6" t="inlineStr">
        <is>
          <t>TRÚNG</t>
        </is>
      </c>
      <c r="N102" s="6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6" t="inlineStr">
        <is>
          <t>TRÚNG</t>
        </is>
      </c>
      <c r="M103" s="6" t="inlineStr">
        <is>
          <t>TRÚNG</t>
        </is>
      </c>
      <c r="N103" s="7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6" t="inlineStr">
        <is>
          <t>TRÚNG</t>
        </is>
      </c>
      <c r="M104" s="6" t="inlineStr">
        <is>
          <t>TRÚNG</t>
        </is>
      </c>
      <c r="N104" s="7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6" t="inlineStr">
        <is>
          <t>TRÚNG</t>
        </is>
      </c>
      <c r="M105" s="7" t="inlineStr">
        <is>
          <t>KHÔNG</t>
        </is>
      </c>
      <c r="N105" s="7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7" t="inlineStr">
        <is>
          <t>KHÔNG</t>
        </is>
      </c>
      <c r="M106" s="6" t="inlineStr">
        <is>
          <t>TRÚNG</t>
        </is>
      </c>
      <c r="N106" s="7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6" t="inlineStr">
        <is>
          <t>TRÚNG</t>
        </is>
      </c>
      <c r="M107" s="7" t="inlineStr">
        <is>
          <t>KHÔNG</t>
        </is>
      </c>
      <c r="N107" s="7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6" t="inlineStr">
        <is>
          <t>TRÚNG</t>
        </is>
      </c>
      <c r="M108" s="7" t="inlineStr">
        <is>
          <t>KHÔNG</t>
        </is>
      </c>
      <c r="N108" s="7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7" t="inlineStr">
        <is>
          <t>KHÔNG</t>
        </is>
      </c>
      <c r="M109" s="7" t="inlineStr">
        <is>
          <t>KHÔNG</t>
        </is>
      </c>
      <c r="N109" s="7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6" t="inlineStr">
        <is>
          <t>TRÚNG</t>
        </is>
      </c>
      <c r="M110" s="7" t="inlineStr">
        <is>
          <t>KHÔNG</t>
        </is>
      </c>
      <c r="N110" s="7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6" t="inlineStr">
        <is>
          <t>TRÚNG</t>
        </is>
      </c>
      <c r="M111" s="6" t="inlineStr">
        <is>
          <t>TRÚNG</t>
        </is>
      </c>
      <c r="N111" s="7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6" t="inlineStr">
        <is>
          <t>TRÚNG</t>
        </is>
      </c>
      <c r="M112" s="7" t="inlineStr">
        <is>
          <t>KHÔNG</t>
        </is>
      </c>
      <c r="N112" s="7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6" t="inlineStr">
        <is>
          <t>TRÚNG</t>
        </is>
      </c>
      <c r="M113" s="7" t="inlineStr">
        <is>
          <t>KHÔNG</t>
        </is>
      </c>
      <c r="N113" s="7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7" t="inlineStr">
        <is>
          <t>KHÔNG</t>
        </is>
      </c>
      <c r="M114" s="7" t="inlineStr">
        <is>
          <t>KHÔNG</t>
        </is>
      </c>
      <c r="N114" s="7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6" t="inlineStr">
        <is>
          <t>TRÚNG</t>
        </is>
      </c>
      <c r="M115" s="7" t="inlineStr">
        <is>
          <t>KHÔNG</t>
        </is>
      </c>
      <c r="N115" s="6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6" t="inlineStr">
        <is>
          <t>TRÚNG</t>
        </is>
      </c>
      <c r="M116" s="7" t="inlineStr">
        <is>
          <t>KHÔNG</t>
        </is>
      </c>
      <c r="N116" s="6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6" t="inlineStr">
        <is>
          <t>TRÚNG</t>
        </is>
      </c>
      <c r="M117" s="7" t="inlineStr">
        <is>
          <t>KHÔNG</t>
        </is>
      </c>
      <c r="N117" s="7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6" t="inlineStr">
        <is>
          <t>TRÚNG</t>
        </is>
      </c>
      <c r="M118" s="7" t="inlineStr">
        <is>
          <t>KHÔNG</t>
        </is>
      </c>
      <c r="N118" s="7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6" t="inlineStr">
        <is>
          <t>TRÚNG</t>
        </is>
      </c>
      <c r="M119" s="7" t="inlineStr">
        <is>
          <t>KHÔNG</t>
        </is>
      </c>
      <c r="N119" s="6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6" t="inlineStr">
        <is>
          <t>TRÚNG</t>
        </is>
      </c>
      <c r="M120" s="6" t="inlineStr">
        <is>
          <t>TRÚNG</t>
        </is>
      </c>
      <c r="N120" s="7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6" t="inlineStr">
        <is>
          <t>TRÚNG</t>
        </is>
      </c>
      <c r="M121" s="6" t="inlineStr">
        <is>
          <t>TRÚNG</t>
        </is>
      </c>
      <c r="N121" s="6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6" t="inlineStr">
        <is>
          <t>TRÚNG</t>
        </is>
      </c>
      <c r="M122" s="7" t="inlineStr">
        <is>
          <t>KHÔNG</t>
        </is>
      </c>
      <c r="N122" s="7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6" t="inlineStr">
        <is>
          <t>TRÚNG</t>
        </is>
      </c>
      <c r="M123" s="7" t="inlineStr">
        <is>
          <t>KHÔNG</t>
        </is>
      </c>
      <c r="N123" s="6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6" t="inlineStr">
        <is>
          <t>TRÚNG</t>
        </is>
      </c>
      <c r="M124" s="6" t="inlineStr">
        <is>
          <t>TRÚNG</t>
        </is>
      </c>
      <c r="N124" s="6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6" t="inlineStr">
        <is>
          <t>TRÚNG</t>
        </is>
      </c>
      <c r="M125" s="7" t="inlineStr">
        <is>
          <t>KHÔNG</t>
        </is>
      </c>
      <c r="N125" s="6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6" t="inlineStr">
        <is>
          <t>TRÚNG</t>
        </is>
      </c>
      <c r="M126" s="7" t="inlineStr">
        <is>
          <t>KHÔNG</t>
        </is>
      </c>
      <c r="N126" s="6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6" t="inlineStr">
        <is>
          <t>TRÚNG</t>
        </is>
      </c>
      <c r="M127" s="6" t="inlineStr">
        <is>
          <t>TRÚNG</t>
        </is>
      </c>
      <c r="N127" s="6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6" t="inlineStr">
        <is>
          <t>TRÚNG</t>
        </is>
      </c>
      <c r="M128" s="7" t="inlineStr">
        <is>
          <t>KHÔNG</t>
        </is>
      </c>
      <c r="N128" s="6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6" t="inlineStr">
        <is>
          <t>TRÚNG</t>
        </is>
      </c>
      <c r="M129" s="6" t="inlineStr">
        <is>
          <t>TRÚNG</t>
        </is>
      </c>
      <c r="N129" s="6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6" t="inlineStr">
        <is>
          <t>TRÚNG</t>
        </is>
      </c>
      <c r="M130" s="7" t="inlineStr">
        <is>
          <t>KHÔNG</t>
        </is>
      </c>
      <c r="N130" s="6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6" t="inlineStr">
        <is>
          <t>TRÚNG</t>
        </is>
      </c>
      <c r="M131" s="7" t="inlineStr">
        <is>
          <t>KHÔNG</t>
        </is>
      </c>
      <c r="N131" s="6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7" t="inlineStr">
        <is>
          <t>KHÔNG</t>
        </is>
      </c>
      <c r="M132" s="6" t="inlineStr">
        <is>
          <t>TRÚNG</t>
        </is>
      </c>
      <c r="N132" s="7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6" t="inlineStr">
        <is>
          <t>TRÚNG</t>
        </is>
      </c>
      <c r="M133" s="6" t="inlineStr">
        <is>
          <t>TRÚNG</t>
        </is>
      </c>
      <c r="N133" s="6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7" t="inlineStr">
        <is>
          <t>KHÔNG</t>
        </is>
      </c>
      <c r="M134" s="7" t="inlineStr">
        <is>
          <t>KHÔNG</t>
        </is>
      </c>
      <c r="N134" s="7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6" t="inlineStr">
        <is>
          <t>TRÚNG</t>
        </is>
      </c>
      <c r="M135" s="7" t="inlineStr">
        <is>
          <t>KHÔNG</t>
        </is>
      </c>
      <c r="N135" s="7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6" t="inlineStr">
        <is>
          <t>TRÚNG</t>
        </is>
      </c>
      <c r="M136" s="7" t="inlineStr">
        <is>
          <t>KHÔNG</t>
        </is>
      </c>
      <c r="N136" s="7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6" t="inlineStr">
        <is>
          <t>TRÚNG</t>
        </is>
      </c>
      <c r="M137" s="6" t="inlineStr">
        <is>
          <t>TRÚNG</t>
        </is>
      </c>
      <c r="N137" s="6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6" t="inlineStr">
        <is>
          <t>TRÚNG</t>
        </is>
      </c>
      <c r="M138" s="7" t="inlineStr">
        <is>
          <t>KHÔNG</t>
        </is>
      </c>
      <c r="N138" s="6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6" t="inlineStr">
        <is>
          <t>TRÚNG</t>
        </is>
      </c>
      <c r="M139" s="7" t="inlineStr">
        <is>
          <t>KHÔNG</t>
        </is>
      </c>
      <c r="N139" s="6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6" t="inlineStr">
        <is>
          <t>TRÚNG</t>
        </is>
      </c>
      <c r="M140" s="7" t="inlineStr">
        <is>
          <t>KHÔNG</t>
        </is>
      </c>
      <c r="N140" s="6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6" t="inlineStr">
        <is>
          <t>TRÚNG</t>
        </is>
      </c>
      <c r="M141" s="7" t="inlineStr">
        <is>
          <t>KHÔNG</t>
        </is>
      </c>
      <c r="N141" s="7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6" t="inlineStr">
        <is>
          <t>TRÚNG</t>
        </is>
      </c>
      <c r="M142" s="7" t="inlineStr">
        <is>
          <t>KHÔNG</t>
        </is>
      </c>
      <c r="N142" s="6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6" t="inlineStr">
        <is>
          <t>TRÚNG</t>
        </is>
      </c>
      <c r="M143" s="7" t="inlineStr">
        <is>
          <t>KHÔNG</t>
        </is>
      </c>
      <c r="N143" s="6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6" t="inlineStr">
        <is>
          <t>TRÚNG</t>
        </is>
      </c>
      <c r="M144" s="6" t="inlineStr">
        <is>
          <t>TRÚNG</t>
        </is>
      </c>
      <c r="N144" s="7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6" t="inlineStr">
        <is>
          <t>TRÚNG</t>
        </is>
      </c>
      <c r="M145" s="7" t="inlineStr">
        <is>
          <t>KHÔNG</t>
        </is>
      </c>
      <c r="N145" s="6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6" t="inlineStr">
        <is>
          <t>TRÚNG</t>
        </is>
      </c>
      <c r="M146" s="6" t="inlineStr">
        <is>
          <t>TRÚNG</t>
        </is>
      </c>
      <c r="N146" s="6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6" t="inlineStr">
        <is>
          <t>TRÚNG</t>
        </is>
      </c>
      <c r="M147" s="7" t="inlineStr">
        <is>
          <t>KHÔNG</t>
        </is>
      </c>
      <c r="N147" s="7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7" t="inlineStr">
        <is>
          <t>KHÔNG</t>
        </is>
      </c>
      <c r="M148" s="7" t="inlineStr">
        <is>
          <t>KHÔNG</t>
        </is>
      </c>
      <c r="N148" s="7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6" t="inlineStr">
        <is>
          <t>TRÚNG</t>
        </is>
      </c>
      <c r="M149" s="7" t="inlineStr">
        <is>
          <t>KHÔNG</t>
        </is>
      </c>
      <c r="N149" s="6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6" t="inlineStr">
        <is>
          <t>TRÚNG</t>
        </is>
      </c>
      <c r="M150" s="7" t="inlineStr">
        <is>
          <t>KHÔNG</t>
        </is>
      </c>
      <c r="N150" s="7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6" t="inlineStr">
        <is>
          <t>TRÚNG</t>
        </is>
      </c>
      <c r="M151" s="7" t="inlineStr">
        <is>
          <t>KHÔNG</t>
        </is>
      </c>
      <c r="N151" s="7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6" t="inlineStr">
        <is>
          <t>TRÚNG</t>
        </is>
      </c>
      <c r="M152" s="7" t="inlineStr">
        <is>
          <t>KHÔNG</t>
        </is>
      </c>
      <c r="N152" s="6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6" t="inlineStr">
        <is>
          <t>TRÚNG</t>
        </is>
      </c>
      <c r="M153" s="7" t="inlineStr">
        <is>
          <t>KHÔNG</t>
        </is>
      </c>
      <c r="N153" s="6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6" t="inlineStr">
        <is>
          <t>TRÚNG</t>
        </is>
      </c>
      <c r="M154" s="7" t="inlineStr">
        <is>
          <t>KHÔNG</t>
        </is>
      </c>
      <c r="N154" s="7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6" t="inlineStr">
        <is>
          <t>TRÚNG</t>
        </is>
      </c>
      <c r="M155" s="7" t="inlineStr">
        <is>
          <t>KHÔNG</t>
        </is>
      </c>
      <c r="N155" s="7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6" t="inlineStr">
        <is>
          <t>TRÚNG</t>
        </is>
      </c>
      <c r="M156" s="7" t="inlineStr">
        <is>
          <t>KHÔNG</t>
        </is>
      </c>
      <c r="N156" s="6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6" t="inlineStr">
        <is>
          <t>TRÚNG</t>
        </is>
      </c>
      <c r="M157" s="7" t="inlineStr">
        <is>
          <t>KHÔNG</t>
        </is>
      </c>
      <c r="N157" s="7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6" t="inlineStr">
        <is>
          <t>TRÚNG</t>
        </is>
      </c>
      <c r="M158" s="7" t="inlineStr">
        <is>
          <t>KHÔNG</t>
        </is>
      </c>
      <c r="N158" s="7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6" t="inlineStr">
        <is>
          <t>TRÚNG</t>
        </is>
      </c>
      <c r="M159" s="7" t="inlineStr">
        <is>
          <t>KHÔNG</t>
        </is>
      </c>
      <c r="N159" s="7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6" t="inlineStr">
        <is>
          <t>TRÚNG</t>
        </is>
      </c>
      <c r="M160" s="6" t="inlineStr">
        <is>
          <t>TRÚNG</t>
        </is>
      </c>
      <c r="N160" s="6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6" t="inlineStr">
        <is>
          <t>TRÚNG</t>
        </is>
      </c>
      <c r="M161" s="6" t="inlineStr">
        <is>
          <t>TRÚNG</t>
        </is>
      </c>
      <c r="N161" s="6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6" t="inlineStr">
        <is>
          <t>TRÚNG</t>
        </is>
      </c>
      <c r="M162" s="7" t="inlineStr">
        <is>
          <t>KHÔNG</t>
        </is>
      </c>
      <c r="N162" s="7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6" t="inlineStr">
        <is>
          <t>TRÚNG</t>
        </is>
      </c>
      <c r="M163" s="7" t="inlineStr">
        <is>
          <t>KHÔNG</t>
        </is>
      </c>
      <c r="N163" s="6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6" t="inlineStr">
        <is>
          <t>TRÚNG</t>
        </is>
      </c>
      <c r="M164" s="7" t="inlineStr">
        <is>
          <t>KHÔNG</t>
        </is>
      </c>
      <c r="N164" s="7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6" t="inlineStr">
        <is>
          <t>TRÚNG</t>
        </is>
      </c>
      <c r="M165" s="7" t="inlineStr">
        <is>
          <t>KHÔNG</t>
        </is>
      </c>
      <c r="N165" s="6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6" t="inlineStr">
        <is>
          <t>TRÚNG</t>
        </is>
      </c>
      <c r="M166" s="7" t="inlineStr">
        <is>
          <t>KHÔNG</t>
        </is>
      </c>
      <c r="N166" s="7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6" t="inlineStr">
        <is>
          <t>TRÚNG</t>
        </is>
      </c>
      <c r="M167" s="7" t="inlineStr">
        <is>
          <t>KHÔNG</t>
        </is>
      </c>
      <c r="N167" s="7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6" t="inlineStr">
        <is>
          <t>TRÚNG</t>
        </is>
      </c>
      <c r="M168" s="7" t="inlineStr">
        <is>
          <t>KHÔNG</t>
        </is>
      </c>
      <c r="N168" s="6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6" t="inlineStr">
        <is>
          <t>TRÚNG</t>
        </is>
      </c>
      <c r="M169" s="7" t="inlineStr">
        <is>
          <t>KHÔNG</t>
        </is>
      </c>
      <c r="N169" s="7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6" t="inlineStr">
        <is>
          <t>TRÚNG</t>
        </is>
      </c>
      <c r="M170" s="7" t="inlineStr">
        <is>
          <t>KHÔNG</t>
        </is>
      </c>
      <c r="N170" s="7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6" t="inlineStr">
        <is>
          <t>TRÚNG</t>
        </is>
      </c>
      <c r="M171" s="7" t="inlineStr">
        <is>
          <t>KHÔNG</t>
        </is>
      </c>
      <c r="N171" s="7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6" t="inlineStr">
        <is>
          <t>TRÚNG</t>
        </is>
      </c>
      <c r="M172" s="7" t="inlineStr">
        <is>
          <t>KHÔNG</t>
        </is>
      </c>
      <c r="N172" s="6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6" t="inlineStr">
        <is>
          <t>TRÚNG</t>
        </is>
      </c>
      <c r="M173" s="7" t="inlineStr">
        <is>
          <t>KHÔNG</t>
        </is>
      </c>
      <c r="N173" s="7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6" t="inlineStr">
        <is>
          <t>TRÚNG</t>
        </is>
      </c>
      <c r="M174" s="7" t="inlineStr">
        <is>
          <t>KHÔNG</t>
        </is>
      </c>
      <c r="N174" s="7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6" t="inlineStr">
        <is>
          <t>TRÚNG</t>
        </is>
      </c>
      <c r="M175" s="7" t="inlineStr">
        <is>
          <t>KHÔNG</t>
        </is>
      </c>
      <c r="N175" s="6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6" t="inlineStr">
        <is>
          <t>TRÚNG</t>
        </is>
      </c>
      <c r="M176" s="7" t="inlineStr">
        <is>
          <t>KHÔNG</t>
        </is>
      </c>
      <c r="N176" s="6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7" t="inlineStr">
        <is>
          <t>KHÔNG</t>
        </is>
      </c>
      <c r="M177" s="7" t="inlineStr">
        <is>
          <t>KHÔNG</t>
        </is>
      </c>
      <c r="N177" s="7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6" t="inlineStr">
        <is>
          <t>TRÚNG</t>
        </is>
      </c>
      <c r="M178" s="7" t="inlineStr">
        <is>
          <t>KHÔNG</t>
        </is>
      </c>
      <c r="N178" s="6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6" t="inlineStr">
        <is>
          <t>TRÚNG</t>
        </is>
      </c>
      <c r="M179" s="7" t="inlineStr">
        <is>
          <t>KHÔNG</t>
        </is>
      </c>
      <c r="N179" s="6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6" t="inlineStr">
        <is>
          <t>TRÚNG</t>
        </is>
      </c>
      <c r="M180" s="7" t="inlineStr">
        <is>
          <t>KHÔNG</t>
        </is>
      </c>
      <c r="N180" s="7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6" t="inlineStr">
        <is>
          <t>TRÚNG</t>
        </is>
      </c>
      <c r="M181" s="6" t="inlineStr">
        <is>
          <t>TRÚNG</t>
        </is>
      </c>
      <c r="N181" s="6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6" t="inlineStr">
        <is>
          <t>TRÚNG</t>
        </is>
      </c>
      <c r="M182" s="7" t="inlineStr">
        <is>
          <t>KHÔNG</t>
        </is>
      </c>
      <c r="N182" s="7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6" t="inlineStr">
        <is>
          <t>TRÚNG</t>
        </is>
      </c>
      <c r="M183" s="6" t="inlineStr">
        <is>
          <t>TRÚNG</t>
        </is>
      </c>
      <c r="N183" s="7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7" t="inlineStr">
        <is>
          <t>KHÔNG</t>
        </is>
      </c>
      <c r="M184" s="7" t="inlineStr">
        <is>
          <t>KHÔNG</t>
        </is>
      </c>
      <c r="N184" s="7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6" t="inlineStr">
        <is>
          <t>TRÚNG</t>
        </is>
      </c>
      <c r="M185" s="7" t="inlineStr">
        <is>
          <t>KHÔNG</t>
        </is>
      </c>
      <c r="N185" s="6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6" t="inlineStr">
        <is>
          <t>TRÚNG</t>
        </is>
      </c>
      <c r="M186" s="7" t="inlineStr">
        <is>
          <t>KHÔNG</t>
        </is>
      </c>
      <c r="N186" s="6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6" t="inlineStr">
        <is>
          <t>TRÚNG</t>
        </is>
      </c>
      <c r="M187" s="7" t="inlineStr">
        <is>
          <t>KHÔNG</t>
        </is>
      </c>
      <c r="N187" s="7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6" t="inlineStr">
        <is>
          <t>TRÚNG</t>
        </is>
      </c>
      <c r="M188" s="6" t="inlineStr">
        <is>
          <t>TRÚNG</t>
        </is>
      </c>
      <c r="N188" s="7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6" t="inlineStr">
        <is>
          <t>TRÚNG</t>
        </is>
      </c>
      <c r="M189" s="7" t="inlineStr">
        <is>
          <t>KHÔNG</t>
        </is>
      </c>
      <c r="N189" s="7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6" t="inlineStr">
        <is>
          <t>TRÚNG</t>
        </is>
      </c>
      <c r="M190" s="7" t="inlineStr">
        <is>
          <t>KHÔNG</t>
        </is>
      </c>
      <c r="N190" s="7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6" t="inlineStr">
        <is>
          <t>TRÚNG</t>
        </is>
      </c>
      <c r="M191" s="7" t="inlineStr">
        <is>
          <t>KHÔNG</t>
        </is>
      </c>
      <c r="N191" s="7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6" t="inlineStr">
        <is>
          <t>TRÚNG</t>
        </is>
      </c>
      <c r="M192" s="7" t="inlineStr">
        <is>
          <t>KHÔNG</t>
        </is>
      </c>
      <c r="N192" s="7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6" t="inlineStr">
        <is>
          <t>TRÚNG</t>
        </is>
      </c>
      <c r="M193" s="7" t="inlineStr">
        <is>
          <t>KHÔNG</t>
        </is>
      </c>
      <c r="N193" s="7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6" t="inlineStr">
        <is>
          <t>TRÚNG</t>
        </is>
      </c>
      <c r="M194" s="7" t="inlineStr">
        <is>
          <t>KHÔNG</t>
        </is>
      </c>
      <c r="N194" s="7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7" t="inlineStr">
        <is>
          <t>KHÔNG</t>
        </is>
      </c>
      <c r="M195" s="7" t="inlineStr">
        <is>
          <t>KHÔNG</t>
        </is>
      </c>
      <c r="N195" s="7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6" t="inlineStr">
        <is>
          <t>TRÚNG</t>
        </is>
      </c>
      <c r="M196" s="7" t="inlineStr">
        <is>
          <t>KHÔNG</t>
        </is>
      </c>
      <c r="N196" s="6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6" t="inlineStr">
        <is>
          <t>TRÚNG</t>
        </is>
      </c>
      <c r="M197" s="7" t="inlineStr">
        <is>
          <t>KHÔNG</t>
        </is>
      </c>
      <c r="N197" s="6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6" t="inlineStr">
        <is>
          <t>TRÚNG</t>
        </is>
      </c>
      <c r="M198" s="7" t="inlineStr">
        <is>
          <t>KHÔNG</t>
        </is>
      </c>
      <c r="N198" s="6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6" t="inlineStr">
        <is>
          <t>TRÚNG</t>
        </is>
      </c>
      <c r="M199" s="6" t="inlineStr">
        <is>
          <t>TRÚNG</t>
        </is>
      </c>
      <c r="N199" s="6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6" t="inlineStr">
        <is>
          <t>TRÚNG</t>
        </is>
      </c>
      <c r="M200" s="6" t="inlineStr">
        <is>
          <t>TRÚNG</t>
        </is>
      </c>
      <c r="N200" s="6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6" t="inlineStr">
        <is>
          <t>TRÚNG</t>
        </is>
      </c>
      <c r="M201" s="7" t="inlineStr">
        <is>
          <t>KHÔNG</t>
        </is>
      </c>
      <c r="N201" s="6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6" t="inlineStr">
        <is>
          <t>TRÚNG</t>
        </is>
      </c>
      <c r="M202" s="7" t="inlineStr">
        <is>
          <t>KHÔNG</t>
        </is>
      </c>
      <c r="N202" s="7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6" t="inlineStr">
        <is>
          <t>TRÚNG</t>
        </is>
      </c>
      <c r="M203" s="6" t="inlineStr">
        <is>
          <t>TRÚNG</t>
        </is>
      </c>
      <c r="N203" s="6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6" t="inlineStr">
        <is>
          <t>TRÚNG</t>
        </is>
      </c>
      <c r="M204" s="7" t="inlineStr">
        <is>
          <t>KHÔNG</t>
        </is>
      </c>
      <c r="N204" s="6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6" t="inlineStr">
        <is>
          <t>TRÚNG</t>
        </is>
      </c>
      <c r="M205" s="7" t="inlineStr">
        <is>
          <t>KHÔNG</t>
        </is>
      </c>
      <c r="N205" s="6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6" t="inlineStr">
        <is>
          <t>TRÚNG</t>
        </is>
      </c>
      <c r="M206" s="7" t="inlineStr">
        <is>
          <t>KHÔNG</t>
        </is>
      </c>
      <c r="N206" s="6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6" t="inlineStr">
        <is>
          <t>TRÚNG</t>
        </is>
      </c>
      <c r="M207" s="7" t="inlineStr">
        <is>
          <t>KHÔNG</t>
        </is>
      </c>
      <c r="N207" s="7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6" t="inlineStr">
        <is>
          <t>TRÚNG</t>
        </is>
      </c>
      <c r="M208" s="7" t="inlineStr">
        <is>
          <t>KHÔNG</t>
        </is>
      </c>
      <c r="N208" s="6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6" t="inlineStr">
        <is>
          <t>TRÚNG</t>
        </is>
      </c>
      <c r="M209" s="7" t="inlineStr">
        <is>
          <t>KHÔNG</t>
        </is>
      </c>
      <c r="N209" s="6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6" t="inlineStr">
        <is>
          <t>TRÚNG</t>
        </is>
      </c>
      <c r="M210" s="7" t="inlineStr">
        <is>
          <t>KHÔNG</t>
        </is>
      </c>
      <c r="N210" s="6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7" t="inlineStr">
        <is>
          <t>KHÔNG</t>
        </is>
      </c>
      <c r="M211" s="6" t="inlineStr">
        <is>
          <t>TRÚNG</t>
        </is>
      </c>
      <c r="N211" s="7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6" t="inlineStr">
        <is>
          <t>TRÚNG</t>
        </is>
      </c>
      <c r="M212" s="6" t="inlineStr">
        <is>
          <t>TRÚNG</t>
        </is>
      </c>
      <c r="N212" s="6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6" t="inlineStr">
        <is>
          <t>TRÚNG</t>
        </is>
      </c>
      <c r="M213" s="7" t="inlineStr">
        <is>
          <t>KHÔNG</t>
        </is>
      </c>
      <c r="N213" s="6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6" t="inlineStr">
        <is>
          <t>TRÚNG</t>
        </is>
      </c>
      <c r="M214" s="7" t="inlineStr">
        <is>
          <t>KHÔNG</t>
        </is>
      </c>
      <c r="N214" s="6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6" t="inlineStr">
        <is>
          <t>TRÚNG</t>
        </is>
      </c>
      <c r="M215" s="7" t="inlineStr">
        <is>
          <t>KHÔNG</t>
        </is>
      </c>
      <c r="N215" s="7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6" t="inlineStr">
        <is>
          <t>TRÚNG</t>
        </is>
      </c>
      <c r="M216" s="7" t="inlineStr">
        <is>
          <t>KHÔNG</t>
        </is>
      </c>
      <c r="N216" s="6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6" t="inlineStr">
        <is>
          <t>TRÚNG</t>
        </is>
      </c>
      <c r="M217" s="7" t="inlineStr">
        <is>
          <t>KHÔNG</t>
        </is>
      </c>
      <c r="N217" s="7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6" t="inlineStr">
        <is>
          <t>TRÚNG</t>
        </is>
      </c>
      <c r="M218" s="7" t="inlineStr">
        <is>
          <t>KHÔNG</t>
        </is>
      </c>
      <c r="N218" s="7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7" t="inlineStr">
        <is>
          <t>KHÔNG</t>
        </is>
      </c>
      <c r="M219" s="7" t="inlineStr">
        <is>
          <t>KHÔNG</t>
        </is>
      </c>
      <c r="N219" s="7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6" t="inlineStr">
        <is>
          <t>TRÚNG</t>
        </is>
      </c>
      <c r="M220" s="7" t="inlineStr">
        <is>
          <t>KHÔNG</t>
        </is>
      </c>
      <c r="N220" s="7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6" t="inlineStr">
        <is>
          <t>TRÚNG</t>
        </is>
      </c>
      <c r="M221" s="7" t="inlineStr">
        <is>
          <t>KHÔNG</t>
        </is>
      </c>
      <c r="N221" s="7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7" t="inlineStr">
        <is>
          <t>KHÔNG</t>
        </is>
      </c>
      <c r="M222" s="6" t="inlineStr">
        <is>
          <t>TRÚNG</t>
        </is>
      </c>
      <c r="N222" s="7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7" t="inlineStr">
        <is>
          <t>KHÔNG</t>
        </is>
      </c>
      <c r="M223" s="7" t="inlineStr">
        <is>
          <t>KHÔNG</t>
        </is>
      </c>
      <c r="N223" s="7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6" t="inlineStr">
        <is>
          <t>TRÚNG</t>
        </is>
      </c>
      <c r="M224" s="7" t="inlineStr">
        <is>
          <t>KHÔNG</t>
        </is>
      </c>
      <c r="N224" s="7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6" t="inlineStr">
        <is>
          <t>TRÚNG</t>
        </is>
      </c>
      <c r="M225" s="6" t="inlineStr">
        <is>
          <t>TRÚNG</t>
        </is>
      </c>
      <c r="N225" s="7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6" t="inlineStr">
        <is>
          <t>TRÚNG</t>
        </is>
      </c>
      <c r="M226" s="7" t="inlineStr">
        <is>
          <t>KHÔNG</t>
        </is>
      </c>
      <c r="N226" s="7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6" t="inlineStr">
        <is>
          <t>TRÚNG</t>
        </is>
      </c>
      <c r="M227" s="7" t="inlineStr">
        <is>
          <t>KHÔNG</t>
        </is>
      </c>
      <c r="N227" s="6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6" t="inlineStr">
        <is>
          <t>TRÚNG</t>
        </is>
      </c>
      <c r="M228" s="7" t="inlineStr">
        <is>
          <t>KHÔNG</t>
        </is>
      </c>
      <c r="N228" s="7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7" t="inlineStr">
        <is>
          <t>KHÔNG</t>
        </is>
      </c>
      <c r="M229" s="7" t="inlineStr">
        <is>
          <t>KHÔNG</t>
        </is>
      </c>
      <c r="N229" s="7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6" t="inlineStr">
        <is>
          <t>TRÚNG</t>
        </is>
      </c>
      <c r="M230" s="7" t="inlineStr">
        <is>
          <t>KHÔNG</t>
        </is>
      </c>
      <c r="N230" s="7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6" t="inlineStr">
        <is>
          <t>TRÚNG</t>
        </is>
      </c>
      <c r="M231" s="7" t="inlineStr">
        <is>
          <t>KHÔNG</t>
        </is>
      </c>
      <c r="N231" s="6" t="inlineStr">
        <is>
          <t>TRÚNG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6" t="inlineStr">
        <is>
          <t>TRÚNG</t>
        </is>
      </c>
      <c r="M232" s="7" t="inlineStr">
        <is>
          <t>KHÔNG</t>
        </is>
      </c>
      <c r="N232" s="7" t="inlineStr">
        <is>
          <t>KHÔNG</t>
        </is>
      </c>
    </row>
    <row r="233">
      <c r="A233" s="2" t="n">
        <v>226</v>
      </c>
      <c r="B233" s="2" t="inlineStr">
        <is>
          <t>Thứ ba ngày 18-08-2026 (Thứ Ba)</t>
        </is>
      </c>
      <c r="C233" s="3" t="inlineStr">
        <is>
          <t>51</t>
        </is>
      </c>
      <c r="D233" s="3" t="inlineStr">
        <is>
          <t>04</t>
        </is>
      </c>
      <c r="E233" s="3" t="inlineStr">
        <is>
          <t>92</t>
        </is>
      </c>
      <c r="F233" s="3" t="inlineStr">
        <is>
          <t>13</t>
        </is>
      </c>
      <c r="G233" s="3" t="inlineStr">
        <is>
          <t>0123459</t>
        </is>
      </c>
      <c r="H233" s="3" t="inlineStr">
        <is>
          <t>T1, T4, T6, T9</t>
        </is>
      </c>
      <c r="I233" s="3" t="inlineStr">
        <is>
          <t>T8-B3</t>
        </is>
      </c>
      <c r="J233" s="3" t="inlineStr">
        <is>
          <t>36 con</t>
        </is>
      </c>
      <c r="K233" s="3" t="inlineStr">
        <is>
          <t>43</t>
        </is>
      </c>
      <c r="L233" s="6" t="inlineStr">
        <is>
          <t>TRÚNG</t>
        </is>
      </c>
      <c r="M233" s="7" t="inlineStr">
        <is>
          <t>KHÔNG</t>
        </is>
      </c>
      <c r="N233" s="7" t="inlineStr">
        <is>
          <t>KHÔNG</t>
        </is>
      </c>
    </row>
    <row r="234">
      <c r="A234" s="2" t="n">
        <v>227</v>
      </c>
      <c r="B234" s="2" t="inlineStr">
        <is>
          <t>Thứ tư ngày 19-08-2026 (Thứ Tư)</t>
        </is>
      </c>
      <c r="C234" s="3" t="inlineStr">
        <is>
          <t>19</t>
        </is>
      </c>
      <c r="D234" s="3" t="inlineStr">
        <is>
          <t>11</t>
        </is>
      </c>
      <c r="E234" s="3" t="inlineStr">
        <is>
          <t>73</t>
        </is>
      </c>
      <c r="F234" s="3" t="inlineStr">
        <is>
          <t>54</t>
        </is>
      </c>
      <c r="G234" s="3" t="inlineStr">
        <is>
          <t>134579</t>
        </is>
      </c>
      <c r="H234" s="3" t="inlineStr">
        <is>
          <t>T0, T2, T4, T5, T7, T9</t>
        </is>
      </c>
      <c r="I234" s="3" t="inlineStr">
        <is>
          <t>T5-B0</t>
        </is>
      </c>
      <c r="J234" s="3" t="inlineStr">
        <is>
          <t>51 con</t>
        </is>
      </c>
      <c r="K234" s="3" t="inlineStr">
        <is>
          <t>23</t>
        </is>
      </c>
      <c r="L234" s="6" t="inlineStr">
        <is>
          <t>TRÚNG</t>
        </is>
      </c>
      <c r="M234" s="6" t="inlineStr">
        <is>
          <t>TRÚNG</t>
        </is>
      </c>
      <c r="N234" s="6" t="inlineStr">
        <is>
          <t>TRÚNG</t>
        </is>
      </c>
    </row>
    <row r="235">
      <c r="A235" s="2" t="n">
        <v>228</v>
      </c>
      <c r="B235" s="2" t="inlineStr">
        <is>
          <t>Thứ năm ngày 20-08-2026 (Thứ Năm)</t>
        </is>
      </c>
      <c r="C235" s="3" t="inlineStr">
        <is>
          <t>88</t>
        </is>
      </c>
      <c r="D235" s="3" t="inlineStr">
        <is>
          <t>34</t>
        </is>
      </c>
      <c r="E235" s="3" t="inlineStr">
        <is>
          <t>47</t>
        </is>
      </c>
      <c r="F235" s="3" t="inlineStr">
        <is>
          <t>00</t>
        </is>
      </c>
      <c r="G235" s="3" t="inlineStr">
        <is>
          <t>03478</t>
        </is>
      </c>
      <c r="H235" s="3" t="inlineStr">
        <is>
          <t>T0, T1, T2, T5, T6, T7</t>
        </is>
      </c>
      <c r="I235" s="3" t="inlineStr">
        <is>
          <t>T8-B3</t>
        </is>
      </c>
      <c r="J235" s="3" t="inlineStr">
        <is>
          <t>43 con</t>
        </is>
      </c>
      <c r="K235" s="3" t="inlineStr">
        <is>
          <t>33</t>
        </is>
      </c>
      <c r="L235" s="6" t="inlineStr">
        <is>
          <t>TRÚNG</t>
        </is>
      </c>
      <c r="M235" s="7" t="inlineStr">
        <is>
          <t>KHÔNG</t>
        </is>
      </c>
      <c r="N235" s="6" t="inlineStr">
        <is>
          <t>TRÚNG</t>
        </is>
      </c>
    </row>
    <row r="236">
      <c r="A236" s="2" t="n">
        <v>229</v>
      </c>
      <c r="B236" s="2" t="inlineStr">
        <is>
          <t>Thứ sáu ngày 21-08-2026 (Thứ Sáu)</t>
        </is>
      </c>
      <c r="C236" s="3" t="inlineStr">
        <is>
          <t>95</t>
        </is>
      </c>
      <c r="D236" s="3" t="inlineStr">
        <is>
          <t>35</t>
        </is>
      </c>
      <c r="E236" s="3" t="inlineStr">
        <is>
          <t>99</t>
        </is>
      </c>
      <c r="F236" s="3" t="inlineStr">
        <is>
          <t>67</t>
        </is>
      </c>
      <c r="G236" s="3" t="inlineStr">
        <is>
          <t>35679</t>
        </is>
      </c>
      <c r="H236" s="3" t="inlineStr">
        <is>
          <t>T3, T4, T8, T9</t>
        </is>
      </c>
      <c r="I236" s="3" t="inlineStr">
        <is>
          <t>T6-B1</t>
        </is>
      </c>
      <c r="J236" s="3" t="inlineStr">
        <is>
          <t>30 con</t>
        </is>
      </c>
      <c r="K236" s="3" t="inlineStr">
        <is>
          <t>13</t>
        </is>
      </c>
      <c r="L236" s="6" t="inlineStr">
        <is>
          <t>TRÚNG</t>
        </is>
      </c>
      <c r="M236" s="7" t="inlineStr">
        <is>
          <t>KHÔNG</t>
        </is>
      </c>
      <c r="N236" s="6" t="inlineStr">
        <is>
          <t>TRÚNG</t>
        </is>
      </c>
    </row>
    <row r="237">
      <c r="A237" s="2" t="n">
        <v>230</v>
      </c>
      <c r="B237" s="2" t="inlineStr">
        <is>
          <t>Thứ bảy ngày 22-08-2026 (Thứ Bảy)</t>
        </is>
      </c>
      <c r="C237" s="3" t="inlineStr">
        <is>
          <t>26</t>
        </is>
      </c>
      <c r="D237" s="3" t="inlineStr">
        <is>
          <t>09</t>
        </is>
      </c>
      <c r="E237" s="3" t="inlineStr">
        <is>
          <t>06</t>
        </is>
      </c>
      <c r="F237" s="3" t="inlineStr">
        <is>
          <t>64</t>
        </is>
      </c>
      <c r="G237" s="3" t="inlineStr">
        <is>
          <t>02469</t>
        </is>
      </c>
      <c r="H237" s="3" t="inlineStr">
        <is>
          <t>T0, T1, T3, T4, T5, T6, T8, T9</t>
        </is>
      </c>
      <c r="I237" s="3" t="inlineStr">
        <is>
          <t>T6-B1</t>
        </is>
      </c>
      <c r="J237" s="3" t="inlineStr">
        <is>
          <t>58 con</t>
        </is>
      </c>
      <c r="K237" s="3" t="inlineStr">
        <is>
          <t>38</t>
        </is>
      </c>
      <c r="L237" s="7" t="inlineStr">
        <is>
          <t>KHÔNG</t>
        </is>
      </c>
      <c r="M237" s="6" t="inlineStr">
        <is>
          <t>TRÚNG</t>
        </is>
      </c>
      <c r="N237" s="7" t="inlineStr">
        <is>
          <t>KHÔNG</t>
        </is>
      </c>
    </row>
    <row r="238">
      <c r="A238" s="2" t="n">
        <v>231</v>
      </c>
      <c r="B238" s="2" t="inlineStr">
        <is>
          <t>Chủ nhật ngày 23-08-2026 (Chủ Nhật)</t>
        </is>
      </c>
      <c r="C238" s="3" t="inlineStr">
        <is>
          <t>68</t>
        </is>
      </c>
      <c r="D238" s="3" t="inlineStr">
        <is>
          <t>87</t>
        </is>
      </c>
      <c r="E238" s="3" t="inlineStr">
        <is>
          <t>38</t>
        </is>
      </c>
      <c r="F238" s="3" t="inlineStr">
        <is>
          <t>99</t>
        </is>
      </c>
      <c r="G238" s="3" t="inlineStr">
        <is>
          <t>36789</t>
        </is>
      </c>
      <c r="H238" s="3" t="inlineStr">
        <is>
          <t>T0, T1, T3, T4, T5, T6, T8, T9</t>
        </is>
      </c>
      <c r="I238" s="3" t="inlineStr">
        <is>
          <t>T5-B0</t>
        </is>
      </c>
      <c r="J238" s="3" t="inlineStr">
        <is>
          <t>60 con</t>
        </is>
      </c>
      <c r="K238" s="3" t="inlineStr">
        <is>
          <t>17</t>
        </is>
      </c>
      <c r="L238" s="6" t="inlineStr">
        <is>
          <t>TRÚNG</t>
        </is>
      </c>
      <c r="M238" s="7" t="inlineStr">
        <is>
          <t>KHÔNG</t>
        </is>
      </c>
      <c r="N238" s="6" t="inlineStr">
        <is>
          <t>TRÚNG</t>
        </is>
      </c>
    </row>
    <row r="239">
      <c r="A239" s="2" t="n">
        <v>232</v>
      </c>
      <c r="B239" s="2" t="inlineStr">
        <is>
          <t>Thứ hai ngày 24-08-2026 (Thứ Hai)</t>
        </is>
      </c>
      <c r="C239" s="3" t="inlineStr">
        <is>
          <t>19</t>
        </is>
      </c>
      <c r="D239" s="3" t="inlineStr">
        <is>
          <t>85</t>
        </is>
      </c>
      <c r="E239" s="3" t="inlineStr">
        <is>
          <t>40</t>
        </is>
      </c>
      <c r="F239" s="3" t="inlineStr">
        <is>
          <t>71</t>
        </is>
      </c>
      <c r="G239" s="3" t="inlineStr">
        <is>
          <t>0145789</t>
        </is>
      </c>
      <c r="H239" s="3" t="inlineStr">
        <is>
          <t>T0, T3, T4, T5, T8, T9</t>
        </is>
      </c>
      <c r="I239" s="3" t="inlineStr">
        <is>
          <t>T2-B7</t>
        </is>
      </c>
      <c r="J239" s="3" t="inlineStr">
        <is>
          <t>53 con</t>
        </is>
      </c>
      <c r="K239" s="3" t="inlineStr">
        <is>
          <t>80</t>
        </is>
      </c>
      <c r="L239" s="6" t="inlineStr">
        <is>
          <t>TRÚNG</t>
        </is>
      </c>
      <c r="M239" s="7" t="inlineStr">
        <is>
          <t>KHÔNG</t>
        </is>
      </c>
      <c r="N239" s="6" t="inlineStr">
        <is>
          <t>TRÚNG</t>
        </is>
      </c>
    </row>
    <row r="240">
      <c r="A240" s="2" t="n">
        <v>233</v>
      </c>
      <c r="B240" s="2" t="inlineStr">
        <is>
          <t>Thứ ba ngày 25-08-2026 (Thứ Ba)</t>
        </is>
      </c>
      <c r="C240" s="3" t="inlineStr">
        <is>
          <t>91</t>
        </is>
      </c>
      <c r="D240" s="3" t="inlineStr">
        <is>
          <t>09</t>
        </is>
      </c>
      <c r="E240" s="3" t="inlineStr">
        <is>
          <t>45</t>
        </is>
      </c>
      <c r="F240" s="3" t="inlineStr">
        <is>
          <t>84</t>
        </is>
      </c>
      <c r="G240" s="3" t="inlineStr">
        <is>
          <t>014589</t>
        </is>
      </c>
      <c r="H240" s="3" t="inlineStr">
        <is>
          <t>T0, T2, T4, T5, T7, T9</t>
        </is>
      </c>
      <c r="I240" s="3" t="inlineStr">
        <is>
          <t>T3-B8</t>
        </is>
      </c>
      <c r="J240" s="3" t="inlineStr">
        <is>
          <t>49 con</t>
        </is>
      </c>
      <c r="K240" s="3" t="inlineStr">
        <is>
          <t>61</t>
        </is>
      </c>
      <c r="L240" s="6" t="inlineStr">
        <is>
          <t>TRÚNG</t>
        </is>
      </c>
      <c r="M240" s="7" t="inlineStr">
        <is>
          <t>KHÔNG</t>
        </is>
      </c>
      <c r="N240" s="6" t="inlineStr">
        <is>
          <t>TRÚNG</t>
        </is>
      </c>
    </row>
    <row r="241">
      <c r="A241" s="2" t="n">
        <v>234</v>
      </c>
      <c r="B241" s="2" t="inlineStr">
        <is>
          <t>Thứ tư ngày 26-08-2026 (Thứ Tư)</t>
        </is>
      </c>
      <c r="C241" s="3" t="inlineStr">
        <is>
          <t>23</t>
        </is>
      </c>
      <c r="D241" s="3" t="inlineStr">
        <is>
          <t>68</t>
        </is>
      </c>
      <c r="E241" s="3" t="inlineStr">
        <is>
          <t>96</t>
        </is>
      </c>
      <c r="F241" s="3" t="inlineStr">
        <is>
          <t>69</t>
        </is>
      </c>
      <c r="G241" s="3" t="inlineStr">
        <is>
          <t>23689</t>
        </is>
      </c>
      <c r="H241" s="3" t="inlineStr">
        <is>
          <t>T0, T4, T5, T9</t>
        </is>
      </c>
      <c r="I241" s="3" t="inlineStr">
        <is>
          <t>T1-B6</t>
        </is>
      </c>
      <c r="J241" s="3" t="inlineStr">
        <is>
          <t>29 con</t>
        </is>
      </c>
      <c r="K241" s="3" t="inlineStr">
        <is>
          <t>45</t>
        </is>
      </c>
      <c r="L241" s="7" t="inlineStr">
        <is>
          <t>KHÔNG</t>
        </is>
      </c>
      <c r="M241" s="7" t="inlineStr">
        <is>
          <t>KHÔNG</t>
        </is>
      </c>
      <c r="N241" s="7" t="inlineStr">
        <is>
          <t>KHÔNG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1" customWidth="1" min="4" max="4"/>
    <col width="30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234 Ngày</t>
        </is>
      </c>
      <c r="C2" s="3" t="inlineStr">
        <is>
          <t>Trúng K1: 105 Ngày (44.87%)</t>
        </is>
      </c>
      <c r="D2" s="3" t="inlineStr">
        <is>
          <t>Trúng K2: 168 Ngày (71.79%)</t>
        </is>
      </c>
      <c r="E2" s="3" t="inlineStr">
        <is>
          <t>Trúng K3: 207 Ngày (87.5%)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1</v>
      </c>
      <c r="B3" s="2" t="inlineStr">
        <is>
          <t>Thứ năm ngày 01-01-2026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Đầu 4</t>
        </is>
      </c>
      <c r="F3" s="3" t="inlineStr">
        <is>
          <t>Đuôi 8</t>
        </is>
      </c>
      <c r="G3" s="3" t="inlineStr">
        <is>
          <t>00, 02, 05, 07, 11, 14, 16, 19, 20, 23, 25, 28, 32, 34, 37, 39, 41, 43, 46, 48, 50, 52, 55, 57, 61, 64, 66, 69, 70, 73, 75, 78, 82, 84, 87, 89, 91, 93, 96, 98</t>
        </is>
      </c>
      <c r="H3" s="6" t="inlineStr">
        <is>
          <t>TRÚNG 🎯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Đầu 4</t>
        </is>
      </c>
      <c r="F4" s="3" t="inlineStr">
        <is>
          <t>Đuôi 9</t>
        </is>
      </c>
      <c r="G4" s="3" t="inlineStr">
        <is>
          <t>01, 06, 10, 15, 24, 29, 33, 38, 42, 47, 51, 56, 60, 65, 74, 79, 83, 88, 92, 97</t>
        </is>
      </c>
      <c r="H4" s="7" t="inlineStr">
        <is>
          <t>TRƯỢT ❌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Đầu 9</t>
        </is>
      </c>
      <c r="F5" s="3" t="inlineStr">
        <is>
          <t>Đuôi 7</t>
        </is>
      </c>
      <c r="G5" s="3" t="inlineStr">
        <is>
          <t>00, 01, 05, 06, 10, 14, 15, 19, 23, 24, 28, 29, 32, 33, 37, 38, 41, 42, 46, 47, 50, 51, 55, 56, 60, 64, 65, 69, 73, 74, 78, 79, 82, 83, 87, 88, 91, 92, 96, 97</t>
        </is>
      </c>
      <c r="H5" s="6" t="inlineStr">
        <is>
          <t>TRÚNG 🎯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Đầu 0</t>
        </is>
      </c>
      <c r="F6" s="3" t="inlineStr">
        <is>
          <t>Đuôi 5</t>
        </is>
      </c>
      <c r="G6" s="3" t="inlineStr">
        <is>
          <t>02, 04, 07, 09, 11, 13, 16, 18, 20, 22, 25, 27, 31, 34, 36, 39, 40, 43, 45, 48, 52, 54, 57, 59, 61, 63, 66, 68, 70, 72, 75, 77, 81, 84, 86, 89, 90, 93, 95, 98</t>
        </is>
      </c>
      <c r="H6" s="7" t="inlineStr">
        <is>
          <t>TRƯỢT ❌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Đầu 4</t>
        </is>
      </c>
      <c r="F7" s="3" t="inlineStr">
        <is>
          <t>Đuôi 7</t>
        </is>
      </c>
      <c r="G7" s="3" t="inlineStr">
        <is>
          <t>01, 02, 06, 07, 10, 11, 15, 16, 20, 24, 25, 29, 33, 34, 38, 39, 42, 43, 47, 48, 51, 52, 56, 57, 60, 61, 65, 66, 70, 74, 75, 79, 83, 84, 88, 89, 92, 93, 97, 98</t>
        </is>
      </c>
      <c r="H7" s="6" t="inlineStr">
        <is>
          <t>TRÚNG 🎯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Đầu 8</t>
        </is>
      </c>
      <c r="F8" s="3" t="inlineStr">
        <is>
          <t>Đuôi 9</t>
        </is>
      </c>
      <c r="G8" s="3" t="inlineStr">
        <is>
          <t>00, 01, 05, 06, 10, 14, 15, 19, 23, 24, 28, 29, 32, 33, 37, 38, 41, 42, 46, 47, 50, 51, 55, 56, 60, 64, 65, 69, 73, 74, 78, 79, 82, 83, 87, 88, 91, 92, 96, 97</t>
        </is>
      </c>
      <c r="H8" s="7" t="inlineStr">
        <is>
          <t>TRƯỢT ❌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Đầu 6</t>
        </is>
      </c>
      <c r="F9" s="3" t="inlineStr">
        <is>
          <t>Đuôi 2</t>
        </is>
      </c>
      <c r="G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" s="7" t="inlineStr">
        <is>
          <t>TRƯỢT ❌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Đầu 2</t>
        </is>
      </c>
      <c r="F10" s="3" t="inlineStr">
        <is>
          <t>Đuôi 3</t>
        </is>
      </c>
      <c r="G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" s="6" t="inlineStr">
        <is>
          <t>TRÚNG 🎯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Đầu 9</t>
        </is>
      </c>
      <c r="F11" s="3" t="inlineStr">
        <is>
          <t>Đuôi 3</t>
        </is>
      </c>
      <c r="G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1" s="6" t="inlineStr">
        <is>
          <t>TRÚNG 🎯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Đầu 3</t>
        </is>
      </c>
      <c r="F12" s="3" t="inlineStr">
        <is>
          <t>Đuôi 8</t>
        </is>
      </c>
      <c r="G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" s="7" t="inlineStr">
        <is>
          <t>TRƯỢT ❌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Đầu 9</t>
        </is>
      </c>
      <c r="F13" s="3" t="inlineStr">
        <is>
          <t>Đuôi 4</t>
        </is>
      </c>
      <c r="G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" s="7" t="inlineStr">
        <is>
          <t>TRƯỢT ❌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Đầu 2</t>
        </is>
      </c>
      <c r="F14" s="3" t="inlineStr">
        <is>
          <t>Đuôi 7</t>
        </is>
      </c>
      <c r="G14" s="3" t="inlineStr">
        <is>
          <t>02, 04, 07, 09, 11, 13, 16, 18, 20, 22, 25, 27, 31, 34, 36, 39, 40, 43, 45, 48, 52, 54, 57, 59, 61, 63, 66, 68, 70, 72, 75, 77, 81, 84, 86, 89, 90, 93, 95, 98</t>
        </is>
      </c>
      <c r="H14" s="6" t="inlineStr">
        <is>
          <t>TRÚNG 🎯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Đầu 1</t>
        </is>
      </c>
      <c r="F15" s="3" t="inlineStr">
        <is>
          <t>Đuôi 7</t>
        </is>
      </c>
      <c r="G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" s="7" t="inlineStr">
        <is>
          <t>TRƯỢT ❌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Đầu 2</t>
        </is>
      </c>
      <c r="F16" s="3" t="inlineStr">
        <is>
          <t>Đuôi 2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" s="7" t="inlineStr">
        <is>
          <t>TRƯỢT ❌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Đầu 2</t>
        </is>
      </c>
      <c r="F17" s="3" t="inlineStr">
        <is>
          <t>Đuôi 8</t>
        </is>
      </c>
      <c r="G17" s="3" t="inlineStr">
        <is>
          <t>00, 03, 05, 08, 12, 14, 17, 19, 21, 23, 26, 28, 30, 32, 35, 37, 41, 44, 46, 49, 50, 53, 55, 58, 62, 64, 67, 69, 71, 73, 76, 78, 80, 82, 85, 87, 91, 94, 96, 99</t>
        </is>
      </c>
      <c r="H17" s="6" t="inlineStr">
        <is>
          <t>TRÚNG 🎯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Đầu 2</t>
        </is>
      </c>
      <c r="F18" s="3" t="inlineStr">
        <is>
          <t>Đuôi 4</t>
        </is>
      </c>
      <c r="G18" s="3" t="inlineStr">
        <is>
          <t>01, 03, 06, 08, 10, 12, 15, 17, 21, 24, 26, 29, 30, 33, 35, 38, 42, 44, 47, 49, 51, 53, 56, 58, 60, 62, 65, 67, 71, 74, 76, 79, 80, 83, 85, 88, 92, 94, 97, 99</t>
        </is>
      </c>
      <c r="H18" s="6" t="inlineStr">
        <is>
          <t>TRÚNG 🎯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Đầu 5</t>
        </is>
      </c>
      <c r="F19" s="3" t="inlineStr">
        <is>
          <t>Đuôi 1</t>
        </is>
      </c>
      <c r="G1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9" s="6" t="inlineStr">
        <is>
          <t>TRÚNG 🎯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Đầu 8</t>
        </is>
      </c>
      <c r="F20" s="3" t="inlineStr">
        <is>
          <t>Đuôi 6</t>
        </is>
      </c>
      <c r="G20" s="3" t="inlineStr">
        <is>
          <t>02, 03, 07, 08, 11, 12, 16, 17, 20, 21, 25, 26, 30, 34, 35, 39, 43, 44, 48, 49, 52, 53, 57, 58, 61, 62, 66, 67, 70, 71, 75, 76, 80, 84, 85, 89, 93, 94, 98, 99</t>
        </is>
      </c>
      <c r="H20" s="7" t="inlineStr">
        <is>
          <t>TRƯỢT ❌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Đầu 7</t>
        </is>
      </c>
      <c r="F21" s="3" t="inlineStr">
        <is>
          <t>Đuôi 8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  <c r="H21" s="6" t="inlineStr">
        <is>
          <t>TRÚNG 🎯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2" s="6" t="inlineStr">
        <is>
          <t>TRÚNG 🎯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Đầu 6</t>
        </is>
      </c>
      <c r="F23" s="3" t="inlineStr">
        <is>
          <t>Đuôi 3</t>
        </is>
      </c>
      <c r="G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3" s="7" t="inlineStr">
        <is>
          <t>TRƯỢT ❌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Đầu 2</t>
        </is>
      </c>
      <c r="F24" s="3" t="inlineStr">
        <is>
          <t>Đuôi 2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4" s="7" t="inlineStr">
        <is>
          <t>TRƯỢT ❌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Đầu 6</t>
        </is>
      </c>
      <c r="F25" s="3" t="inlineStr">
        <is>
          <t>Đuôi 2</t>
        </is>
      </c>
      <c r="G25" s="3" t="inlineStr">
        <is>
          <t>00, 04, 05, 09, 13, 14, 18, 19, 22, 23, 27, 28, 31, 32, 36, 37, 40, 41, 45, 46, 50, 54, 55, 59, 63, 64, 68, 69, 72, 73, 77, 78, 81, 82, 86, 87, 90, 91, 95, 96</t>
        </is>
      </c>
      <c r="H25" s="7" t="inlineStr">
        <is>
          <t>TRƯỢT ❌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Đầu 3</t>
        </is>
      </c>
      <c r="F26" s="3" t="inlineStr">
        <is>
          <t>Đuôi 0</t>
        </is>
      </c>
      <c r="G26" s="3" t="inlineStr">
        <is>
          <t>01, 02, 06, 07, 10, 11, 15, 16, 20, 24, 25, 29, 33, 34, 38, 39, 42, 43, 47, 48, 51, 52, 56, 57, 60, 61, 65, 66, 70, 74, 75, 79, 83, 84, 88, 89, 92, 93, 97, 98</t>
        </is>
      </c>
      <c r="H26" s="7" t="inlineStr">
        <is>
          <t>TRƯỢT ❌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Đầu 7</t>
        </is>
      </c>
      <c r="F27" s="3" t="inlineStr">
        <is>
          <t>Đuôi 4</t>
        </is>
      </c>
      <c r="G27" s="3" t="inlineStr">
        <is>
          <t>01, 04, 06, 09, 10, 13, 15, 18, 22, 24, 27, 29, 31, 33, 36, 38, 40, 42, 45, 47, 51, 54, 56, 59, 60, 63, 65, 68, 72, 74, 77, 79, 81, 83, 86, 88, 90, 92, 95, 97</t>
        </is>
      </c>
      <c r="H27" s="6" t="inlineStr">
        <is>
          <t>TRÚNG 🎯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Đầu 8</t>
        </is>
      </c>
      <c r="F28" s="3" t="inlineStr">
        <is>
          <t>Đuôi 0</t>
        </is>
      </c>
      <c r="G28" s="3" t="inlineStr">
        <is>
          <t>01, 03, 06, 08, 10, 12, 15, 17, 21, 24, 26, 29, 30, 33, 35, 38, 42, 44, 47, 49, 51, 53, 56, 58, 60, 62, 65, 67, 71, 74, 76, 79, 80, 83, 85, 88, 92, 94, 97, 99</t>
        </is>
      </c>
      <c r="H28" s="6" t="inlineStr">
        <is>
          <t>TRÚNG 🎯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Đầu 2</t>
        </is>
      </c>
      <c r="F29" s="3" t="inlineStr">
        <is>
          <t>Đuôi 1</t>
        </is>
      </c>
      <c r="G29" s="3" t="inlineStr">
        <is>
          <t>02, 04, 07, 09, 11, 13, 16, 18, 20, 22, 25, 27, 31, 34, 36, 39, 40, 43, 45, 48, 52, 54, 57, 59, 61, 63, 66, 68, 70, 72, 75, 77, 81, 84, 86, 89, 90, 93, 95, 98</t>
        </is>
      </c>
      <c r="H29" s="7" t="inlineStr">
        <is>
          <t>TRƯỢT ❌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Đầu 1</t>
        </is>
      </c>
      <c r="F30" s="3" t="inlineStr">
        <is>
          <t>Đuôi 4</t>
        </is>
      </c>
      <c r="G30" s="3" t="inlineStr">
        <is>
          <t>01, 03, 06, 08, 10, 12, 15, 17, 21, 24, 26, 29, 30, 33, 35, 38, 42, 44, 47, 49, 51, 53, 56, 58, 60, 62, 65, 67, 71, 74, 76, 79, 80, 83, 85, 88, 92, 94, 97, 99</t>
        </is>
      </c>
      <c r="H30" s="7" t="inlineStr">
        <is>
          <t>TRƯỢT ❌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Đầu 4</t>
        </is>
      </c>
      <c r="F31" s="3" t="inlineStr">
        <is>
          <t>Đuôi 5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6" t="inlineStr">
        <is>
          <t>TRÚNG 🎯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00, 03, 05, 08, 12, 14, 17, 19, 21, 23, 26, 28, 30, 32, 35, 37, 41, 44, 46, 49, 50, 53, 55, 58, 62, 64, 67, 69, 71, 73, 76, 78, 80, 82, 85, 87, 91, 94, 96, 99</t>
        </is>
      </c>
      <c r="H32" s="7" t="inlineStr">
        <is>
          <t>TRƯỢT ❌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Đầu 7</t>
        </is>
      </c>
      <c r="F33" s="3" t="inlineStr">
        <is>
          <t>Đuôi 7</t>
        </is>
      </c>
      <c r="G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33" s="6" t="inlineStr">
        <is>
          <t>TRÚNG 🎯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Đầu 6</t>
        </is>
      </c>
      <c r="F34" s="3" t="inlineStr">
        <is>
          <t>Đuôi 1</t>
        </is>
      </c>
      <c r="G34" s="3" t="inlineStr">
        <is>
          <t>01, 03, 06, 08, 10, 12, 15, 17, 21, 24, 26, 29, 30, 33, 35, 38, 42, 44, 47, 49, 51, 53, 56, 58, 60, 62, 65, 67, 71, 74, 76, 79, 80, 83, 85, 88, 92, 94, 97, 99</t>
        </is>
      </c>
      <c r="H34" s="7" t="inlineStr">
        <is>
          <t>TRƯỢT ❌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Đầu 4</t>
        </is>
      </c>
      <c r="F35" s="3" t="inlineStr">
        <is>
          <t>Đuôi 8</t>
        </is>
      </c>
      <c r="G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35" s="6" t="inlineStr">
        <is>
          <t>TRÚNG 🎯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Đầu 1</t>
        </is>
      </c>
      <c r="F36" s="3" t="inlineStr">
        <is>
          <t>Đuôi 7</t>
        </is>
      </c>
      <c r="G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36" s="6" t="inlineStr">
        <is>
          <t>TRÚNG 🎯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Đầu 6</t>
        </is>
      </c>
      <c r="F37" s="3" t="inlineStr">
        <is>
          <t>Đuôi 8</t>
        </is>
      </c>
      <c r="G37" s="3" t="inlineStr">
        <is>
          <t>01, 03, 06, 08, 10, 12, 15, 17, 21, 24, 26, 29, 30, 33, 35, 38, 42, 44, 47, 49, 51, 53, 56, 58, 60, 62, 65, 67, 71, 74, 76, 79, 80, 83, 85, 88, 92, 94, 97, 99</t>
        </is>
      </c>
      <c r="H37" s="7" t="inlineStr">
        <is>
          <t>TRƯỢT ❌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Đầu 3</t>
        </is>
      </c>
      <c r="F38" s="3" t="inlineStr">
        <is>
          <t>Đuôi 3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8" s="6" t="inlineStr">
        <is>
          <t>TRÚNG 🎯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Đầu 8</t>
        </is>
      </c>
      <c r="F39" s="3" t="inlineStr">
        <is>
          <t>Đuôi 5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7" t="inlineStr">
        <is>
          <t>TRƯỢT ❌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Đầu 7</t>
        </is>
      </c>
      <c r="F40" s="3" t="inlineStr">
        <is>
          <t>Đuôi 7</t>
        </is>
      </c>
      <c r="G40" s="3" t="inlineStr">
        <is>
          <t>03, 04, 08, 09, 12, 13, 17, 18, 21, 22, 26, 27, 30, 31, 35, 36, 40, 44, 45, 49, 53, 54, 58, 59, 62, 63, 67, 68, 71, 72, 76, 77, 80, 81, 85, 86, 90, 94, 95, 99</t>
        </is>
      </c>
      <c r="H40" s="6" t="inlineStr">
        <is>
          <t>TRÚNG 🎯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Đầu 0</t>
        </is>
      </c>
      <c r="F41" s="3" t="inlineStr">
        <is>
          <t>Đuôi 1</t>
        </is>
      </c>
      <c r="G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41" s="6" t="inlineStr">
        <is>
          <t>TRÚNG 🎯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Đầu 9</t>
        </is>
      </c>
      <c r="F42" s="3" t="inlineStr">
        <is>
          <t>Đuôi 0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7" t="inlineStr">
        <is>
          <t>TRƯỢT ❌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Đầu 9</t>
        </is>
      </c>
      <c r="F43" s="3" t="inlineStr">
        <is>
          <t>Đuôi 2</t>
        </is>
      </c>
      <c r="G43" s="3" t="inlineStr">
        <is>
          <t>00, 04, 05, 09, 13, 14, 18, 19, 22, 23, 27, 28, 31, 32, 36, 37, 40, 41, 45, 46, 50, 54, 55, 59, 63, 64, 68, 69, 72, 73, 77, 78, 81, 82, 86, 87, 90, 91, 95, 96</t>
        </is>
      </c>
      <c r="H43" s="7" t="inlineStr">
        <is>
          <t>TRƯỢT ❌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Đầu 7</t>
        </is>
      </c>
      <c r="F44" s="3" t="inlineStr">
        <is>
          <t>Đuôi 5</t>
        </is>
      </c>
      <c r="G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44" s="6" t="inlineStr">
        <is>
          <t>TRÚNG 🎯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Đầu 7</t>
        </is>
      </c>
      <c r="F45" s="3" t="inlineStr">
        <is>
          <t>Đuôi 7</t>
        </is>
      </c>
      <c r="G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5" s="6" t="inlineStr">
        <is>
          <t>TRÚNG 🎯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Đầu 3</t>
        </is>
      </c>
      <c r="F46" s="3" t="inlineStr">
        <is>
          <t>Đuôi 0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7" t="inlineStr">
        <is>
          <t>TRƯỢT ❌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Đầu 0</t>
        </is>
      </c>
      <c r="F47" s="3" t="inlineStr">
        <is>
          <t>Đuôi 1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6" t="inlineStr">
        <is>
          <t>TRÚNG 🎯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Đầu 8</t>
        </is>
      </c>
      <c r="F48" s="3" t="inlineStr">
        <is>
          <t>Đuôi 1</t>
        </is>
      </c>
      <c r="G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48" s="7" t="inlineStr">
        <is>
          <t>TRƯỢT ❌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Đầu 1</t>
        </is>
      </c>
      <c r="F49" s="3" t="inlineStr">
        <is>
          <t>Đuôi 3</t>
        </is>
      </c>
      <c r="G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9" s="6" t="inlineStr">
        <is>
          <t>TRÚNG 🎯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Đầu 1</t>
        </is>
      </c>
      <c r="F50" s="3" t="inlineStr">
        <is>
          <t>Đuôi 2</t>
        </is>
      </c>
      <c r="G50" s="3" t="inlineStr">
        <is>
          <t>00, 05, 14, 19, 23, 28, 32, 37, 41, 46, 50, 55, 64, 69, 73, 78, 82, 87, 91, 96</t>
        </is>
      </c>
      <c r="H50" s="7" t="inlineStr">
        <is>
          <t>TRƯỢT ❌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Đầu 5</t>
        </is>
      </c>
      <c r="F51" s="3" t="inlineStr">
        <is>
          <t>Đuôi 5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1" s="7" t="inlineStr">
        <is>
          <t>TRƯỢT ❌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Đầu 3</t>
        </is>
      </c>
      <c r="F52" s="3" t="inlineStr">
        <is>
          <t>Đuôi 7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2" s="6" t="inlineStr">
        <is>
          <t>TRÚNG 🎯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Đầu 5</t>
        </is>
      </c>
      <c r="F53" s="3" t="inlineStr">
        <is>
          <t>Đuôi 3</t>
        </is>
      </c>
      <c r="G53" s="3" t="inlineStr">
        <is>
          <t>00, 04, 05, 09, 13, 14, 18, 19, 22, 23, 27, 28, 31, 32, 36, 37, 40, 41, 45, 46, 50, 54, 55, 59, 63, 64, 68, 69, 72, 73, 77, 78, 81, 82, 86, 87, 90, 91, 95, 96</t>
        </is>
      </c>
      <c r="H53" s="7" t="inlineStr">
        <is>
          <t>TRƯỢT ❌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Đầu 0</t>
        </is>
      </c>
      <c r="F54" s="3" t="inlineStr">
        <is>
          <t>Đuôi 8</t>
        </is>
      </c>
      <c r="G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54" s="6" t="inlineStr">
        <is>
          <t>TRÚNG 🎯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Đầu 8</t>
        </is>
      </c>
      <c r="F55" s="3" t="inlineStr">
        <is>
          <t>Đuôi 3</t>
        </is>
      </c>
      <c r="G55" s="3" t="inlineStr">
        <is>
          <t>00, 01, 05, 06, 10, 14, 15, 19, 23, 24, 28, 29, 32, 33, 37, 38, 41, 42, 46, 47, 50, 51, 55, 56, 60, 64, 65, 69, 73, 74, 78, 79, 82, 83, 87, 88, 91, 92, 96, 97</t>
        </is>
      </c>
      <c r="H55" s="6" t="inlineStr">
        <is>
          <t>TRÚNG 🎯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Đầu 9</t>
        </is>
      </c>
      <c r="F56" s="3" t="inlineStr">
        <is>
          <t>Đuôi 1</t>
        </is>
      </c>
      <c r="G56" s="3" t="inlineStr">
        <is>
          <t>01, 02, 06, 07, 10, 11, 15, 16, 20, 24, 25, 29, 33, 34, 38, 39, 42, 43, 47, 48, 51, 52, 56, 57, 60, 61, 65, 66, 70, 74, 75, 79, 83, 84, 88, 89, 92, 93, 97, 98</t>
        </is>
      </c>
      <c r="H56" s="7" t="inlineStr">
        <is>
          <t>TRƯỢT ❌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Đầu 4</t>
        </is>
      </c>
      <c r="F57" s="3" t="inlineStr">
        <is>
          <t>Đuôi 8</t>
        </is>
      </c>
      <c r="G57" s="3" t="inlineStr">
        <is>
          <t>00, 01, 05, 06, 10, 14, 15, 19, 23, 24, 28, 29, 32, 33, 37, 38, 41, 42, 46, 47, 50, 51, 55, 56, 60, 64, 65, 69, 73, 74, 78, 79, 82, 83, 87, 88, 91, 92, 96, 97</t>
        </is>
      </c>
      <c r="H57" s="7" t="inlineStr">
        <is>
          <t>TRƯỢT ❌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Đầu 5</t>
        </is>
      </c>
      <c r="F58" s="3" t="inlineStr">
        <is>
          <t>Đuôi 7</t>
        </is>
      </c>
      <c r="G58" s="3" t="inlineStr">
        <is>
          <t>00, 01, 05, 06, 10, 14, 15, 19, 23, 24, 28, 29, 32, 33, 37, 38, 41, 42, 46, 47, 50, 51, 55, 56, 60, 64, 65, 69, 73, 74, 78, 79, 82, 83, 87, 88, 91, 92, 96, 97</t>
        </is>
      </c>
      <c r="H58" s="7" t="inlineStr">
        <is>
          <t>TRƯỢT ❌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Đầu 7</t>
        </is>
      </c>
      <c r="F59" s="3" t="inlineStr">
        <is>
          <t>Đuôi 8</t>
        </is>
      </c>
      <c r="G59" s="3" t="inlineStr">
        <is>
          <t>02, 04, 07, 09, 11, 13, 16, 18, 20, 22, 25, 27, 31, 34, 36, 39, 40, 43, 45, 48, 52, 54, 57, 59, 61, 63, 66, 68, 70, 72, 75, 77, 81, 84, 86, 89, 90, 93, 95, 98</t>
        </is>
      </c>
      <c r="H59" s="7" t="inlineStr">
        <is>
          <t>TRƯỢT ❌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Đầu 1</t>
        </is>
      </c>
      <c r="F60" s="3" t="inlineStr">
        <is>
          <t>Đuôi 9</t>
        </is>
      </c>
      <c r="G60" s="3" t="inlineStr">
        <is>
          <t>03, 04, 08, 09, 12, 13, 17, 18, 21, 22, 26, 27, 30, 31, 35, 36, 40, 44, 45, 49, 53, 54, 58, 59, 62, 63, 67, 68, 71, 72, 76, 77, 80, 81, 85, 86, 90, 94, 95, 99</t>
        </is>
      </c>
      <c r="H60" s="7" t="inlineStr">
        <is>
          <t>TRƯỢT ❌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Đầu 5</t>
        </is>
      </c>
      <c r="F61" s="3" t="inlineStr">
        <is>
          <t>Đuôi 9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7" t="inlineStr">
        <is>
          <t>TRƯỢT ❌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Đầu 4</t>
        </is>
      </c>
      <c r="F62" s="3" t="inlineStr">
        <is>
          <t>Đuôi 9</t>
        </is>
      </c>
      <c r="G6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2" s="6" t="inlineStr">
        <is>
          <t>TRÚNG 🎯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Đầu 5</t>
        </is>
      </c>
      <c r="F63" s="3" t="inlineStr">
        <is>
          <t>Đuôi 1</t>
        </is>
      </c>
      <c r="G63" s="3" t="inlineStr">
        <is>
          <t>00, 03, 05, 08, 12, 14, 17, 19, 21, 23, 26, 28, 30, 32, 35, 37, 41, 44, 46, 49, 50, 53, 55, 58, 62, 64, 67, 69, 71, 73, 76, 78, 80, 82, 85, 87, 91, 94, 96, 99</t>
        </is>
      </c>
      <c r="H63" s="7" t="inlineStr">
        <is>
          <t>TRƯỢT ❌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Đầu 3</t>
        </is>
      </c>
      <c r="F64" s="3" t="inlineStr">
        <is>
          <t>Đuôi 6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4" s="7" t="inlineStr">
        <is>
          <t>TRƯỢT ❌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Đầu 8</t>
        </is>
      </c>
      <c r="F65" s="3" t="inlineStr">
        <is>
          <t>Đuôi 0</t>
        </is>
      </c>
      <c r="G65" s="3" t="inlineStr">
        <is>
          <t>01, 04, 06, 09, 10, 13, 15, 18, 22, 24, 27, 29, 31, 33, 36, 38, 40, 42, 45, 47, 51, 54, 56, 59, 60, 63, 65, 68, 72, 74, 77, 79, 81, 83, 86, 88, 90, 92, 95, 97</t>
        </is>
      </c>
      <c r="H65" s="7" t="inlineStr">
        <is>
          <t>TRƯỢT ❌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Đầu 4</t>
        </is>
      </c>
      <c r="F66" s="3" t="inlineStr">
        <is>
          <t>Đuôi 2</t>
        </is>
      </c>
      <c r="G66" s="3" t="inlineStr">
        <is>
          <t>01, 03, 06, 08, 10, 12, 15, 17, 21, 24, 26, 29, 30, 33, 35, 38, 42, 44, 47, 49, 51, 53, 56, 58, 60, 62, 65, 67, 71, 74, 76, 79, 80, 83, 85, 88, 92, 94, 97, 99</t>
        </is>
      </c>
      <c r="H66" s="6" t="inlineStr">
        <is>
          <t>TRÚNG 🎯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Đầu 6</t>
        </is>
      </c>
      <c r="F67" s="3" t="inlineStr">
        <is>
          <t>Đuôi 8</t>
        </is>
      </c>
      <c r="G67" s="3" t="inlineStr">
        <is>
          <t>00, 04, 05, 09, 13, 14, 18, 19, 22, 23, 27, 28, 31, 32, 36, 37, 40, 41, 45, 46, 50, 54, 55, 59, 63, 64, 68, 69, 72, 73, 77, 78, 81, 82, 86, 87, 90, 91, 95, 96</t>
        </is>
      </c>
      <c r="H67" s="6" t="inlineStr">
        <is>
          <t>TRÚNG 🎯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Đầu 2</t>
        </is>
      </c>
      <c r="F68" s="3" t="inlineStr">
        <is>
          <t>Đuôi 4</t>
        </is>
      </c>
      <c r="G6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68" s="6" t="inlineStr">
        <is>
          <t>TRÚNG 🎯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Đầu 5</t>
        </is>
      </c>
      <c r="F69" s="3" t="inlineStr">
        <is>
          <t>Đuôi 9</t>
        </is>
      </c>
      <c r="G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69" s="6" t="inlineStr">
        <is>
          <t>TRÚNG 🎯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Đầu 4</t>
        </is>
      </c>
      <c r="F70" s="3" t="inlineStr">
        <is>
          <t>Đuôi 8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  <c r="H70" s="7" t="inlineStr">
        <is>
          <t>TRƯỢT ❌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Đầu 7</t>
        </is>
      </c>
      <c r="F71" s="3" t="inlineStr">
        <is>
          <t>Đuôi 0</t>
        </is>
      </c>
      <c r="G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1" s="6" t="inlineStr">
        <is>
          <t>TRÚNG 🎯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Đầu 5</t>
        </is>
      </c>
      <c r="F72" s="3" t="inlineStr">
        <is>
          <t>Đuôi 2</t>
        </is>
      </c>
      <c r="G7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2" s="6" t="inlineStr">
        <is>
          <t>TRÚNG 🎯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Đầu 6</t>
        </is>
      </c>
      <c r="F73" s="3" t="inlineStr">
        <is>
          <t>Đuôi 9</t>
        </is>
      </c>
      <c r="G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73" s="6" t="inlineStr">
        <is>
          <t>TRÚNG 🎯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Đầu 8</t>
        </is>
      </c>
      <c r="F74" s="3" t="inlineStr">
        <is>
          <t>Đuôi 7</t>
        </is>
      </c>
      <c r="G74" s="3" t="inlineStr">
        <is>
          <t>02, 04, 07, 09, 11, 13, 16, 18, 20, 22, 25, 27, 31, 34, 36, 39, 40, 43, 45, 48, 52, 54, 57, 59, 61, 63, 66, 68, 70, 72, 75, 77, 81, 84, 86, 89, 90, 93, 95, 98</t>
        </is>
      </c>
      <c r="H74" s="7" t="inlineStr">
        <is>
          <t>TRƯỢT ❌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Đầu 9</t>
        </is>
      </c>
      <c r="F75" s="3" t="inlineStr">
        <is>
          <t>Đuôi 5</t>
        </is>
      </c>
      <c r="G75" s="3" t="inlineStr">
        <is>
          <t>02, 03, 07, 08, 11, 12, 16, 17, 20, 21, 25, 26, 30, 34, 35, 39, 43, 44, 48, 49, 52, 53, 57, 58, 61, 62, 66, 67, 70, 71, 75, 76, 80, 84, 85, 89, 93, 94, 98, 99</t>
        </is>
      </c>
      <c r="H75" s="7" t="inlineStr">
        <is>
          <t>TRƯỢT ❌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Đầu 2</t>
        </is>
      </c>
      <c r="F76" s="3" t="inlineStr">
        <is>
          <t>Đuôi 4</t>
        </is>
      </c>
      <c r="G76" s="3" t="inlineStr">
        <is>
          <t>01, 02, 06, 07, 10, 11, 15, 16, 20, 24, 25, 29, 33, 34, 38, 39, 42, 43, 47, 48, 51, 52, 56, 57, 60, 61, 65, 66, 70, 74, 75, 79, 83, 84, 88, 89, 92, 93, 97, 98</t>
        </is>
      </c>
      <c r="H76" s="6" t="inlineStr">
        <is>
          <t>TRÚNG 🎯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Đầu 9</t>
        </is>
      </c>
      <c r="F77" s="3" t="inlineStr">
        <is>
          <t>Đuôi 4</t>
        </is>
      </c>
      <c r="G77" s="3" t="inlineStr">
        <is>
          <t>02, 03, 07, 08, 11, 12, 16, 17, 20, 21, 25, 26, 30, 34, 35, 39, 43, 44, 48, 49, 52, 53, 57, 58, 61, 62, 66, 67, 70, 71, 75, 76, 80, 84, 85, 89, 93, 94, 98, 99</t>
        </is>
      </c>
      <c r="H77" s="6" t="inlineStr">
        <is>
          <t>TRÚNG 🎯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Đầu 4</t>
        </is>
      </c>
      <c r="F78" s="3" t="inlineStr">
        <is>
          <t>Đuôi 6</t>
        </is>
      </c>
      <c r="G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8" s="7" t="inlineStr">
        <is>
          <t>TRƯỢT ❌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Đầu 1</t>
        </is>
      </c>
      <c r="F79" s="3" t="inlineStr">
        <is>
          <t>Đuôi 4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7" t="inlineStr">
        <is>
          <t>TRƯỢT ❌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Đầu 2</t>
        </is>
      </c>
      <c r="F80" s="3" t="inlineStr">
        <is>
          <t>Đuôi 9</t>
        </is>
      </c>
      <c r="G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0" s="6" t="inlineStr">
        <is>
          <t>TRÚNG 🎯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Đầu 8</t>
        </is>
      </c>
      <c r="F81" s="3" t="inlineStr">
        <is>
          <t>Đuôi 8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1" s="6" t="inlineStr">
        <is>
          <t>TRÚNG 🎯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Đầu 9</t>
        </is>
      </c>
      <c r="F82" s="3" t="inlineStr">
        <is>
          <t>Đuôi 3</t>
        </is>
      </c>
      <c r="G82" s="3" t="inlineStr">
        <is>
          <t>00, 01, 05, 06, 10, 14, 15, 19, 23, 24, 28, 29, 32, 33, 37, 38, 41, 42, 46, 47, 50, 51, 55, 56, 60, 64, 65, 69, 73, 74, 78, 79, 82, 83, 87, 88, 91, 92, 96, 97</t>
        </is>
      </c>
      <c r="H82" s="7" t="inlineStr">
        <is>
          <t>TRƯỢT ❌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Đầu 3</t>
        </is>
      </c>
      <c r="F83" s="3" t="inlineStr">
        <is>
          <t>Đuôi 2</t>
        </is>
      </c>
      <c r="G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3" s="6" t="inlineStr">
        <is>
          <t>TRÚNG 🎯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Đầu 2</t>
        </is>
      </c>
      <c r="F84" s="3" t="inlineStr">
        <is>
          <t>Đuôi 2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6" t="inlineStr">
        <is>
          <t>TRÚNG 🎯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Đầu 8</t>
        </is>
      </c>
      <c r="F85" s="3" t="inlineStr">
        <is>
          <t>Đuôi 8</t>
        </is>
      </c>
      <c r="G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5" s="7" t="inlineStr">
        <is>
          <t>TRƯỢT ❌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Đầu 6</t>
        </is>
      </c>
      <c r="F86" s="3" t="inlineStr">
        <is>
          <t>Đuôi 4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  <c r="H86" s="7" t="inlineStr">
        <is>
          <t>TRƯỢT ❌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Đầu 9</t>
        </is>
      </c>
      <c r="F87" s="3" t="inlineStr">
        <is>
          <t>Đuôi 1</t>
        </is>
      </c>
      <c r="G87" s="3" t="inlineStr">
        <is>
          <t>02, 07, 11, 16, 20, 25, 34, 39, 43, 48, 52, 57, 61, 66, 70, 75, 84, 89, 93, 98</t>
        </is>
      </c>
      <c r="H87" s="7" t="inlineStr">
        <is>
          <t>TRƯỢT ❌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Đầu 6</t>
        </is>
      </c>
      <c r="F88" s="3" t="inlineStr">
        <is>
          <t>Đuôi 6</t>
        </is>
      </c>
      <c r="G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8" s="6" t="inlineStr">
        <is>
          <t>TRÚNG 🎯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Đầu 6</t>
        </is>
      </c>
      <c r="F89" s="3" t="inlineStr">
        <is>
          <t>Đuôi 7</t>
        </is>
      </c>
      <c r="G89" s="3" t="inlineStr">
        <is>
          <t>00, 02, 05, 07, 11, 14, 16, 19, 20, 23, 25, 28, 32, 34, 37, 39, 41, 43, 46, 48, 50, 52, 55, 57, 61, 64, 66, 69, 70, 73, 75, 78, 82, 84, 87, 89, 91, 93, 96, 98</t>
        </is>
      </c>
      <c r="H89" s="7" t="inlineStr">
        <is>
          <t>TRƯỢT ❌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Đầu 4</t>
        </is>
      </c>
      <c r="F90" s="3" t="inlineStr">
        <is>
          <t>Đuôi 4</t>
        </is>
      </c>
      <c r="G90" s="3" t="inlineStr">
        <is>
          <t>02, 04, 07, 09, 11, 13, 16, 18, 20, 22, 25, 27, 31, 34, 36, 39, 40, 43, 45, 48, 52, 54, 57, 59, 61, 63, 66, 68, 70, 72, 75, 77, 81, 84, 86, 89, 90, 93, 95, 98</t>
        </is>
      </c>
      <c r="H90" s="7" t="inlineStr">
        <is>
          <t>TRƯỢT ❌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Đầu 3</t>
        </is>
      </c>
      <c r="F91" s="3" t="inlineStr">
        <is>
          <t>Đuôi 7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7" t="inlineStr">
        <is>
          <t>TRƯỢT ❌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Đầu 5</t>
        </is>
      </c>
      <c r="F92" s="3" t="inlineStr">
        <is>
          <t>Đuôi 5</t>
        </is>
      </c>
      <c r="G92" s="3" t="inlineStr">
        <is>
          <t>02, 04, 07, 09, 11, 13, 16, 18, 20, 22, 25, 27, 31, 34, 36, 39, 40, 43, 45, 48, 52, 54, 57, 59, 61, 63, 66, 68, 70, 72, 75, 77, 81, 84, 86, 89, 90, 93, 95, 98</t>
        </is>
      </c>
      <c r="H92" s="7" t="inlineStr">
        <is>
          <t>TRƯỢT ❌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Đầu 0</t>
        </is>
      </c>
      <c r="F93" s="3" t="inlineStr">
        <is>
          <t>Đuôi 6</t>
        </is>
      </c>
      <c r="G93" s="3" t="inlineStr">
        <is>
          <t>00, 02, 05, 07, 11, 14, 16, 19, 20, 23, 25, 28, 32, 34, 37, 39, 41, 43, 46, 48, 50, 52, 55, 57, 61, 64, 66, 69, 70, 73, 75, 78, 82, 84, 87, 89, 91, 93, 96, 98</t>
        </is>
      </c>
      <c r="H93" s="7" t="inlineStr">
        <is>
          <t>TRƯỢT ❌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Đầu 8</t>
        </is>
      </c>
      <c r="F94" s="3" t="inlineStr">
        <is>
          <t>Đuôi 2</t>
        </is>
      </c>
      <c r="G94" s="3" t="inlineStr">
        <is>
          <t>00, 01, 05, 06, 10, 14, 15, 19, 23, 24, 28, 29, 32, 33, 37, 38, 41, 42, 46, 47, 50, 51, 55, 56, 60, 64, 65, 69, 73, 74, 78, 79, 82, 83, 87, 88, 91, 92, 96, 97</t>
        </is>
      </c>
      <c r="H94" s="6" t="inlineStr">
        <is>
          <t>TRÚNG 🎯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Đầu 5</t>
        </is>
      </c>
      <c r="F95" s="3" t="inlineStr">
        <is>
          <t>Đuôi 0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5" s="7" t="inlineStr">
        <is>
          <t>TRƯỢT ❌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Đầu 2</t>
        </is>
      </c>
      <c r="F96" s="3" t="inlineStr">
        <is>
          <t>Đuôi 5</t>
        </is>
      </c>
      <c r="G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96" s="7" t="inlineStr">
        <is>
          <t>TRƯỢT ❌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Đầu 2</t>
        </is>
      </c>
      <c r="F97" s="3" t="inlineStr">
        <is>
          <t>Đuôi 0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  <c r="H97" s="7" t="inlineStr">
        <is>
          <t>TRƯỢT ❌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Đầu 0</t>
        </is>
      </c>
      <c r="F98" s="3" t="inlineStr">
        <is>
          <t>Đuôi 4</t>
        </is>
      </c>
      <c r="G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98" s="7" t="inlineStr">
        <is>
          <t>TRƯỢT ❌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Đầu 0</t>
        </is>
      </c>
      <c r="F99" s="3" t="inlineStr">
        <is>
          <t>Đuôi 0</t>
        </is>
      </c>
      <c r="G99" s="3" t="inlineStr">
        <is>
          <t>02, 03, 07, 08, 11, 12, 16, 17, 20, 21, 25, 26, 30, 34, 35, 39, 43, 44, 48, 49, 52, 53, 57, 58, 61, 62, 66, 67, 70, 71, 75, 76, 80, 84, 85, 89, 93, 94, 98, 99</t>
        </is>
      </c>
      <c r="H99" s="7" t="inlineStr">
        <is>
          <t>TRƯỢT ❌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Đầu 3</t>
        </is>
      </c>
      <c r="F100" s="3" t="inlineStr">
        <is>
          <t>Đuôi 8</t>
        </is>
      </c>
      <c r="G100" s="3" t="inlineStr">
        <is>
          <t>04, 09, 13, 18, 22, 27, 31, 36, 40, 45, 54, 59, 63, 68, 72, 77, 81, 86, 90, 95</t>
        </is>
      </c>
      <c r="H100" s="7" t="inlineStr">
        <is>
          <t>TRƯỢT ❌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Đầu 6</t>
        </is>
      </c>
      <c r="F101" s="3" t="inlineStr">
        <is>
          <t>Đuôi 3</t>
        </is>
      </c>
      <c r="G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01" s="7" t="inlineStr">
        <is>
          <t>TRƯỢT ❌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Đầu 1</t>
        </is>
      </c>
      <c r="F102" s="3" t="inlineStr">
        <is>
          <t>Đuôi 4</t>
        </is>
      </c>
      <c r="G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02" s="7" t="inlineStr">
        <is>
          <t>TRƯỢT ❌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Đầu 3</t>
        </is>
      </c>
      <c r="F103" s="3" t="inlineStr">
        <is>
          <t>Đuôi 5</t>
        </is>
      </c>
      <c r="G103" s="3" t="inlineStr">
        <is>
          <t>01, 04, 06, 09, 10, 13, 15, 18, 22, 24, 27, 29, 31, 33, 36, 38, 40, 42, 45, 47, 51, 54, 56, 59, 60, 63, 65, 68, 72, 74, 77, 79, 81, 83, 86, 88, 90, 92, 95, 97</t>
        </is>
      </c>
      <c r="H103" s="7" t="inlineStr">
        <is>
          <t>TRƯỢT ❌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Đầu 5</t>
        </is>
      </c>
      <c r="F104" s="3" t="inlineStr">
        <is>
          <t>Đuôi 5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4" s="6" t="inlineStr">
        <is>
          <t>TRÚNG 🎯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Đầu 4</t>
        </is>
      </c>
      <c r="F105" s="3" t="inlineStr">
        <is>
          <t>Đuôi 3</t>
        </is>
      </c>
      <c r="G105" s="3" t="inlineStr">
        <is>
          <t>03, 04, 08, 09, 12, 13, 17, 18, 21, 22, 26, 27, 30, 31, 35, 36, 40, 44, 45, 49, 53, 54, 58, 59, 62, 63, 67, 68, 71, 72, 76, 77, 80, 81, 85, 86, 90, 94, 95, 99</t>
        </is>
      </c>
      <c r="H105" s="7" t="inlineStr">
        <is>
          <t>TRƯỢT ❌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Đầu 2</t>
        </is>
      </c>
      <c r="F106" s="3" t="inlineStr">
        <is>
          <t>Đuôi 5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  <c r="H106" s="7" t="inlineStr">
        <is>
          <t>TRƯỢT ❌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Đầu 9</t>
        </is>
      </c>
      <c r="F107" s="3" t="inlineStr">
        <is>
          <t>Đuôi 7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  <c r="H107" s="7" t="inlineStr">
        <is>
          <t>TRƯỢT ❌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Đầu 7</t>
        </is>
      </c>
      <c r="F108" s="3" t="inlineStr">
        <is>
          <t>Đuôi 6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7" t="inlineStr">
        <is>
          <t>TRƯỢT ❌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Đầu 4</t>
        </is>
      </c>
      <c r="F109" s="3" t="inlineStr">
        <is>
          <t>Đuôi 8</t>
        </is>
      </c>
      <c r="G109" s="3" t="inlineStr">
        <is>
          <t>04, 09, 13, 18, 22, 27, 31, 36, 40, 45, 54, 59, 63, 68, 72, 77, 81, 86, 90, 95</t>
        </is>
      </c>
      <c r="H109" s="7" t="inlineStr">
        <is>
          <t>TRƯỢT ❌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Đầu 3</t>
        </is>
      </c>
      <c r="F110" s="3" t="inlineStr">
        <is>
          <t>Đuôi 9</t>
        </is>
      </c>
      <c r="G11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0" s="6" t="inlineStr">
        <is>
          <t>TRÚNG 🎯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Đầu 7</t>
        </is>
      </c>
      <c r="F111" s="3" t="inlineStr">
        <is>
          <t>Đuôi 6</t>
        </is>
      </c>
      <c r="G111" s="3" t="inlineStr">
        <is>
          <t>03, 04, 08, 09, 12, 13, 17, 18, 21, 22, 26, 27, 30, 31, 35, 36, 40, 44, 45, 49, 53, 54, 58, 59, 62, 63, 67, 68, 71, 72, 76, 77, 80, 81, 85, 86, 90, 94, 95, 99</t>
        </is>
      </c>
      <c r="H111" s="6" t="inlineStr">
        <is>
          <t>TRÚNG 🎯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Đầu 1</t>
        </is>
      </c>
      <c r="F112" s="3" t="inlineStr">
        <is>
          <t>Đuôi 7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7" t="inlineStr">
        <is>
          <t>TRƯỢT ❌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Đầu 2</t>
        </is>
      </c>
      <c r="F113" s="3" t="inlineStr">
        <is>
          <t>Đuôi 8</t>
        </is>
      </c>
      <c r="G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3" s="7" t="inlineStr">
        <is>
          <t>TRƯỢT ❌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Đầu 5</t>
        </is>
      </c>
      <c r="F114" s="3" t="inlineStr">
        <is>
          <t>Đuôi 9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4" s="6" t="inlineStr">
        <is>
          <t>TRÚNG 🎯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Đầu 5</t>
        </is>
      </c>
      <c r="F115" s="3" t="inlineStr">
        <is>
          <t>Đuôi 4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7" t="inlineStr">
        <is>
          <t>TRƯỢT ❌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00, 04, 05, 09, 13, 14, 18, 19, 22, 23, 27, 28, 31, 32, 36, 37, 40, 41, 45, 46, 50, 54, 55, 59, 63, 64, 68, 69, 72, 73, 77, 78, 81, 82, 86, 87, 90, 91, 95, 96</t>
        </is>
      </c>
      <c r="H116" s="6" t="inlineStr">
        <is>
          <t>TRÚNG 🎯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Đầu 7</t>
        </is>
      </c>
      <c r="F117" s="3" t="inlineStr">
        <is>
          <t>Đuôi 5</t>
        </is>
      </c>
      <c r="G117" s="3" t="inlineStr">
        <is>
          <t>00, 04, 05, 09, 13, 14, 18, 19, 22, 23, 27, 28, 31, 32, 36, 37, 40, 41, 45, 46, 50, 54, 55, 59, 63, 64, 68, 69, 72, 73, 77, 78, 81, 82, 86, 87, 90, 91, 95, 96</t>
        </is>
      </c>
      <c r="H117" s="7" t="inlineStr">
        <is>
          <t>TRƯỢT ❌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Đầu 3</t>
        </is>
      </c>
      <c r="F118" s="3" t="inlineStr">
        <is>
          <t>Đuôi 7</t>
        </is>
      </c>
      <c r="G1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8" s="6" t="inlineStr">
        <is>
          <t>TRÚNG 🎯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Đầu 3</t>
        </is>
      </c>
      <c r="F119" s="3" t="inlineStr">
        <is>
          <t>Đuôi 2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  <c r="H119" s="7" t="inlineStr">
        <is>
          <t>TRƯỢT ❌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Đầu 6</t>
        </is>
      </c>
      <c r="F120" s="3" t="inlineStr">
        <is>
          <t>Đuôi 4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6" t="inlineStr">
        <is>
          <t>TRÚNG 🎯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Đầu 5</t>
        </is>
      </c>
      <c r="F121" s="3" t="inlineStr">
        <is>
          <t>Đuôi 1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6" t="inlineStr">
        <is>
          <t>TRÚNG 🎯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Đầu 1</t>
        </is>
      </c>
      <c r="F122" s="3" t="inlineStr">
        <is>
          <t>Đuôi 2</t>
        </is>
      </c>
      <c r="G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2" s="7" t="inlineStr">
        <is>
          <t>TRƯỢT ❌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Đầu 4</t>
        </is>
      </c>
      <c r="F123" s="3" t="inlineStr">
        <is>
          <t>Đuôi 1</t>
        </is>
      </c>
      <c r="G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3" s="6" t="inlineStr">
        <is>
          <t>TRÚNG 🎯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Đầu 4</t>
        </is>
      </c>
      <c r="F124" s="3" t="inlineStr">
        <is>
          <t>Đuôi 0</t>
        </is>
      </c>
      <c r="G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4" s="6" t="inlineStr">
        <is>
          <t>TRÚNG 🎯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Đầu 4</t>
        </is>
      </c>
      <c r="F125" s="3" t="inlineStr">
        <is>
          <t>Đuôi 7</t>
        </is>
      </c>
      <c r="G125" s="3" t="inlineStr">
        <is>
          <t>01, 04, 06, 09, 10, 13, 15, 18, 22, 24, 27, 29, 31, 33, 36, 38, 40, 42, 45, 47, 51, 54, 56, 59, 60, 63, 65, 68, 72, 74, 77, 79, 81, 83, 86, 88, 90, 92, 95, 97</t>
        </is>
      </c>
      <c r="H125" s="6" t="inlineStr">
        <is>
          <t>TRÚNG 🎯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Đầu 9</t>
        </is>
      </c>
      <c r="F126" s="3" t="inlineStr">
        <is>
          <t>Đuôi 2</t>
        </is>
      </c>
      <c r="G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26" s="6" t="inlineStr">
        <is>
          <t>TRÚNG 🎯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Đầu 2</t>
        </is>
      </c>
      <c r="F127" s="3" t="inlineStr">
        <is>
          <t>Đuôi 3</t>
        </is>
      </c>
      <c r="G127" s="3" t="inlineStr">
        <is>
          <t>00, 04, 05, 09, 13, 14, 18, 19, 22, 23, 27, 28, 31, 32, 36, 37, 40, 41, 45, 46, 50, 54, 55, 59, 63, 64, 68, 69, 72, 73, 77, 78, 81, 82, 86, 87, 90, 91, 95, 96</t>
        </is>
      </c>
      <c r="H127" s="6" t="inlineStr">
        <is>
          <t>TRÚNG 🎯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Đầu 1</t>
        </is>
      </c>
      <c r="F128" s="3" t="inlineStr">
        <is>
          <t>Đuôi 7</t>
        </is>
      </c>
      <c r="G128" s="3" t="inlineStr">
        <is>
          <t>01, 03, 06, 08, 10, 12, 15, 17, 21, 24, 26, 29, 30, 33, 35, 38, 42, 44, 47, 49, 51, 53, 56, 58, 60, 62, 65, 67, 71, 74, 76, 79, 80, 83, 85, 88, 92, 94, 97, 99</t>
        </is>
      </c>
      <c r="H128" s="6" t="inlineStr">
        <is>
          <t>TRÚNG 🎯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Đầu 3</t>
        </is>
      </c>
      <c r="F129" s="3" t="inlineStr">
        <is>
          <t>Đuôi 3</t>
        </is>
      </c>
      <c r="G129" s="3" t="inlineStr">
        <is>
          <t>03, 04, 08, 09, 12, 13, 17, 18, 21, 22, 26, 27, 30, 31, 35, 36, 40, 44, 45, 49, 53, 54, 58, 59, 62, 63, 67, 68, 71, 72, 76, 77, 80, 81, 85, 86, 90, 94, 95, 99</t>
        </is>
      </c>
      <c r="H129" s="7" t="inlineStr">
        <is>
          <t>TRƯỢT ❌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Đầu 3</t>
        </is>
      </c>
      <c r="F130" s="3" t="inlineStr">
        <is>
          <t>Đuôi 8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  <c r="H130" s="7" t="inlineStr">
        <is>
          <t>TRƯỢT ❌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Đầu 6</t>
        </is>
      </c>
      <c r="F131" s="3" t="inlineStr">
        <is>
          <t>Đuôi 9</t>
        </is>
      </c>
      <c r="G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1" s="7" t="inlineStr">
        <is>
          <t>TRƯỢT ❌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Đầu 9</t>
        </is>
      </c>
      <c r="F132" s="3" t="inlineStr">
        <is>
          <t>Đuôi 4</t>
        </is>
      </c>
      <c r="G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32" s="6" t="inlineStr">
        <is>
          <t>TRÚNG 🎯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Đầu 0</t>
        </is>
      </c>
      <c r="F133" s="3" t="inlineStr">
        <is>
          <t>Đuôi 4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3" s="6" t="inlineStr">
        <is>
          <t>TRÚNG 🎯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Đầu 8</t>
        </is>
      </c>
      <c r="F134" s="3" t="inlineStr">
        <is>
          <t>Đuôi 4</t>
        </is>
      </c>
      <c r="G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34" s="6" t="inlineStr">
        <is>
          <t>TRÚNG 🎯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Đầu 6</t>
        </is>
      </c>
      <c r="F135" s="3" t="inlineStr">
        <is>
          <t>Đuôi 1</t>
        </is>
      </c>
      <c r="G135" s="3" t="inlineStr">
        <is>
          <t>01, 04, 06, 09, 10, 13, 15, 18, 22, 24, 27, 29, 31, 33, 36, 38, 40, 42, 45, 47, 51, 54, 56, 59, 60, 63, 65, 68, 72, 74, 77, 79, 81, 83, 86, 88, 90, 92, 95, 97</t>
        </is>
      </c>
      <c r="H135" s="7" t="inlineStr">
        <is>
          <t>TRƯỢT ❌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Đầu 5</t>
        </is>
      </c>
      <c r="F136" s="3" t="inlineStr">
        <is>
          <t>Đuôi 4</t>
        </is>
      </c>
      <c r="G136" s="3" t="inlineStr">
        <is>
          <t>02, 03, 07, 08, 11, 12, 16, 17, 20, 21, 25, 26, 30, 34, 35, 39, 43, 44, 48, 49, 52, 53, 57, 58, 61, 62, 66, 67, 70, 71, 75, 76, 80, 84, 85, 89, 93, 94, 98, 99</t>
        </is>
      </c>
      <c r="H136" s="7" t="inlineStr">
        <is>
          <t>TRƯỢT ❌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Đầu 6</t>
        </is>
      </c>
      <c r="F137" s="3" t="inlineStr">
        <is>
          <t>Đuôi 8</t>
        </is>
      </c>
      <c r="G137" s="3" t="inlineStr">
        <is>
          <t>03, 04, 08, 09, 12, 13, 17, 18, 21, 22, 26, 27, 30, 31, 35, 36, 40, 44, 45, 49, 53, 54, 58, 59, 62, 63, 67, 68, 71, 72, 76, 77, 80, 81, 85, 86, 90, 94, 95, 99</t>
        </is>
      </c>
      <c r="H137" s="6" t="inlineStr">
        <is>
          <t>TRÚNG 🎯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Đầu 8</t>
        </is>
      </c>
      <c r="F138" s="3" t="inlineStr">
        <is>
          <t>Đuôi 5</t>
        </is>
      </c>
      <c r="G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38" s="6" t="inlineStr">
        <is>
          <t>TRÚNG 🎯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Đầu 3</t>
        </is>
      </c>
      <c r="F139" s="3" t="inlineStr">
        <is>
          <t>Đuôi 9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7" t="inlineStr">
        <is>
          <t>TRƯỢT ❌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Đầu 2</t>
        </is>
      </c>
      <c r="F140" s="3" t="inlineStr">
        <is>
          <t>Đuôi 1</t>
        </is>
      </c>
      <c r="G1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40" s="6" t="inlineStr">
        <is>
          <t>TRÚNG 🎯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Đầu 0</t>
        </is>
      </c>
      <c r="F141" s="3" t="inlineStr">
        <is>
          <t>Đuôi 4</t>
        </is>
      </c>
      <c r="G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1" s="6" t="inlineStr">
        <is>
          <t>TRÚNG 🎯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Đầu 8</t>
        </is>
      </c>
      <c r="F142" s="3" t="inlineStr">
        <is>
          <t>Đuôi 1</t>
        </is>
      </c>
      <c r="G142" s="3" t="inlineStr">
        <is>
          <t>01, 03, 06, 08, 10, 12, 15, 17, 21, 24, 26, 29, 30, 33, 35, 38, 42, 44, 47, 49, 51, 53, 56, 58, 60, 62, 65, 67, 71, 74, 76, 79, 80, 83, 85, 88, 92, 94, 97, 99</t>
        </is>
      </c>
      <c r="H142" s="7" t="inlineStr">
        <is>
          <t>TRƯỢT ❌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Đầu 1</t>
        </is>
      </c>
      <c r="F143" s="3" t="inlineStr">
        <is>
          <t>Đuôi 1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3" s="6" t="inlineStr">
        <is>
          <t>TRÚNG 🎯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Đầu 1</t>
        </is>
      </c>
      <c r="F144" s="3" t="inlineStr">
        <is>
          <t>Đuôi 3</t>
        </is>
      </c>
      <c r="G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4" s="7" t="inlineStr">
        <is>
          <t>TRƯỢT ❌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Đầu 5</t>
        </is>
      </c>
      <c r="F145" s="3" t="inlineStr">
        <is>
          <t>Đuôi 0</t>
        </is>
      </c>
      <c r="G145" s="3" t="inlineStr">
        <is>
          <t>02, 04, 07, 09, 11, 13, 16, 18, 20, 22, 25, 27, 31, 34, 36, 39, 40, 43, 45, 48, 52, 54, 57, 59, 61, 63, 66, 68, 70, 72, 75, 77, 81, 84, 86, 89, 90, 93, 95, 98</t>
        </is>
      </c>
      <c r="H145" s="7" t="inlineStr">
        <is>
          <t>TRƯỢT ❌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Đầu 5</t>
        </is>
      </c>
      <c r="F146" s="3" t="inlineStr">
        <is>
          <t>Đuôi 4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6" s="7" t="inlineStr">
        <is>
          <t>TRƯỢT ❌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Đầu 4</t>
        </is>
      </c>
      <c r="F147" s="3" t="inlineStr">
        <is>
          <t>Đuôi 3</t>
        </is>
      </c>
      <c r="G147" s="3" t="inlineStr">
        <is>
          <t>02, 03, 07, 08, 11, 12, 16, 17, 20, 21, 25, 26, 30, 34, 35, 39, 43, 44, 48, 49, 52, 53, 57, 58, 61, 62, 66, 67, 70, 71, 75, 76, 80, 84, 85, 89, 93, 94, 98, 99</t>
        </is>
      </c>
      <c r="H147" s="6" t="inlineStr">
        <is>
          <t>TRÚNG 🎯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Đầu 4</t>
        </is>
      </c>
      <c r="F148" s="3" t="inlineStr">
        <is>
          <t>Đuôi 2</t>
        </is>
      </c>
      <c r="G148" s="3" t="inlineStr">
        <is>
          <t>00, 01, 05, 06, 10, 14, 15, 19, 23, 24, 28, 29, 32, 33, 37, 38, 41, 42, 46, 47, 50, 51, 55, 56, 60, 64, 65, 69, 73, 74, 78, 79, 82, 83, 87, 88, 91, 92, 96, 97</t>
        </is>
      </c>
      <c r="H148" s="6" t="inlineStr">
        <is>
          <t>TRÚNG 🎯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Đầu 5</t>
        </is>
      </c>
      <c r="F149" s="3" t="inlineStr">
        <is>
          <t>Đuôi 3</t>
        </is>
      </c>
      <c r="G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9" s="7" t="inlineStr">
        <is>
          <t>TRƯỢT ❌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Đầu 2</t>
        </is>
      </c>
      <c r="F150" s="3" t="inlineStr">
        <is>
          <t>Đuôi 3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7" t="inlineStr">
        <is>
          <t>TRƯỢT ❌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Đầu 3</t>
        </is>
      </c>
      <c r="F151" s="3" t="inlineStr">
        <is>
          <t>Đuôi 6</t>
        </is>
      </c>
      <c r="G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51" s="6" t="inlineStr">
        <is>
          <t>TRÚNG 🎯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Đầu 8</t>
        </is>
      </c>
      <c r="F152" s="3" t="inlineStr">
        <is>
          <t>Đuôi 3</t>
        </is>
      </c>
      <c r="G152" s="3" t="inlineStr">
        <is>
          <t>02, 04, 07, 09, 11, 13, 16, 18, 20, 22, 25, 27, 31, 34, 36, 39, 40, 43, 45, 48, 52, 54, 57, 59, 61, 63, 66, 68, 70, 72, 75, 77, 81, 84, 86, 89, 90, 93, 95, 98</t>
        </is>
      </c>
      <c r="H152" s="7" t="inlineStr">
        <is>
          <t>TRƯỢT ❌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Đầu 7</t>
        </is>
      </c>
      <c r="F153" s="3" t="inlineStr">
        <is>
          <t>Đuôi 8</t>
        </is>
      </c>
      <c r="G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3" s="7" t="inlineStr">
        <is>
          <t>TRƯỢT ❌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Đầu 6</t>
        </is>
      </c>
      <c r="F154" s="3" t="inlineStr">
        <is>
          <t>Đuôi 5</t>
        </is>
      </c>
      <c r="G154" s="3" t="inlineStr">
        <is>
          <t>02, 03, 07, 08, 11, 12, 16, 17, 20, 21, 25, 26, 30, 34, 35, 39, 43, 44, 48, 49, 52, 53, 57, 58, 61, 62, 66, 67, 70, 71, 75, 76, 80, 84, 85, 89, 93, 94, 98, 99</t>
        </is>
      </c>
      <c r="H154" s="7" t="inlineStr">
        <is>
          <t>TRƯỢT ❌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Đầu 9</t>
        </is>
      </c>
      <c r="F155" s="3" t="inlineStr">
        <is>
          <t>Đuôi 3</t>
        </is>
      </c>
      <c r="G155" s="3" t="inlineStr">
        <is>
          <t>00, 03, 05, 08, 12, 14, 17, 19, 21, 23, 26, 28, 30, 32, 35, 37, 41, 44, 46, 49, 50, 53, 55, 58, 62, 64, 67, 69, 71, 73, 76, 78, 80, 82, 85, 87, 91, 94, 96, 99</t>
        </is>
      </c>
      <c r="H155" s="7" t="inlineStr">
        <is>
          <t>TRƯỢT ❌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Đầu 0</t>
        </is>
      </c>
      <c r="F156" s="3" t="inlineStr">
        <is>
          <t>Đuôi 5</t>
        </is>
      </c>
      <c r="G1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6" s="6" t="inlineStr">
        <is>
          <t>TRÚNG 🎯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Đầu 5</t>
        </is>
      </c>
      <c r="F157" s="3" t="inlineStr">
        <is>
          <t>Đuôi 1</t>
        </is>
      </c>
      <c r="G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57" s="7" t="inlineStr">
        <is>
          <t>TRƯỢT ❌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Đầu 0</t>
        </is>
      </c>
      <c r="F158" s="3" t="inlineStr">
        <is>
          <t>Đuôi 8</t>
        </is>
      </c>
      <c r="G158" s="3" t="inlineStr">
        <is>
          <t>01, 04, 06, 09, 10, 13, 15, 18, 22, 24, 27, 29, 31, 33, 36, 38, 40, 42, 45, 47, 51, 54, 56, 59, 60, 63, 65, 68, 72, 74, 77, 79, 81, 83, 86, 88, 90, 92, 95, 97</t>
        </is>
      </c>
      <c r="H158" s="7" t="inlineStr">
        <is>
          <t>TRƯỢT ❌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Đầu 8</t>
        </is>
      </c>
      <c r="F159" s="3" t="inlineStr">
        <is>
          <t>Đuôi 3</t>
        </is>
      </c>
      <c r="G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59" s="7" t="inlineStr">
        <is>
          <t>TRƯỢT ❌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Đầu 8</t>
        </is>
      </c>
      <c r="F160" s="3" t="inlineStr">
        <is>
          <t>Đuôi 9</t>
        </is>
      </c>
      <c r="G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60" s="6" t="inlineStr">
        <is>
          <t>TRÚNG 🎯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Đầu 1</t>
        </is>
      </c>
      <c r="F161" s="3" t="inlineStr">
        <is>
          <t>Đuôi 4</t>
        </is>
      </c>
      <c r="G161" s="3" t="inlineStr">
        <is>
          <t>02, 03, 07, 08, 11, 12, 16, 17, 20, 21, 25, 26, 30, 34, 35, 39, 43, 44, 48, 49, 52, 53, 57, 58, 61, 62, 66, 67, 70, 71, 75, 76, 80, 84, 85, 89, 93, 94, 98, 99</t>
        </is>
      </c>
      <c r="H161" s="7" t="inlineStr">
        <is>
          <t>TRƯỢT ❌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Đầu 0</t>
        </is>
      </c>
      <c r="F162" s="3" t="inlineStr">
        <is>
          <t>Đuôi 0</t>
        </is>
      </c>
      <c r="G16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2" s="7" t="inlineStr">
        <is>
          <t>TRƯỢT ❌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Đầu 8</t>
        </is>
      </c>
      <c r="F163" s="3" t="inlineStr">
        <is>
          <t>Đuôi 0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3" s="6" t="inlineStr">
        <is>
          <t>TRÚNG 🎯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Đầu 8</t>
        </is>
      </c>
      <c r="F164" s="3" t="inlineStr">
        <is>
          <t>Đuôi 4</t>
        </is>
      </c>
      <c r="G164" s="3" t="inlineStr">
        <is>
          <t>03, 04, 08, 09, 12, 13, 17, 18, 21, 22, 26, 27, 30, 31, 35, 36, 40, 44, 45, 49, 53, 54, 58, 59, 62, 63, 67, 68, 71, 72, 76, 77, 80, 81, 85, 86, 90, 94, 95, 99</t>
        </is>
      </c>
      <c r="H164" s="7" t="inlineStr">
        <is>
          <t>TRƯỢT ❌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Đầu 0</t>
        </is>
      </c>
      <c r="F165" s="3" t="inlineStr">
        <is>
          <t>Đuôi 3</t>
        </is>
      </c>
      <c r="G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65" s="7" t="inlineStr">
        <is>
          <t>TRƯỢT ❌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Đầu 3</t>
        </is>
      </c>
      <c r="F166" s="3" t="inlineStr">
        <is>
          <t>Đuôi 2</t>
        </is>
      </c>
      <c r="G166" s="3" t="inlineStr">
        <is>
          <t>02, 03, 07, 08, 11, 12, 16, 17, 20, 21, 25, 26, 30, 34, 35, 39, 43, 44, 48, 49, 52, 53, 57, 58, 61, 62, 66, 67, 70, 71, 75, 76, 80, 84, 85, 89, 93, 94, 98, 99</t>
        </is>
      </c>
      <c r="H166" s="7" t="inlineStr">
        <is>
          <t>TRƯỢT ❌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Đầu 5</t>
        </is>
      </c>
      <c r="F167" s="3" t="inlineStr">
        <is>
          <t>Đuôi 5</t>
        </is>
      </c>
      <c r="G16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67" s="6" t="inlineStr">
        <is>
          <t>TRÚNG 🎯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Đầu 6</t>
        </is>
      </c>
      <c r="F168" s="3" t="inlineStr">
        <is>
          <t>Đuôi 0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7" t="inlineStr">
        <is>
          <t>TRƯỢT ❌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Đầu 8</t>
        </is>
      </c>
      <c r="F169" s="3" t="inlineStr">
        <is>
          <t>Đuôi 3</t>
        </is>
      </c>
      <c r="G169" s="3" t="inlineStr">
        <is>
          <t>00, 03, 05, 08, 12, 14, 17, 19, 21, 23, 26, 28, 30, 32, 35, 37, 41, 44, 46, 49, 50, 53, 55, 58, 62, 64, 67, 69, 71, 73, 76, 78, 80, 82, 85, 87, 91, 94, 96, 99</t>
        </is>
      </c>
      <c r="H169" s="7" t="inlineStr">
        <is>
          <t>TRƯỢT ❌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Đầu 3</t>
        </is>
      </c>
      <c r="F170" s="3" t="inlineStr">
        <is>
          <t>Đuôi 6</t>
        </is>
      </c>
      <c r="G17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0" s="7" t="inlineStr">
        <is>
          <t>TRƯỢT ❌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Đầu 3</t>
        </is>
      </c>
      <c r="F171" s="3" t="inlineStr">
        <is>
          <t>Đuôi 7</t>
        </is>
      </c>
      <c r="G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71" s="6" t="inlineStr">
        <is>
          <t>TRÚNG 🎯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Đầu 5</t>
        </is>
      </c>
      <c r="F172" s="3" t="inlineStr">
        <is>
          <t>Đuôi 1</t>
        </is>
      </c>
      <c r="G172" s="3" t="inlineStr">
        <is>
          <t>01, 02, 06, 07, 10, 11, 15, 16, 20, 24, 25, 29, 33, 34, 38, 39, 42, 43, 47, 48, 51, 52, 56, 57, 60, 61, 65, 66, 70, 74, 75, 79, 83, 84, 88, 89, 92, 93, 97, 98</t>
        </is>
      </c>
      <c r="H172" s="6" t="inlineStr">
        <is>
          <t>TRÚNG 🎯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Đầu 1</t>
        </is>
      </c>
      <c r="F173" s="3" t="inlineStr">
        <is>
          <t>Đuôi 6</t>
        </is>
      </c>
      <c r="G173" s="3" t="inlineStr">
        <is>
          <t>02, 04, 07, 09, 11, 13, 16, 18, 20, 22, 25, 27, 31, 34, 36, 39, 40, 43, 45, 48, 52, 54, 57, 59, 61, 63, 66, 68, 70, 72, 75, 77, 81, 84, 86, 89, 90, 93, 95, 98</t>
        </is>
      </c>
      <c r="H173" s="6" t="inlineStr">
        <is>
          <t>TRÚNG 🎯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Đầu 0</t>
        </is>
      </c>
      <c r="F174" s="3" t="inlineStr">
        <is>
          <t>Đuôi 4</t>
        </is>
      </c>
      <c r="G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4" s="6" t="inlineStr">
        <is>
          <t>TRÚNG 🎯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Đầu 5</t>
        </is>
      </c>
      <c r="F175" s="3" t="inlineStr">
        <is>
          <t>Đuôi 3</t>
        </is>
      </c>
      <c r="G175" s="3" t="inlineStr">
        <is>
          <t>00, 02, 05, 07, 11, 14, 16, 19, 20, 23, 25, 28, 32, 34, 37, 39, 41, 43, 46, 48, 50, 52, 55, 57, 61, 64, 66, 69, 70, 73, 75, 78, 82, 84, 87, 89, 91, 93, 96, 98</t>
        </is>
      </c>
      <c r="H175" s="7" t="inlineStr">
        <is>
          <t>TRƯỢT ❌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Đầu 5</t>
        </is>
      </c>
      <c r="F176" s="3" t="inlineStr">
        <is>
          <t>Đuôi 2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6" s="6" t="inlineStr">
        <is>
          <t>TRÚNG 🎯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Đầu 4</t>
        </is>
      </c>
      <c r="F177" s="3" t="inlineStr">
        <is>
          <t>Đuôi 2</t>
        </is>
      </c>
      <c r="G177" s="3" t="inlineStr">
        <is>
          <t>00, 03, 05, 08, 12, 14, 17, 19, 21, 23, 26, 28, 30, 32, 35, 37, 41, 44, 46, 49, 50, 53, 55, 58, 62, 64, 67, 69, 71, 73, 76, 78, 80, 82, 85, 87, 91, 94, 96, 99</t>
        </is>
      </c>
      <c r="H177" s="7" t="inlineStr">
        <is>
          <t>TRƯỢT ❌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Đầu 6</t>
        </is>
      </c>
      <c r="F178" s="3" t="inlineStr">
        <is>
          <t>Đuôi 8</t>
        </is>
      </c>
      <c r="G178" s="3" t="inlineStr">
        <is>
          <t>02, 03, 07, 08, 11, 12, 16, 17, 20, 21, 25, 26, 30, 34, 35, 39, 43, 44, 48, 49, 52, 53, 57, 58, 61, 62, 66, 67, 70, 71, 75, 76, 80, 84, 85, 89, 93, 94, 98, 99</t>
        </is>
      </c>
      <c r="H178" s="7" t="inlineStr">
        <is>
          <t>TRƯỢT ❌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Đầu 5</t>
        </is>
      </c>
      <c r="F179" s="3" t="inlineStr">
        <is>
          <t>Đuôi 4</t>
        </is>
      </c>
      <c r="G179" s="3" t="inlineStr">
        <is>
          <t>01, 04, 06, 09, 10, 13, 15, 18, 22, 24, 27, 29, 31, 33, 36, 38, 40, 42, 45, 47, 51, 54, 56, 59, 60, 63, 65, 68, 72, 74, 77, 79, 81, 83, 86, 88, 90, 92, 95, 97</t>
        </is>
      </c>
      <c r="H179" s="6" t="inlineStr">
        <is>
          <t>TRÚNG 🎯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Đầu 3</t>
        </is>
      </c>
      <c r="F180" s="3" t="inlineStr">
        <is>
          <t>Đuôi 9</t>
        </is>
      </c>
      <c r="G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0" s="6" t="inlineStr">
        <is>
          <t>TRÚNG 🎯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Đầu 6</t>
        </is>
      </c>
      <c r="F181" s="3" t="inlineStr">
        <is>
          <t>Đuôi 5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1" s="6" t="inlineStr">
        <is>
          <t>TRÚNG 🎯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Đầu 8</t>
        </is>
      </c>
      <c r="F182" s="3" t="inlineStr">
        <is>
          <t>Đuôi 7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7" t="inlineStr">
        <is>
          <t>TRƯỢT ❌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Đầu 7</t>
        </is>
      </c>
      <c r="F183" s="3" t="inlineStr">
        <is>
          <t>Đuôi 1</t>
        </is>
      </c>
      <c r="G183" s="3" t="inlineStr">
        <is>
          <t>00, 04, 05, 09, 13, 14, 18, 19, 22, 23, 27, 28, 31, 32, 36, 37, 40, 41, 45, 46, 50, 54, 55, 59, 63, 64, 68, 69, 72, 73, 77, 78, 81, 82, 86, 87, 90, 91, 95, 96</t>
        </is>
      </c>
      <c r="H183" s="7" t="inlineStr">
        <is>
          <t>TRƯỢT ❌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Đầu 9</t>
        </is>
      </c>
      <c r="F184" s="3" t="inlineStr">
        <is>
          <t>Đuôi 7</t>
        </is>
      </c>
      <c r="G184" s="3" t="inlineStr">
        <is>
          <t>03, 08, 12, 17, 21, 26, 30, 35, 44, 49, 53, 58, 62, 67, 71, 76, 80, 85, 94, 99</t>
        </is>
      </c>
      <c r="H184" s="7" t="inlineStr">
        <is>
          <t>TRƯỢT ❌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Đầu 7</t>
        </is>
      </c>
      <c r="F185" s="3" t="inlineStr">
        <is>
          <t>Đuôi 9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7" t="inlineStr">
        <is>
          <t>TRƯỢT ❌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Đầu 8</t>
        </is>
      </c>
      <c r="F186" s="3" t="inlineStr">
        <is>
          <t>Đuôi 9</t>
        </is>
      </c>
      <c r="G186" s="3" t="inlineStr">
        <is>
          <t>03, 04, 08, 09, 12, 13, 17, 18, 21, 22, 26, 27, 30, 31, 35, 36, 40, 44, 45, 49, 53, 54, 58, 59, 62, 63, 67, 68, 71, 72, 76, 77, 80, 81, 85, 86, 90, 94, 95, 99</t>
        </is>
      </c>
      <c r="H186" s="7" t="inlineStr">
        <is>
          <t>TRƯỢT ❌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Đầu 8</t>
        </is>
      </c>
      <c r="F187" s="3" t="inlineStr">
        <is>
          <t>Đuôi 5</t>
        </is>
      </c>
      <c r="G1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7" s="7" t="inlineStr">
        <is>
          <t>TRƯỢT ❌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Đầu 6</t>
        </is>
      </c>
      <c r="F188" s="3" t="inlineStr">
        <is>
          <t>Đuôi 7</t>
        </is>
      </c>
      <c r="G188" s="3" t="inlineStr">
        <is>
          <t>00, 04, 05, 09, 13, 14, 18, 19, 22, 23, 27, 28, 31, 32, 36, 37, 40, 41, 45, 46, 50, 54, 55, 59, 63, 64, 68, 69, 72, 73, 77, 78, 81, 82, 86, 87, 90, 91, 95, 96</t>
        </is>
      </c>
      <c r="H188" s="7" t="inlineStr">
        <is>
          <t>TRƯỢT ❌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Đầu 0</t>
        </is>
      </c>
      <c r="F189" s="3" t="inlineStr">
        <is>
          <t>Đuôi 1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9" s="7" t="inlineStr">
        <is>
          <t>TRƯỢT ❌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Đầu 9</t>
        </is>
      </c>
      <c r="F190" s="3" t="inlineStr">
        <is>
          <t>Đuôi 4</t>
        </is>
      </c>
      <c r="G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0" s="6" t="inlineStr">
        <is>
          <t>TRÚNG 🎯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Đầu 9</t>
        </is>
      </c>
      <c r="F191" s="3" t="inlineStr">
        <is>
          <t>Đuôi 9</t>
        </is>
      </c>
      <c r="G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1" s="7" t="inlineStr">
        <is>
          <t>TRƯỢT ❌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Đầu 4</t>
        </is>
      </c>
      <c r="F192" s="3" t="inlineStr">
        <is>
          <t>Đuôi 7</t>
        </is>
      </c>
      <c r="G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2" s="6" t="inlineStr">
        <is>
          <t>TRÚNG 🎯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Đầu 1</t>
        </is>
      </c>
      <c r="F193" s="3" t="inlineStr">
        <is>
          <t>Đuôi 9</t>
        </is>
      </c>
      <c r="G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3" s="6" t="inlineStr">
        <is>
          <t>TRÚNG 🎯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Đầu 6</t>
        </is>
      </c>
      <c r="F194" s="3" t="inlineStr">
        <is>
          <t>Đuôi 3</t>
        </is>
      </c>
      <c r="G19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94" s="6" t="inlineStr">
        <is>
          <t>TRÚNG 🎯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Đầu 3</t>
        </is>
      </c>
      <c r="F195" s="3" t="inlineStr">
        <is>
          <t>Đuôi 9</t>
        </is>
      </c>
      <c r="G195" s="3" t="inlineStr">
        <is>
          <t>02, 03, 07, 08, 11, 12, 16, 17, 20, 21, 25, 26, 30, 34, 35, 39, 43, 44, 48, 49, 52, 53, 57, 58, 61, 62, 66, 67, 70, 71, 75, 76, 80, 84, 85, 89, 93, 94, 98, 99</t>
        </is>
      </c>
      <c r="H195" s="6" t="inlineStr">
        <is>
          <t>TRÚNG 🎯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Đầu 9</t>
        </is>
      </c>
      <c r="F196" s="3" t="inlineStr">
        <is>
          <t>Đuôi 0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6" t="inlineStr">
        <is>
          <t>TRÚNG 🎯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Đầu 3</t>
        </is>
      </c>
      <c r="F197" s="3" t="inlineStr">
        <is>
          <t>Đuôi 8</t>
        </is>
      </c>
      <c r="G197" s="3" t="inlineStr">
        <is>
          <t>00, 04, 05, 09, 13, 14, 18, 19, 22, 23, 27, 28, 31, 32, 36, 37, 40, 41, 45, 46, 50, 54, 55, 59, 63, 64, 68, 69, 72, 73, 77, 78, 81, 82, 86, 87, 90, 91, 95, 96</t>
        </is>
      </c>
      <c r="H197" s="7" t="inlineStr">
        <is>
          <t>TRƯỢT ❌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Đầu 2</t>
        </is>
      </c>
      <c r="F198" s="3" t="inlineStr">
        <is>
          <t>Đuôi 8</t>
        </is>
      </c>
      <c r="G1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98" s="7" t="inlineStr">
        <is>
          <t>TRƯỢT ❌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Đầu 7</t>
        </is>
      </c>
      <c r="F199" s="3" t="inlineStr">
        <is>
          <t>Đuôi 0</t>
        </is>
      </c>
      <c r="G1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9" s="6" t="inlineStr">
        <is>
          <t>TRÚNG 🎯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  <c r="H200" s="7" t="inlineStr">
        <is>
          <t>TRƯỢT ❌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Đầu 5</t>
        </is>
      </c>
      <c r="F201" s="3" t="inlineStr">
        <is>
          <t>Đuôi 4</t>
        </is>
      </c>
      <c r="G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1" s="6" t="inlineStr">
        <is>
          <t>TRÚNG 🎯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Đầu 3</t>
        </is>
      </c>
      <c r="F202" s="3" t="inlineStr">
        <is>
          <t>Đuôi 8</t>
        </is>
      </c>
      <c r="G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02" s="7" t="inlineStr">
        <is>
          <t>TRƯỢT ❌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Đầu 2</t>
        </is>
      </c>
      <c r="F203" s="3" t="inlineStr">
        <is>
          <t>Đuôi 8</t>
        </is>
      </c>
      <c r="G20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3" s="7" t="inlineStr">
        <is>
          <t>TRƯỢT ❌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Đầu 1</t>
        </is>
      </c>
      <c r="F204" s="3" t="inlineStr">
        <is>
          <t>Đuôi 6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4" s="6" t="inlineStr">
        <is>
          <t>TRÚNG 🎯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Đầu 9</t>
        </is>
      </c>
      <c r="F205" s="3" t="inlineStr">
        <is>
          <t>Đuôi 6</t>
        </is>
      </c>
      <c r="G205" s="3" t="inlineStr">
        <is>
          <t>00, 02, 05, 07, 11, 14, 16, 19, 20, 23, 25, 28, 32, 34, 37, 39, 41, 43, 46, 48, 50, 52, 55, 57, 61, 64, 66, 69, 70, 73, 75, 78, 82, 84, 87, 89, 91, 93, 96, 98</t>
        </is>
      </c>
      <c r="H205" s="6" t="inlineStr">
        <is>
          <t>TRÚNG 🎯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Đầu 0</t>
        </is>
      </c>
      <c r="F206" s="3" t="inlineStr">
        <is>
          <t>Đuôi 0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  <c r="H206" s="6" t="inlineStr">
        <is>
          <t>TRÚNG 🎯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Đầu 8</t>
        </is>
      </c>
      <c r="F207" s="3" t="inlineStr">
        <is>
          <t>Đuôi 3</t>
        </is>
      </c>
      <c r="G20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7" s="6" t="inlineStr">
        <is>
          <t>TRÚNG 🎯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Đầu 3</t>
        </is>
      </c>
      <c r="F208" s="3" t="inlineStr">
        <is>
          <t>Đuôi 4</t>
        </is>
      </c>
      <c r="G208" s="3" t="inlineStr">
        <is>
          <t>02, 07, 11, 16, 20, 25, 34, 39, 43, 48, 52, 57, 61, 66, 70, 75, 84, 89, 93, 98</t>
        </is>
      </c>
      <c r="H208" s="6" t="inlineStr">
        <is>
          <t>TRÚNG 🎯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Đầu 1</t>
        </is>
      </c>
      <c r="F209" s="3" t="inlineStr">
        <is>
          <t>Đuôi 0</t>
        </is>
      </c>
      <c r="G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9" s="6" t="inlineStr">
        <is>
          <t>TRÚNG 🎯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Đầu 2</t>
        </is>
      </c>
      <c r="F210" s="3" t="inlineStr">
        <is>
          <t>Đuôi 3</t>
        </is>
      </c>
      <c r="G210" s="3" t="inlineStr">
        <is>
          <t>01, 04, 06, 09, 10, 13, 15, 18, 22, 24, 27, 29, 31, 33, 36, 38, 40, 42, 45, 47, 51, 54, 56, 59, 60, 63, 65, 68, 72, 74, 77, 79, 81, 83, 86, 88, 90, 92, 95, 97</t>
        </is>
      </c>
      <c r="H210" s="7" t="inlineStr">
        <is>
          <t>TRƯỢT ❌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Đầu 0</t>
        </is>
      </c>
      <c r="F211" s="3" t="inlineStr">
        <is>
          <t>Đuôi 9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1" s="7" t="inlineStr">
        <is>
          <t>TRƯỢT ❌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Đầu 4</t>
        </is>
      </c>
      <c r="F212" s="3" t="inlineStr">
        <is>
          <t>Đuôi 7</t>
        </is>
      </c>
      <c r="G2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2" s="7" t="inlineStr">
        <is>
          <t>TRƯỢT ❌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Đầu 2</t>
        </is>
      </c>
      <c r="F213" s="3" t="inlineStr">
        <is>
          <t>Đuôi 5</t>
        </is>
      </c>
      <c r="G213" s="3" t="inlineStr">
        <is>
          <t>01, 04, 06, 09, 10, 13, 15, 18, 22, 24, 27, 29, 31, 33, 36, 38, 40, 42, 45, 47, 51, 54, 56, 59, 60, 63, 65, 68, 72, 74, 77, 79, 81, 83, 86, 88, 90, 92, 95, 97</t>
        </is>
      </c>
      <c r="H213" s="7" t="inlineStr">
        <is>
          <t>TRƯỢT ❌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Đầu 6</t>
        </is>
      </c>
      <c r="F214" s="3" t="inlineStr">
        <is>
          <t>Đuôi 0</t>
        </is>
      </c>
      <c r="G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14" s="7" t="inlineStr">
        <is>
          <t>TRƯỢT ❌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Đầu 6</t>
        </is>
      </c>
      <c r="F215" s="3" t="inlineStr">
        <is>
          <t>Đuôi 7</t>
        </is>
      </c>
      <c r="G215" s="3" t="inlineStr">
        <is>
          <t>02, 04, 07, 09, 11, 13, 16, 18, 20, 22, 25, 27, 31, 34, 36, 39, 40, 43, 45, 48, 52, 54, 57, 59, 61, 63, 66, 68, 70, 72, 75, 77, 81, 84, 86, 89, 90, 93, 95, 98</t>
        </is>
      </c>
      <c r="H215" s="7" t="inlineStr">
        <is>
          <t>TRƯỢT ❌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Đầu 7</t>
        </is>
      </c>
      <c r="F216" s="3" t="inlineStr">
        <is>
          <t>Đuôi 9</t>
        </is>
      </c>
      <c r="G2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6" s="7" t="inlineStr">
        <is>
          <t>TRƯỢT ❌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Đầu 2</t>
        </is>
      </c>
      <c r="F217" s="3" t="inlineStr">
        <is>
          <t>Đuôi 2</t>
        </is>
      </c>
      <c r="G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7" s="6" t="inlineStr">
        <is>
          <t>TRÚNG 🎯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Đầu 2</t>
        </is>
      </c>
      <c r="F218" s="3" t="inlineStr">
        <is>
          <t>Đuôi 1</t>
        </is>
      </c>
      <c r="G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18" s="6" t="inlineStr">
        <is>
          <t>TRÚNG 🎯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Đầu 5</t>
        </is>
      </c>
      <c r="F219" s="3" t="inlineStr">
        <is>
          <t>Đuôi 7</t>
        </is>
      </c>
      <c r="G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19" s="7" t="inlineStr">
        <is>
          <t>TRƯỢT ❌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Đầu 9</t>
        </is>
      </c>
      <c r="F220" s="3" t="inlineStr">
        <is>
          <t>Đuôi 1</t>
        </is>
      </c>
      <c r="G220" s="3" t="inlineStr">
        <is>
          <t>02, 04, 07, 09, 11, 13, 16, 18, 20, 22, 25, 27, 31, 34, 36, 39, 40, 43, 45, 48, 52, 54, 57, 59, 61, 63, 66, 68, 70, 72, 75, 77, 81, 84, 86, 89, 90, 93, 95, 98</t>
        </is>
      </c>
      <c r="H220" s="7" t="inlineStr">
        <is>
          <t>TRƯỢT ❌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Đầu 2</t>
        </is>
      </c>
      <c r="F221" s="3" t="inlineStr">
        <is>
          <t>Đuôi 6</t>
        </is>
      </c>
      <c r="G221" s="3" t="inlineStr">
        <is>
          <t>01, 04, 06, 09, 10, 13, 15, 18, 22, 24, 27, 29, 31, 33, 36, 38, 40, 42, 45, 47, 51, 54, 56, 59, 60, 63, 65, 68, 72, 74, 77, 79, 81, 83, 86, 88, 90, 92, 95, 97</t>
        </is>
      </c>
      <c r="H221" s="7" t="inlineStr">
        <is>
          <t>TRƯỢT ❌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Đầu 4</t>
        </is>
      </c>
      <c r="F222" s="3" t="inlineStr">
        <is>
          <t>Đuôi 4</t>
        </is>
      </c>
      <c r="G222" s="3" t="inlineStr">
        <is>
          <t>01, 03, 06, 08, 10, 12, 15, 17, 21, 24, 26, 29, 30, 33, 35, 38, 42, 44, 47, 49, 51, 53, 56, 58, 60, 62, 65, 67, 71, 74, 76, 79, 80, 83, 85, 88, 92, 94, 97, 99</t>
        </is>
      </c>
      <c r="H222" s="6" t="inlineStr">
        <is>
          <t>TRÚNG 🎯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Đầu 1</t>
        </is>
      </c>
      <c r="F223" s="3" t="inlineStr">
        <is>
          <t>Đuôi 8</t>
        </is>
      </c>
      <c r="G223" s="3" t="inlineStr">
        <is>
          <t>00, 03, 05, 08, 12, 14, 17, 19, 21, 23, 26, 28, 30, 32, 35, 37, 41, 44, 46, 49, 50, 53, 55, 58, 62, 64, 67, 69, 71, 73, 76, 78, 80, 82, 85, 87, 91, 94, 96, 99</t>
        </is>
      </c>
      <c r="H223" s="7" t="inlineStr">
        <is>
          <t>TRƯỢT ❌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Đầu 7</t>
        </is>
      </c>
      <c r="F224" s="3" t="inlineStr">
        <is>
          <t>Đuôi 8</t>
        </is>
      </c>
      <c r="G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24" s="6" t="inlineStr">
        <is>
          <t>TRÚNG 🎯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Đầu 9</t>
        </is>
      </c>
      <c r="F225" s="3" t="inlineStr">
        <is>
          <t>Đuôi 6</t>
        </is>
      </c>
      <c r="G225" s="3" t="inlineStr">
        <is>
          <t>01, 02, 06, 07, 10, 11, 15, 16, 20, 24, 25, 29, 33, 34, 38, 39, 42, 43, 47, 48, 51, 52, 56, 57, 60, 61, 65, 66, 70, 74, 75, 79, 83, 84, 88, 89, 92, 93, 97, 98</t>
        </is>
      </c>
      <c r="H225" s="7" t="inlineStr">
        <is>
          <t>TRƯỢT ❌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Đầu 3</t>
        </is>
      </c>
      <c r="F226" s="3" t="inlineStr">
        <is>
          <t>Đuôi 9</t>
        </is>
      </c>
      <c r="G226" s="3" t="inlineStr">
        <is>
          <t>00, 02, 05, 07, 11, 14, 16, 19, 20, 23, 25, 28, 32, 34, 37, 39, 41, 43, 46, 48, 50, 52, 55, 57, 61, 64, 66, 69, 70, 73, 75, 78, 82, 84, 87, 89, 91, 93, 96, 98</t>
        </is>
      </c>
      <c r="H226" s="6" t="inlineStr">
        <is>
          <t>TRÚNG 🎯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Đầu 8</t>
        </is>
      </c>
      <c r="F227" s="3" t="inlineStr">
        <is>
          <t>Đuôi 3</t>
        </is>
      </c>
      <c r="G227" s="3" t="inlineStr">
        <is>
          <t>02, 03, 07, 08, 11, 12, 16, 17, 20, 21, 25, 26, 30, 34, 35, 39, 43, 44, 48, 49, 52, 53, 57, 58, 61, 62, 66, 67, 70, 71, 75, 76, 80, 84, 85, 89, 93, 94, 98, 99</t>
        </is>
      </c>
      <c r="H227" s="7" t="inlineStr">
        <is>
          <t>TRƯỢT ❌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13643</t>
        </is>
      </c>
      <c r="D228" s="3" t="inlineStr">
        <is>
          <t>43</t>
        </is>
      </c>
      <c r="E228" s="3" t="inlineStr">
        <is>
          <t>Đầu 4</t>
        </is>
      </c>
      <c r="F228" s="3" t="inlineStr">
        <is>
          <t>Đuôi 3</t>
        </is>
      </c>
      <c r="G228" s="3" t="inlineStr">
        <is>
          <t>01, 04, 06, 09, 10, 13, 15, 18, 22, 24, 27, 29, 31, 33, 36, 38, 40, 42, 45, 47, 51, 54, 56, 59, 60, 63, 65, 68, 72, 74, 77, 79, 81, 83, 86, 88, 90, 92, 95, 97</t>
        </is>
      </c>
      <c r="H228" s="7" t="inlineStr">
        <is>
          <t>TRƯỢT ❌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07523</t>
        </is>
      </c>
      <c r="D229" s="3" t="inlineStr">
        <is>
          <t>23</t>
        </is>
      </c>
      <c r="E229" s="3" t="inlineStr">
        <is>
          <t>Đầu 2</t>
        </is>
      </c>
      <c r="F229" s="3" t="inlineStr">
        <is>
          <t>Đuôi 3</t>
        </is>
      </c>
      <c r="G229" s="3" t="inlineStr">
        <is>
          <t>00, 02, 05, 07, 11, 14, 16, 19, 20, 23, 25, 28, 32, 34, 37, 39, 41, 43, 46, 48, 50, 52, 55, 57, 61, 64, 66, 69, 70, 73, 75, 78, 82, 84, 87, 89, 91, 93, 96, 98</t>
        </is>
      </c>
      <c r="H229" s="6" t="inlineStr">
        <is>
          <t>TRÚNG 🎯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94533</t>
        </is>
      </c>
      <c r="D230" s="3" t="inlineStr">
        <is>
          <t>33</t>
        </is>
      </c>
      <c r="E230" s="3" t="inlineStr">
        <is>
          <t>Đầu 3</t>
        </is>
      </c>
      <c r="F230" s="3" t="inlineStr">
        <is>
          <t>Đuôi 3</t>
        </is>
      </c>
      <c r="G230" s="3" t="inlineStr">
        <is>
          <t>01, 02, 06, 07, 10, 11, 15, 16, 20, 24, 25, 29, 33, 34, 38, 39, 42, 43, 47, 48, 51, 52, 56, 57, 60, 61, 65, 66, 70, 74, 75, 79, 83, 84, 88, 89, 92, 93, 97, 98</t>
        </is>
      </c>
      <c r="H230" s="6" t="inlineStr">
        <is>
          <t>TRÚNG 🎯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60213</t>
        </is>
      </c>
      <c r="D231" s="3" t="inlineStr">
        <is>
          <t>13</t>
        </is>
      </c>
      <c r="E231" s="3" t="inlineStr">
        <is>
          <t>Đầu 1</t>
        </is>
      </c>
      <c r="F231" s="3" t="inlineStr">
        <is>
          <t>Đuôi 3</t>
        </is>
      </c>
      <c r="G231" s="3" t="inlineStr">
        <is>
          <t>03, 04, 08, 09, 12, 13, 17, 18, 21, 22, 26, 27, 30, 31, 35, 36, 40, 44, 45, 49, 53, 54, 58, 59, 62, 63, 67, 68, 71, 72, 76, 77, 80, 81, 85, 86, 90, 94, 95, 99</t>
        </is>
      </c>
      <c r="H231" s="6" t="inlineStr">
        <is>
          <t>TRÚNG 🎯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37938</t>
        </is>
      </c>
      <c r="D232" s="3" t="inlineStr">
        <is>
          <t>38</t>
        </is>
      </c>
      <c r="E232" s="3" t="inlineStr">
        <is>
          <t>Đầu 3</t>
        </is>
      </c>
      <c r="F232" s="3" t="inlineStr">
        <is>
          <t>Đuôi 8</t>
        </is>
      </c>
      <c r="G2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32" s="6" t="inlineStr">
        <is>
          <t>TRÚNG 🎯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36917</t>
        </is>
      </c>
      <c r="D233" s="3" t="inlineStr">
        <is>
          <t>17</t>
        </is>
      </c>
      <c r="E233" s="3" t="inlineStr">
        <is>
          <t>Đầu 1</t>
        </is>
      </c>
      <c r="F233" s="3" t="inlineStr">
        <is>
          <t>Đuôi 7</t>
        </is>
      </c>
      <c r="G23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33" s="7" t="inlineStr">
        <is>
          <t>TRƯỢT ❌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85080</t>
        </is>
      </c>
      <c r="D234" s="3" t="inlineStr">
        <is>
          <t>80</t>
        </is>
      </c>
      <c r="E234" s="3" t="inlineStr">
        <is>
          <t>Đầu 8</t>
        </is>
      </c>
      <c r="F234" s="3" t="inlineStr">
        <is>
          <t>Đuôi 0</t>
        </is>
      </c>
      <c r="G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34" s="6" t="inlineStr">
        <is>
          <t>TRÚNG 🎯</t>
        </is>
      </c>
    </row>
    <row r="235">
      <c r="A235" s="2" t="n">
        <v>233</v>
      </c>
      <c r="B235" s="2" t="inlineStr">
        <is>
          <t>Thứ ba ngày 25-08-2026</t>
        </is>
      </c>
      <c r="C235" s="3" t="inlineStr">
        <is>
          <t>85361</t>
        </is>
      </c>
      <c r="D235" s="3" t="inlineStr">
        <is>
          <t>61</t>
        </is>
      </c>
      <c r="E235" s="3" t="inlineStr">
        <is>
          <t>Đầu 6</t>
        </is>
      </c>
      <c r="F235" s="3" t="inlineStr">
        <is>
          <t>Đuôi 1</t>
        </is>
      </c>
      <c r="G235" s="3" t="inlineStr">
        <is>
          <t>00, 04, 05, 09, 13, 14, 18, 19, 22, 23, 27, 28, 31, 32, 36, 37, 40, 41, 45, 46, 50, 54, 55, 59, 63, 64, 68, 69, 72, 73, 77, 78, 81, 82, 86, 87, 90, 91, 95, 96</t>
        </is>
      </c>
      <c r="H235" s="7" t="inlineStr">
        <is>
          <t>TRƯỢT ❌</t>
        </is>
      </c>
    </row>
    <row r="236">
      <c r="A236" s="2" t="n">
        <v>234</v>
      </c>
      <c r="B236" s="2" t="inlineStr">
        <is>
          <t>Thứ tư ngày 26-08-2026</t>
        </is>
      </c>
      <c r="C236" s="3" t="inlineStr">
        <is>
          <t>82645</t>
        </is>
      </c>
      <c r="D236" s="3" t="inlineStr">
        <is>
          <t>45</t>
        </is>
      </c>
      <c r="E236" s="3" t="inlineStr">
        <is>
          <t>Đầu 4</t>
        </is>
      </c>
      <c r="F236" s="3" t="inlineStr">
        <is>
          <t>Đuôi 5</t>
        </is>
      </c>
      <c r="G236" s="3" t="inlineStr">
        <is>
          <t>00, 04, 05, 09, 13, 14, 18, 19, 22, 23, 27, 28, 31, 32, 36, 37, 40, 41, 45, 46, 50, 54, 55, 59, 63, 64, 68, 69, 72, 73, 77, 78, 81, 82, 86, 87, 90, 91, 95, 96</t>
        </is>
      </c>
      <c r="H236" s="6" t="inlineStr">
        <is>
          <t>TRÚNG 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4" t="inlineStr">
        <is>
          <t>--- DỰ ĐOÁN ĐẦU / ĐUÔI VÀ DÀN SỐ CHO NGÀY TỚI ---</t>
        </is>
      </c>
      <c r="B2" s="4" t="inlineStr"/>
    </row>
    <row r="3">
      <c r="A3" s="2" t="inlineStr">
        <is>
          <t>Top 3 Đầu Tiềm Năng</t>
        </is>
      </c>
      <c r="B3" s="2" t="inlineStr">
        <is>
          <t>Đầu 2, Đầu 1, Đầu 3</t>
        </is>
      </c>
    </row>
    <row r="4">
      <c r="A4" s="2" t="inlineStr">
        <is>
          <t>Top 3 Đuôi Tiềm Năng</t>
        </is>
      </c>
      <c r="B4" s="2" t="inlineStr">
        <is>
          <t>Đuôi 3, Đuôi 7, Đuôi 8</t>
        </is>
      </c>
    </row>
    <row r="5">
      <c r="A5" s="2" t="inlineStr">
        <is>
          <t>Dàn 20 Con Số Dự Đoán Đồng Thuận Super-Score</t>
        </is>
      </c>
      <c r="B5" s="2" t="inlineStr">
        <is>
          <t>39, 67, 43, 09, 13, 17, 18, 21, 26, 57, 80, 22, 25, 44, 61, 34, 45, 83, 16, 54</t>
        </is>
      </c>
    </row>
    <row r="6">
      <c r="A6" s="4" t="inlineStr">
        <is>
          <t>--- TẦN SUẤT ĐẦU NĂM 2026 ---</t>
        </is>
      </c>
      <c r="B6" s="4" t="inlineStr"/>
    </row>
    <row r="7">
      <c r="A7" s="2" t="inlineStr">
        <is>
          <t>Đầu 3</t>
        </is>
      </c>
      <c r="B7" s="2" t="inlineStr">
        <is>
          <t>28 lần</t>
        </is>
      </c>
    </row>
    <row r="8">
      <c r="A8" s="2" t="inlineStr">
        <is>
          <t>Đầu 5</t>
        </is>
      </c>
      <c r="B8" s="2" t="inlineStr">
        <is>
          <t>28 lần</t>
        </is>
      </c>
    </row>
    <row r="9">
      <c r="A9" s="2" t="inlineStr">
        <is>
          <t>Đầu 8</t>
        </is>
      </c>
      <c r="B9" s="2" t="inlineStr">
        <is>
          <t>27 lần</t>
        </is>
      </c>
    </row>
    <row r="10">
      <c r="A10" s="2" t="inlineStr">
        <is>
          <t>Đầu 6</t>
        </is>
      </c>
      <c r="B10" s="2" t="inlineStr">
        <is>
          <t>26 lần</t>
        </is>
      </c>
    </row>
    <row r="11">
      <c r="A11" s="2" t="inlineStr">
        <is>
          <t>Đầu 2</t>
        </is>
      </c>
      <c r="B11" s="2" t="inlineStr">
        <is>
          <t>26 lần</t>
        </is>
      </c>
    </row>
    <row r="12">
      <c r="A12" s="2" t="inlineStr">
        <is>
          <t>Đầu 4</t>
        </is>
      </c>
      <c r="B12" s="2" t="inlineStr">
        <is>
          <t>24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21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4" t="inlineStr">
        <is>
          <t>--- TẦN SUẤT ĐUÔI NĂM 2026 ---</t>
        </is>
      </c>
      <c r="B17" s="4" t="inlineStr"/>
    </row>
    <row r="18">
      <c r="A18" s="2" t="inlineStr">
        <is>
          <t>Đuôi 3</t>
        </is>
      </c>
      <c r="B18" s="2" t="inlineStr">
        <is>
          <t>30 lần</t>
        </is>
      </c>
    </row>
    <row r="19">
      <c r="A19" s="2" t="inlineStr">
        <is>
          <t>Đuôi 4</t>
        </is>
      </c>
      <c r="B19" s="2" t="inlineStr">
        <is>
          <t>30 lần</t>
        </is>
      </c>
    </row>
    <row r="20">
      <c r="A20" s="2" t="inlineStr">
        <is>
          <t>Đuôi 8</t>
        </is>
      </c>
      <c r="B20" s="2" t="inlineStr">
        <is>
          <t>29 lần</t>
        </is>
      </c>
    </row>
    <row r="21">
      <c r="A21" s="2" t="inlineStr">
        <is>
          <t>Đuôi 7</t>
        </is>
      </c>
      <c r="B21" s="2" t="inlineStr">
        <is>
          <t>27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22 lần</t>
        </is>
      </c>
    </row>
    <row r="24">
      <c r="A24" s="2" t="inlineStr">
        <is>
          <t>Đuôi 5</t>
        </is>
      </c>
      <c r="B24" s="2" t="inlineStr">
        <is>
          <t>20 lần</t>
        </is>
      </c>
    </row>
    <row r="25">
      <c r="A25" s="2" t="inlineStr">
        <is>
          <t>Đuôi 0</t>
        </is>
      </c>
      <c r="B25" s="2" t="inlineStr">
        <is>
          <t>20 lần</t>
        </is>
      </c>
    </row>
    <row r="26">
      <c r="A26" s="2" t="inlineStr">
        <is>
          <t>Đuôi 2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6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6" customWidth="1" min="3" max="3"/>
    <col width="36" customWidth="1" min="4" max="4"/>
    <col width="42" customWidth="1" min="5" max="5"/>
    <col width="36" customWidth="1" min="6" max="6"/>
    <col width="21" customWidth="1" min="7" max="7"/>
    <col width="36" customWidth="1" min="8" max="8"/>
    <col width="22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234 Ngày</t>
        </is>
      </c>
      <c r="C2" s="3" t="inlineStr">
        <is>
          <t>Trúng Đầu (1N): 67/234 (28.63%)</t>
        </is>
      </c>
      <c r="D2" s="3" t="inlineStr">
        <is>
          <t>Trúng Đuôi (1N): 60/234 (25.64%)</t>
        </is>
      </c>
      <c r="E2" s="3" t="inlineStr">
        <is>
          <t>Trúng Ghép 9 Số (1N): 19/234 (8.12%)</t>
        </is>
      </c>
      <c r="F2" s="3" t="inlineStr">
        <is>
          <t>Trúng Đầu/Đuôi: 108/234 (46.15%)</t>
        </is>
      </c>
      <c r="G2" s="3" t="inlineStr">
        <is>
          <t>---</t>
        </is>
      </c>
      <c r="H2" s="3" t="inlineStr">
        <is>
          <t>Khung 3N (Đầu): 162/232 (69.83%)</t>
        </is>
      </c>
      <c r="I2" s="3" t="inlineStr">
        <is>
          <t>---</t>
        </is>
      </c>
      <c r="J2" s="3" t="inlineStr">
        <is>
          <t>Khung 3N (Đuôi): 143/232 (61.64%)</t>
        </is>
      </c>
      <c r="K2" s="3" t="inlineStr">
        <is>
          <t>---</t>
        </is>
      </c>
      <c r="L2" s="3" t="inlineStr">
        <is>
          <t>Khung 3N (Ghép 9 Số): 59/232 (25.43%)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234 Ngày</t>
        </is>
      </c>
      <c r="C3" s="3" t="inlineStr">
        <is>
          <t>Trúng Đầu (1N): 88/234 (37.61%)</t>
        </is>
      </c>
      <c r="D3" s="3" t="inlineStr">
        <is>
          <t>Trúng Đuôi (1N): 88/234 (37.61%)</t>
        </is>
      </c>
      <c r="E3" s="3" t="inlineStr">
        <is>
          <t>Trúng Ghép 16 Số (1N): 32/234 (13.68%)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78.88%</t>
        </is>
      </c>
      <c r="I3" s="3" t="inlineStr">
        <is>
          <t>---</t>
        </is>
      </c>
      <c r="J3" s="3" t="inlineStr">
        <is>
          <t>Khung 3N (Đuôi): 74.57%</t>
        </is>
      </c>
      <c r="K3" s="3" t="inlineStr">
        <is>
          <t>---</t>
        </is>
      </c>
      <c r="L3" s="3" t="inlineStr">
        <is>
          <t>Khung 3N (Ghép 16 Số): 36.64%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234 Ngày</t>
        </is>
      </c>
      <c r="C4" s="3" t="inlineStr">
        <is>
          <t>Trúng Đầu (1N): 112/234 (47.86%)</t>
        </is>
      </c>
      <c r="D4" s="3" t="inlineStr">
        <is>
          <t>Trúng Đuôi (1N): 106/234 (45.3%)</t>
        </is>
      </c>
      <c r="E4" s="3" t="inlineStr">
        <is>
          <t>Trúng Ghép 25 Số (1N): 52/234 (22.22%)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85.34%</t>
        </is>
      </c>
      <c r="I4" s="3" t="inlineStr">
        <is>
          <t>---</t>
        </is>
      </c>
      <c r="J4" s="3" t="inlineStr">
        <is>
          <t>Khung 3N (Đuôi): 81.47%</t>
        </is>
      </c>
      <c r="K4" s="3" t="inlineStr">
        <is>
          <t>---</t>
        </is>
      </c>
      <c r="L4" s="3" t="inlineStr">
        <is>
          <t>Khung 3N (Ghép 25 Số): 50.86%</t>
        </is>
      </c>
      <c r="M4" s="3" t="inlineStr">
        <is>
          <t>---</t>
        </is>
      </c>
    </row>
    <row r="5">
      <c r="A5" s="2" t="n">
        <v>1</v>
      </c>
      <c r="B5" s="2" t="inlineStr">
        <is>
          <t>Thứ năm ngày 01-01-2026</t>
        </is>
      </c>
      <c r="C5" s="3" t="inlineStr">
        <is>
          <t>45748</t>
        </is>
      </c>
      <c r="D5" s="3" t="inlineStr">
        <is>
          <t>48</t>
        </is>
      </c>
      <c r="E5" s="3" t="inlineStr">
        <is>
          <t>Đầu 4</t>
        </is>
      </c>
      <c r="F5" s="3" t="inlineStr">
        <is>
          <t>Đuôi 8</t>
        </is>
      </c>
      <c r="G5" s="3" t="inlineStr">
        <is>
          <t>0, 1, 2</t>
        </is>
      </c>
      <c r="H5" s="7" t="inlineStr">
        <is>
          <t>TRƯỢT ❌</t>
        </is>
      </c>
      <c r="I5" s="3" t="inlineStr">
        <is>
          <t>0, 1, 2</t>
        </is>
      </c>
      <c r="J5" s="7" t="inlineStr">
        <is>
          <t>TRƯỢT ❌</t>
        </is>
      </c>
      <c r="K5" s="3" t="inlineStr">
        <is>
          <t>00, 01, 02, 10, 11, 12, 20, 21, 22</t>
        </is>
      </c>
      <c r="L5" s="7" t="inlineStr">
        <is>
          <t>TRƯỢT ❌</t>
        </is>
      </c>
      <c r="M5" s="7" t="inlineStr">
        <is>
          <t>TRƯỢT KHUNG ❌</t>
        </is>
      </c>
    </row>
    <row r="6">
      <c r="A6" s="2" t="n">
        <v>2</v>
      </c>
      <c r="B6" s="2" t="inlineStr">
        <is>
          <t>Thứ sáu ngày 02-01-2026</t>
        </is>
      </c>
      <c r="C6" s="3" t="inlineStr">
        <is>
          <t>00949</t>
        </is>
      </c>
      <c r="D6" s="3" t="inlineStr">
        <is>
          <t>49</t>
        </is>
      </c>
      <c r="E6" s="3" t="inlineStr">
        <is>
          <t>Đầu 4</t>
        </is>
      </c>
      <c r="F6" s="3" t="inlineStr">
        <is>
          <t>Đuôi 9</t>
        </is>
      </c>
      <c r="G6" s="3" t="inlineStr">
        <is>
          <t>6, 0, 1</t>
        </is>
      </c>
      <c r="H6" s="7" t="inlineStr">
        <is>
          <t>TRƯỢT ❌</t>
        </is>
      </c>
      <c r="I6" s="3" t="inlineStr">
        <is>
          <t>8, 0, 1</t>
        </is>
      </c>
      <c r="J6" s="7" t="inlineStr">
        <is>
          <t>TRƯỢT ❌</t>
        </is>
      </c>
      <c r="K6" s="3" t="inlineStr">
        <is>
          <t>00, 01, 08, 10, 11, 18, 60, 61, 68</t>
        </is>
      </c>
      <c r="L6" s="7" t="inlineStr">
        <is>
          <t>TRƯỢT ❌</t>
        </is>
      </c>
      <c r="M6" s="7" t="inlineStr">
        <is>
          <t>TRƯỢT KHUNG ❌</t>
        </is>
      </c>
    </row>
    <row r="7">
      <c r="A7" s="2" t="n">
        <v>3</v>
      </c>
      <c r="B7" s="2" t="inlineStr">
        <is>
          <t>Thứ bảy ngày 03-01-2026</t>
        </is>
      </c>
      <c r="C7" s="3" t="inlineStr">
        <is>
          <t>72397</t>
        </is>
      </c>
      <c r="D7" s="3" t="inlineStr">
        <is>
          <t>97</t>
        </is>
      </c>
      <c r="E7" s="3" t="inlineStr">
        <is>
          <t>Đầu 9</t>
        </is>
      </c>
      <c r="F7" s="3" t="inlineStr">
        <is>
          <t>Đuôi 7</t>
        </is>
      </c>
      <c r="G7" s="3" t="inlineStr">
        <is>
          <t>6, 4, 0</t>
        </is>
      </c>
      <c r="H7" s="7" t="inlineStr">
        <is>
          <t>TRƯỢT ❌</t>
        </is>
      </c>
      <c r="I7" s="3" t="inlineStr">
        <is>
          <t>8, 0, 1</t>
        </is>
      </c>
      <c r="J7" s="7" t="inlineStr">
        <is>
          <t>TRƯỢT ❌</t>
        </is>
      </c>
      <c r="K7" s="3" t="inlineStr">
        <is>
          <t>00, 01, 08, 40, 41, 48, 60, 61, 68</t>
        </is>
      </c>
      <c r="L7" s="7" t="inlineStr">
        <is>
          <t>TRƯỢT ❌</t>
        </is>
      </c>
      <c r="M7" s="7" t="inlineStr">
        <is>
          <t>TRƯỢT KHUNG ❌</t>
        </is>
      </c>
    </row>
    <row r="8">
      <c r="A8" s="2" t="n">
        <v>4</v>
      </c>
      <c r="B8" s="2" t="inlineStr">
        <is>
          <t>Chủ nhật ngày 04-01-2026</t>
        </is>
      </c>
      <c r="C8" s="3" t="inlineStr">
        <is>
          <t>70505</t>
        </is>
      </c>
      <c r="D8" s="3" t="inlineStr">
        <is>
          <t>05</t>
        </is>
      </c>
      <c r="E8" s="3" t="inlineStr">
        <is>
          <t>Đầu 0</t>
        </is>
      </c>
      <c r="F8" s="3" t="inlineStr">
        <is>
          <t>Đuôi 5</t>
        </is>
      </c>
      <c r="G8" s="3" t="inlineStr">
        <is>
          <t>6, 4, 0</t>
        </is>
      </c>
      <c r="H8" s="6" t="inlineStr">
        <is>
          <t>TRÚNG 🎯</t>
        </is>
      </c>
      <c r="I8" s="3" t="inlineStr">
        <is>
          <t>8, 9, 0</t>
        </is>
      </c>
      <c r="J8" s="7" t="inlineStr">
        <is>
          <t>TRƯỢT ❌</t>
        </is>
      </c>
      <c r="K8" s="3" t="inlineStr">
        <is>
          <t>00, 08, 09, 40, 48, 49, 60, 68, 69</t>
        </is>
      </c>
      <c r="L8" s="7" t="inlineStr">
        <is>
          <t>TRƯỢT ❌</t>
        </is>
      </c>
      <c r="M8" s="7" t="inlineStr">
        <is>
          <t>TRƯỢT KHUNG ❌</t>
        </is>
      </c>
    </row>
    <row r="9">
      <c r="A9" s="2" t="n">
        <v>5</v>
      </c>
      <c r="B9" s="2" t="inlineStr">
        <is>
          <t>Thứ hai ngày 05-01-2026</t>
        </is>
      </c>
      <c r="C9" s="3" t="inlineStr">
        <is>
          <t>78447</t>
        </is>
      </c>
      <c r="D9" s="3" t="inlineStr">
        <is>
          <t>47</t>
        </is>
      </c>
      <c r="E9" s="3" t="inlineStr">
        <is>
          <t>Đầu 4</t>
        </is>
      </c>
      <c r="F9" s="3" t="inlineStr">
        <is>
          <t>Đuôi 7</t>
        </is>
      </c>
      <c r="G9" s="3" t="inlineStr">
        <is>
          <t>6, 4, 9</t>
        </is>
      </c>
      <c r="H9" s="6" t="inlineStr">
        <is>
          <t>TRÚNG 🎯</t>
        </is>
      </c>
      <c r="I9" s="3" t="inlineStr">
        <is>
          <t>8, 9, 7</t>
        </is>
      </c>
      <c r="J9" s="6" t="inlineStr">
        <is>
          <t>TRÚNG 🎯</t>
        </is>
      </c>
      <c r="K9" s="3" t="inlineStr">
        <is>
          <t>47, 48, 49, 67, 68, 69, 97, 98, 99</t>
        </is>
      </c>
      <c r="L9" s="6" t="inlineStr">
        <is>
          <t>TRÚNG 🎯</t>
        </is>
      </c>
      <c r="M9" s="6" t="inlineStr">
        <is>
          <t>TRÚNG KHUNG 🎯</t>
        </is>
      </c>
    </row>
    <row r="10">
      <c r="A10" s="2" t="n">
        <v>6</v>
      </c>
      <c r="B10" s="2" t="inlineStr">
        <is>
          <t>Thứ ba ngày 06-01-2026</t>
        </is>
      </c>
      <c r="C10" s="3" t="inlineStr">
        <is>
          <t>14389</t>
        </is>
      </c>
      <c r="D10" s="3" t="inlineStr">
        <is>
          <t>89</t>
        </is>
      </c>
      <c r="E10" s="3" t="inlineStr">
        <is>
          <t>Đầu 8</t>
        </is>
      </c>
      <c r="F10" s="3" t="inlineStr">
        <is>
          <t>Đuôi 9</t>
        </is>
      </c>
      <c r="G10" s="3" t="inlineStr">
        <is>
          <t>6, 4, 9</t>
        </is>
      </c>
      <c r="H10" s="7" t="inlineStr">
        <is>
          <t>TRƯỢT ❌</t>
        </is>
      </c>
      <c r="I10" s="3" t="inlineStr">
        <is>
          <t>8, 9, 5</t>
        </is>
      </c>
      <c r="J10" s="6" t="inlineStr">
        <is>
          <t>TRÚNG 🎯</t>
        </is>
      </c>
      <c r="K10" s="3" t="inlineStr">
        <is>
          <t>45, 48, 49, 65, 68, 69, 95, 98, 99</t>
        </is>
      </c>
      <c r="L10" s="7" t="inlineStr">
        <is>
          <t>TRƯỢT ❌</t>
        </is>
      </c>
      <c r="M10" s="7" t="inlineStr">
        <is>
          <t>TRƯỢT KHUNG ❌</t>
        </is>
      </c>
    </row>
    <row r="11">
      <c r="A11" s="2" t="n">
        <v>7</v>
      </c>
      <c r="B11" s="2" t="inlineStr">
        <is>
          <t>Thứ tư ngày 07-01-2026</t>
        </is>
      </c>
      <c r="C11" s="3" t="inlineStr">
        <is>
          <t>40162</t>
        </is>
      </c>
      <c r="D11" s="3" t="inlineStr">
        <is>
          <t>62</t>
        </is>
      </c>
      <c r="E11" s="3" t="inlineStr">
        <is>
          <t>Đầu 6</t>
        </is>
      </c>
      <c r="F11" s="3" t="inlineStr">
        <is>
          <t>Đuôi 2</t>
        </is>
      </c>
      <c r="G11" s="3" t="inlineStr">
        <is>
          <t>6, 9, 4</t>
        </is>
      </c>
      <c r="H11" s="6" t="inlineStr">
        <is>
          <t>TRÚNG 🎯</t>
        </is>
      </c>
      <c r="I11" s="3" t="inlineStr">
        <is>
          <t>8, 5, 7</t>
        </is>
      </c>
      <c r="J11" s="7" t="inlineStr">
        <is>
          <t>TRƯỢT ❌</t>
        </is>
      </c>
      <c r="K11" s="3" t="inlineStr">
        <is>
          <t>45, 47, 48, 65, 67, 68, 95, 97, 98</t>
        </is>
      </c>
      <c r="L11" s="7" t="inlineStr">
        <is>
          <t>TRƯỢT ❌</t>
        </is>
      </c>
      <c r="M11" s="7" t="inlineStr">
        <is>
          <t>TRƯỢT KHUNG ❌</t>
        </is>
      </c>
    </row>
    <row r="12">
      <c r="A12" s="2" t="n">
        <v>8</v>
      </c>
      <c r="B12" s="2" t="inlineStr">
        <is>
          <t>Thứ năm ngày 08-01-2026</t>
        </is>
      </c>
      <c r="C12" s="3" t="inlineStr">
        <is>
          <t>39523</t>
        </is>
      </c>
      <c r="D12" s="3" t="inlineStr">
        <is>
          <t>23</t>
        </is>
      </c>
      <c r="E12" s="3" t="inlineStr">
        <is>
          <t>Đầu 2</t>
        </is>
      </c>
      <c r="F12" s="3" t="inlineStr">
        <is>
          <t>Đuôi 3</t>
        </is>
      </c>
      <c r="G12" s="3" t="inlineStr">
        <is>
          <t>4, 0, 9</t>
        </is>
      </c>
      <c r="H12" s="7" t="inlineStr">
        <is>
          <t>TRƯỢT ❌</t>
        </is>
      </c>
      <c r="I12" s="3" t="inlineStr">
        <is>
          <t>8, 5, 7</t>
        </is>
      </c>
      <c r="J12" s="7" t="inlineStr">
        <is>
          <t>TRƯỢT ❌</t>
        </is>
      </c>
      <c r="K12" s="3" t="inlineStr">
        <is>
          <t>05, 07, 08, 45, 47, 48, 95, 97, 98</t>
        </is>
      </c>
      <c r="L12" s="7" t="inlineStr">
        <is>
          <t>TRƯỢT ❌</t>
        </is>
      </c>
      <c r="M12" s="7" t="inlineStr">
        <is>
          <t>TRƯỢT KHUNG ❌</t>
        </is>
      </c>
    </row>
    <row r="13">
      <c r="A13" s="2" t="n">
        <v>9</v>
      </c>
      <c r="B13" s="2" t="inlineStr">
        <is>
          <t>Thứ sáu ngày 09-01-2026</t>
        </is>
      </c>
      <c r="C13" s="3" t="inlineStr">
        <is>
          <t>67793</t>
        </is>
      </c>
      <c r="D13" s="3" t="inlineStr">
        <is>
          <t>93</t>
        </is>
      </c>
      <c r="E13" s="3" t="inlineStr">
        <is>
          <t>Đầu 9</t>
        </is>
      </c>
      <c r="F13" s="3" t="inlineStr">
        <is>
          <t>Đuôi 3</t>
        </is>
      </c>
      <c r="G13" s="3" t="inlineStr">
        <is>
          <t>4, 0, 9</t>
        </is>
      </c>
      <c r="H13" s="6" t="inlineStr">
        <is>
          <t>TRÚNG 🎯</t>
        </is>
      </c>
      <c r="I13" s="3" t="inlineStr">
        <is>
          <t>7, 8, 5</t>
        </is>
      </c>
      <c r="J13" s="7" t="inlineStr">
        <is>
          <t>TRƯỢT ❌</t>
        </is>
      </c>
      <c r="K13" s="3" t="inlineStr">
        <is>
          <t>05, 07, 08, 45, 47, 48, 95, 97, 98</t>
        </is>
      </c>
      <c r="L13" s="7" t="inlineStr">
        <is>
          <t>TRƯỢT ❌</t>
        </is>
      </c>
      <c r="M13" s="7" t="inlineStr">
        <is>
          <t>TRƯỢT KHUNG ❌</t>
        </is>
      </c>
    </row>
    <row r="14">
      <c r="A14" s="2" t="n">
        <v>10</v>
      </c>
      <c r="B14" s="2" t="inlineStr">
        <is>
          <t>Thứ bảy ngày 10-01-2026</t>
        </is>
      </c>
      <c r="C14" s="3" t="inlineStr">
        <is>
          <t>82438</t>
        </is>
      </c>
      <c r="D14" s="3" t="inlineStr">
        <is>
          <t>38</t>
        </is>
      </c>
      <c r="E14" s="3" t="inlineStr">
        <is>
          <t>Đầu 3</t>
        </is>
      </c>
      <c r="F14" s="3" t="inlineStr">
        <is>
          <t>Đuôi 8</t>
        </is>
      </c>
      <c r="G14" s="3" t="inlineStr">
        <is>
          <t>4, 0, 8</t>
        </is>
      </c>
      <c r="H14" s="7" t="inlineStr">
        <is>
          <t>TRƯỢT ❌</t>
        </is>
      </c>
      <c r="I14" s="3" t="inlineStr">
        <is>
          <t>7, 8, 9</t>
        </is>
      </c>
      <c r="J14" s="6" t="inlineStr">
        <is>
          <t>TRÚNG 🎯</t>
        </is>
      </c>
      <c r="K14" s="3" t="inlineStr">
        <is>
          <t>07, 08, 09, 47, 48, 49, 87, 88, 89</t>
        </is>
      </c>
      <c r="L14" s="7" t="inlineStr">
        <is>
          <t>TRƯỢT ❌</t>
        </is>
      </c>
      <c r="M14" s="7" t="inlineStr">
        <is>
          <t>TRƯỢT KHUNG ❌</t>
        </is>
      </c>
    </row>
    <row r="15">
      <c r="A15" s="2" t="n">
        <v>11</v>
      </c>
      <c r="B15" s="2" t="inlineStr">
        <is>
          <t>Chủ nhật ngày 11-01-2026</t>
        </is>
      </c>
      <c r="C15" s="3" t="inlineStr">
        <is>
          <t>31894</t>
        </is>
      </c>
      <c r="D15" s="3" t="inlineStr">
        <is>
          <t>94</t>
        </is>
      </c>
      <c r="E15" s="3" t="inlineStr">
        <is>
          <t>Đầu 9</t>
        </is>
      </c>
      <c r="F15" s="3" t="inlineStr">
        <is>
          <t>Đuôi 4</t>
        </is>
      </c>
      <c r="G15" s="3" t="inlineStr">
        <is>
          <t>4, 6, 0</t>
        </is>
      </c>
      <c r="H15" s="7" t="inlineStr">
        <is>
          <t>TRƯỢT ❌</t>
        </is>
      </c>
      <c r="I15" s="3" t="inlineStr">
        <is>
          <t>7, 9, 2</t>
        </is>
      </c>
      <c r="J15" s="7" t="inlineStr">
        <is>
          <t>TRƯỢT ❌</t>
        </is>
      </c>
      <c r="K15" s="3" t="inlineStr">
        <is>
          <t>02, 07, 09, 42, 47, 49, 62, 67, 69</t>
        </is>
      </c>
      <c r="L15" s="7" t="inlineStr">
        <is>
          <t>TRƯỢT ❌</t>
        </is>
      </c>
      <c r="M15" s="7" t="inlineStr">
        <is>
          <t>TRƯỢT KHUNG ❌</t>
        </is>
      </c>
    </row>
    <row r="16">
      <c r="A16" s="2" t="n">
        <v>12</v>
      </c>
      <c r="B16" s="2" t="inlineStr">
        <is>
          <t>Thứ hai ngày 12-01-2026</t>
        </is>
      </c>
      <c r="C16" s="3" t="inlineStr">
        <is>
          <t>28027</t>
        </is>
      </c>
      <c r="D16" s="3" t="inlineStr">
        <is>
          <t>27</t>
        </is>
      </c>
      <c r="E16" s="3" t="inlineStr">
        <is>
          <t>Đầu 2</t>
        </is>
      </c>
      <c r="F16" s="3" t="inlineStr">
        <is>
          <t>Đuôi 7</t>
        </is>
      </c>
      <c r="G16" s="3" t="inlineStr">
        <is>
          <t>4, 6, 0</t>
        </is>
      </c>
      <c r="H16" s="7" t="inlineStr">
        <is>
          <t>TRƯỢT ❌</t>
        </is>
      </c>
      <c r="I16" s="3" t="inlineStr">
        <is>
          <t>7, 9, 2</t>
        </is>
      </c>
      <c r="J16" s="6" t="inlineStr">
        <is>
          <t>TRÚNG 🎯</t>
        </is>
      </c>
      <c r="K16" s="3" t="inlineStr">
        <is>
          <t>02, 07, 09, 42, 47, 49, 62, 67, 69</t>
        </is>
      </c>
      <c r="L16" s="7" t="inlineStr">
        <is>
          <t>TRƯỢT ❌</t>
        </is>
      </c>
      <c r="M16" s="7" t="inlineStr">
        <is>
          <t>TRƯỢT KHUNG ❌</t>
        </is>
      </c>
    </row>
    <row r="17">
      <c r="A17" s="2" t="n">
        <v>13</v>
      </c>
      <c r="B17" s="2" t="inlineStr">
        <is>
          <t>Thứ ba ngày 13-01-2026</t>
        </is>
      </c>
      <c r="C17" s="3" t="inlineStr">
        <is>
          <t>02817</t>
        </is>
      </c>
      <c r="D17" s="3" t="inlineStr">
        <is>
          <t>17</t>
        </is>
      </c>
      <c r="E17" s="3" t="inlineStr">
        <is>
          <t>Đầu 1</t>
        </is>
      </c>
      <c r="F17" s="3" t="inlineStr">
        <is>
          <t>Đuôi 7</t>
        </is>
      </c>
      <c r="G17" s="3" t="inlineStr">
        <is>
          <t>4, 6, 0</t>
        </is>
      </c>
      <c r="H17" s="7" t="inlineStr">
        <is>
          <t>TRƯỢT ❌</t>
        </is>
      </c>
      <c r="I17" s="3" t="inlineStr">
        <is>
          <t>3, 9, 8</t>
        </is>
      </c>
      <c r="J17" s="7" t="inlineStr">
        <is>
          <t>TRƯỢT ❌</t>
        </is>
      </c>
      <c r="K17" s="3" t="inlineStr">
        <is>
          <t>03, 08, 09, 43, 48, 49, 63, 68, 69</t>
        </is>
      </c>
      <c r="L17" s="7" t="inlineStr">
        <is>
          <t>TRƯỢT ❌</t>
        </is>
      </c>
      <c r="M17" s="7" t="inlineStr">
        <is>
          <t>TRƯỢT KHUNG ❌</t>
        </is>
      </c>
    </row>
    <row r="18">
      <c r="A18" s="2" t="n">
        <v>14</v>
      </c>
      <c r="B18" s="2" t="inlineStr">
        <is>
          <t>Thứ tư ngày 14-01-2026</t>
        </is>
      </c>
      <c r="C18" s="3" t="inlineStr">
        <is>
          <t>84522</t>
        </is>
      </c>
      <c r="D18" s="3" t="inlineStr">
        <is>
          <t>22</t>
        </is>
      </c>
      <c r="E18" s="3" t="inlineStr">
        <is>
          <t>Đầu 2</t>
        </is>
      </c>
      <c r="F18" s="3" t="inlineStr">
        <is>
          <t>Đuôi 2</t>
        </is>
      </c>
      <c r="G18" s="3" t="inlineStr">
        <is>
          <t>4, 6, 9</t>
        </is>
      </c>
      <c r="H18" s="7" t="inlineStr">
        <is>
          <t>TRƯỢT ❌</t>
        </is>
      </c>
      <c r="I18" s="3" t="inlineStr">
        <is>
          <t>8, 3, 9</t>
        </is>
      </c>
      <c r="J18" s="7" t="inlineStr">
        <is>
          <t>TRƯỢT ❌</t>
        </is>
      </c>
      <c r="K18" s="3" t="inlineStr">
        <is>
          <t>43, 48, 49, 63, 68, 69, 93, 98, 99</t>
        </is>
      </c>
      <c r="L18" s="7" t="inlineStr">
        <is>
          <t>TRƯỢT ❌</t>
        </is>
      </c>
      <c r="M18" s="7" t="inlineStr">
        <is>
          <t>TRƯỢT KHUNG ❌</t>
        </is>
      </c>
    </row>
    <row r="19">
      <c r="A19" s="2" t="n">
        <v>15</v>
      </c>
      <c r="B19" s="2" t="inlineStr">
        <is>
          <t>Thứ năm ngày 15-01-2026</t>
        </is>
      </c>
      <c r="C19" s="3" t="inlineStr">
        <is>
          <t>90128</t>
        </is>
      </c>
      <c r="D19" s="3" t="inlineStr">
        <is>
          <t>28</t>
        </is>
      </c>
      <c r="E19" s="3" t="inlineStr">
        <is>
          <t>Đầu 2</t>
        </is>
      </c>
      <c r="F19" s="3" t="inlineStr">
        <is>
          <t>Đuôi 8</t>
        </is>
      </c>
      <c r="G19" s="3" t="inlineStr">
        <is>
          <t>4, 9, 6</t>
        </is>
      </c>
      <c r="H19" s="7" t="inlineStr">
        <is>
          <t>TRƯỢT ❌</t>
        </is>
      </c>
      <c r="I19" s="3" t="inlineStr">
        <is>
          <t>8, 3, 9</t>
        </is>
      </c>
      <c r="J19" s="6" t="inlineStr">
        <is>
          <t>TRÚNG 🎯</t>
        </is>
      </c>
      <c r="K19" s="3" t="inlineStr">
        <is>
          <t>43, 48, 49, 63, 68, 69, 93, 98, 99</t>
        </is>
      </c>
      <c r="L19" s="7" t="inlineStr">
        <is>
          <t>TRƯỢT ❌</t>
        </is>
      </c>
      <c r="M19" s="7" t="inlineStr">
        <is>
          <t>TRƯỢT KHUNG ❌</t>
        </is>
      </c>
    </row>
    <row r="20">
      <c r="A20" s="2" t="n">
        <v>16</v>
      </c>
      <c r="B20" s="2" t="inlineStr">
        <is>
          <t>Thứ sáu ngày 16-01-2026</t>
        </is>
      </c>
      <c r="C20" s="3" t="inlineStr">
        <is>
          <t>09824</t>
        </is>
      </c>
      <c r="D20" s="3" t="inlineStr">
        <is>
          <t>24</t>
        </is>
      </c>
      <c r="E20" s="3" t="inlineStr">
        <is>
          <t>Đầu 2</t>
        </is>
      </c>
      <c r="F20" s="3" t="inlineStr">
        <is>
          <t>Đuôi 4</t>
        </is>
      </c>
      <c r="G20" s="3" t="inlineStr">
        <is>
          <t>4, 9, 6</t>
        </is>
      </c>
      <c r="H20" s="7" t="inlineStr">
        <is>
          <t>TRƯỢT ❌</t>
        </is>
      </c>
      <c r="I20" s="3" t="inlineStr">
        <is>
          <t>7, 3, 9</t>
        </is>
      </c>
      <c r="J20" s="7" t="inlineStr">
        <is>
          <t>TRƯỢT ❌</t>
        </is>
      </c>
      <c r="K20" s="3" t="inlineStr">
        <is>
          <t>43, 47, 49, 63, 67, 69, 93, 97, 99</t>
        </is>
      </c>
      <c r="L20" s="7" t="inlineStr">
        <is>
          <t>TRƯỢT ❌</t>
        </is>
      </c>
      <c r="M20" s="7" t="inlineStr">
        <is>
          <t>TRƯỢT KHUNG ❌</t>
        </is>
      </c>
    </row>
    <row r="21">
      <c r="A21" s="2" t="n">
        <v>17</v>
      </c>
      <c r="B21" s="2" t="inlineStr">
        <is>
          <t>Thứ bảy ngày 17-01-2026</t>
        </is>
      </c>
      <c r="C21" s="3" t="inlineStr">
        <is>
          <t>17151</t>
        </is>
      </c>
      <c r="D21" s="3" t="inlineStr">
        <is>
          <t>51</t>
        </is>
      </c>
      <c r="E21" s="3" t="inlineStr">
        <is>
          <t>Đầu 5</t>
        </is>
      </c>
      <c r="F21" s="3" t="inlineStr">
        <is>
          <t>Đuôi 1</t>
        </is>
      </c>
      <c r="G21" s="3" t="inlineStr">
        <is>
          <t>4, 9, 6</t>
        </is>
      </c>
      <c r="H21" s="7" t="inlineStr">
        <is>
          <t>TRƯỢT ❌</t>
        </is>
      </c>
      <c r="I21" s="3" t="inlineStr">
        <is>
          <t>7, 3, 9</t>
        </is>
      </c>
      <c r="J21" s="7" t="inlineStr">
        <is>
          <t>TRƯỢT ❌</t>
        </is>
      </c>
      <c r="K21" s="3" t="inlineStr">
        <is>
          <t>43, 47, 49, 63, 67, 69, 93, 97, 99</t>
        </is>
      </c>
      <c r="L21" s="7" t="inlineStr">
        <is>
          <t>TRƯỢT ❌</t>
        </is>
      </c>
      <c r="M21" s="7" t="inlineStr">
        <is>
          <t>TRƯỢT KHUNG ❌</t>
        </is>
      </c>
    </row>
    <row r="22">
      <c r="A22" s="2" t="n">
        <v>18</v>
      </c>
      <c r="B22" s="2" t="inlineStr">
        <is>
          <t>Chủ nhật ngày 18-01-2026</t>
        </is>
      </c>
      <c r="C22" s="3" t="inlineStr">
        <is>
          <t>88286</t>
        </is>
      </c>
      <c r="D22" s="3" t="inlineStr">
        <is>
          <t>86</t>
        </is>
      </c>
      <c r="E22" s="3" t="inlineStr">
        <is>
          <t>Đầu 8</t>
        </is>
      </c>
      <c r="F22" s="3" t="inlineStr">
        <is>
          <t>Đuôi 6</t>
        </is>
      </c>
      <c r="G22" s="3" t="inlineStr">
        <is>
          <t>4, 9, 2</t>
        </is>
      </c>
      <c r="H22" s="7" t="inlineStr">
        <is>
          <t>TRƯỢT ❌</t>
        </is>
      </c>
      <c r="I22" s="3" t="inlineStr">
        <is>
          <t>7, 8, 2</t>
        </is>
      </c>
      <c r="J22" s="7" t="inlineStr">
        <is>
          <t>TRƯỢT ❌</t>
        </is>
      </c>
      <c r="K22" s="3" t="inlineStr">
        <is>
          <t>22, 27, 28, 42, 47, 48, 92, 97, 98</t>
        </is>
      </c>
      <c r="L22" s="7" t="inlineStr">
        <is>
          <t>TRƯỢT ❌</t>
        </is>
      </c>
      <c r="M22" s="7" t="inlineStr">
        <is>
          <t>TRƯỢT KHUNG ❌</t>
        </is>
      </c>
    </row>
    <row r="23">
      <c r="A23" s="2" t="n">
        <v>19</v>
      </c>
      <c r="B23" s="2" t="inlineStr">
        <is>
          <t>Thứ hai ngày 19-01-2026</t>
        </is>
      </c>
      <c r="C23" s="3" t="inlineStr">
        <is>
          <t>56878</t>
        </is>
      </c>
      <c r="D23" s="3" t="inlineStr">
        <is>
          <t>78</t>
        </is>
      </c>
      <c r="E23" s="3" t="inlineStr">
        <is>
          <t>Đầu 7</t>
        </is>
      </c>
      <c r="F23" s="3" t="inlineStr">
        <is>
          <t>Đuôi 8</t>
        </is>
      </c>
      <c r="G23" s="3" t="inlineStr">
        <is>
          <t>2, 4, 9</t>
        </is>
      </c>
      <c r="H23" s="7" t="inlineStr">
        <is>
          <t>TRƯỢT ❌</t>
        </is>
      </c>
      <c r="I23" s="3" t="inlineStr">
        <is>
          <t>7, 8, 2</t>
        </is>
      </c>
      <c r="J23" s="6" t="inlineStr">
        <is>
          <t>TRÚNG 🎯</t>
        </is>
      </c>
      <c r="K23" s="3" t="inlineStr">
        <is>
          <t>22, 27, 28, 42, 47, 48, 92, 97, 98</t>
        </is>
      </c>
      <c r="L23" s="7" t="inlineStr">
        <is>
          <t>TRƯỢT ❌</t>
        </is>
      </c>
      <c r="M23" s="7" t="inlineStr">
        <is>
          <t>TRƯỢT KHUNG ❌</t>
        </is>
      </c>
    </row>
    <row r="24">
      <c r="A24" s="2" t="n">
        <v>20</v>
      </c>
      <c r="B24" s="2" t="inlineStr">
        <is>
          <t>Thứ ba ngày 20-01-2026</t>
        </is>
      </c>
      <c r="C24" s="3" t="inlineStr">
        <is>
          <t>06186</t>
        </is>
      </c>
      <c r="D24" s="3" t="inlineStr">
        <is>
          <t>86</t>
        </is>
      </c>
      <c r="E24" s="3" t="inlineStr">
        <is>
          <t>Đầu 8</t>
        </is>
      </c>
      <c r="F24" s="3" t="inlineStr">
        <is>
          <t>Đuôi 6</t>
        </is>
      </c>
      <c r="G24" s="3" t="inlineStr">
        <is>
          <t>2, 4, 9</t>
        </is>
      </c>
      <c r="H24" s="7" t="inlineStr">
        <is>
          <t>TRƯỢT ❌</t>
        </is>
      </c>
      <c r="I24" s="3" t="inlineStr">
        <is>
          <t>7, 2, 3</t>
        </is>
      </c>
      <c r="J24" s="7" t="inlineStr">
        <is>
          <t>TRƯỢT ❌</t>
        </is>
      </c>
      <c r="K24" s="3" t="inlineStr">
        <is>
          <t>22, 23, 27, 42, 43, 47, 92, 93, 97</t>
        </is>
      </c>
      <c r="L24" s="7" t="inlineStr">
        <is>
          <t>TRƯỢT ❌</t>
        </is>
      </c>
      <c r="M24" s="6" t="inlineStr">
        <is>
          <t>TRÚNG KHUNG 🎯</t>
        </is>
      </c>
    </row>
    <row r="25">
      <c r="A25" s="2" t="n">
        <v>21</v>
      </c>
      <c r="B25" s="2" t="inlineStr">
        <is>
          <t>Thứ tư ngày 21-01-2026</t>
        </is>
      </c>
      <c r="C25" s="3" t="inlineStr">
        <is>
          <t>84063</t>
        </is>
      </c>
      <c r="D25" s="3" t="inlineStr">
        <is>
          <t>63</t>
        </is>
      </c>
      <c r="E25" s="3" t="inlineStr">
        <is>
          <t>Đầu 6</t>
        </is>
      </c>
      <c r="F25" s="3" t="inlineStr">
        <is>
          <t>Đuôi 3</t>
        </is>
      </c>
      <c r="G25" s="3" t="inlineStr">
        <is>
          <t>2, 4, 9</t>
        </is>
      </c>
      <c r="H25" s="7" t="inlineStr">
        <is>
          <t>TRƯỢT ❌</t>
        </is>
      </c>
      <c r="I25" s="3" t="inlineStr">
        <is>
          <t>7, 8, 2</t>
        </is>
      </c>
      <c r="J25" s="7" t="inlineStr">
        <is>
          <t>TRƯỢT ❌</t>
        </is>
      </c>
      <c r="K25" s="3" t="inlineStr">
        <is>
          <t>22, 27, 28, 42, 47, 48, 92, 97, 98</t>
        </is>
      </c>
      <c r="L25" s="7" t="inlineStr">
        <is>
          <t>TRƯỢT ❌</t>
        </is>
      </c>
      <c r="M25" s="6" t="inlineStr">
        <is>
          <t>TRÚNG KHUNG 🎯</t>
        </is>
      </c>
    </row>
    <row r="26">
      <c r="A26" s="2" t="n">
        <v>22</v>
      </c>
      <c r="B26" s="2" t="inlineStr">
        <is>
          <t>Thứ năm ngày 22-01-2026</t>
        </is>
      </c>
      <c r="C26" s="3" t="inlineStr">
        <is>
          <t>57022</t>
        </is>
      </c>
      <c r="D26" s="3" t="inlineStr">
        <is>
          <t>22</t>
        </is>
      </c>
      <c r="E26" s="3" t="inlineStr">
        <is>
          <t>Đầu 2</t>
        </is>
      </c>
      <c r="F26" s="3" t="inlineStr">
        <is>
          <t>Đuôi 2</t>
        </is>
      </c>
      <c r="G26" s="3" t="inlineStr">
        <is>
          <t>2, 9, 4</t>
        </is>
      </c>
      <c r="H26" s="6" t="inlineStr">
        <is>
          <t>TRÚNG 🎯</t>
        </is>
      </c>
      <c r="I26" s="3" t="inlineStr">
        <is>
          <t>7, 8, 2</t>
        </is>
      </c>
      <c r="J26" s="6" t="inlineStr">
        <is>
          <t>TRÚNG 🎯</t>
        </is>
      </c>
      <c r="K26" s="3" t="inlineStr">
        <is>
          <t>22, 27, 28, 42, 47, 48, 92, 97, 98</t>
        </is>
      </c>
      <c r="L26" s="6" t="inlineStr">
        <is>
          <t>TRÚNG 🎯</t>
        </is>
      </c>
      <c r="M26" s="6" t="inlineStr">
        <is>
          <t>TRÚNG KHUNG 🎯</t>
        </is>
      </c>
    </row>
    <row r="27">
      <c r="A27" s="2" t="n">
        <v>23</v>
      </c>
      <c r="B27" s="2" t="inlineStr">
        <is>
          <t>Thứ sáu ngày 23-01-2026</t>
        </is>
      </c>
      <c r="C27" s="3" t="inlineStr">
        <is>
          <t>52062</t>
        </is>
      </c>
      <c r="D27" s="3" t="inlineStr">
        <is>
          <t>62</t>
        </is>
      </c>
      <c r="E27" s="3" t="inlineStr">
        <is>
          <t>Đầu 6</t>
        </is>
      </c>
      <c r="F27" s="3" t="inlineStr">
        <is>
          <t>Đuôi 2</t>
        </is>
      </c>
      <c r="G27" s="3" t="inlineStr">
        <is>
          <t>9, 2, 4</t>
        </is>
      </c>
      <c r="H27" s="7" t="inlineStr">
        <is>
          <t>TRƯỢT ❌</t>
        </is>
      </c>
      <c r="I27" s="3" t="inlineStr">
        <is>
          <t>8, 7, 4</t>
        </is>
      </c>
      <c r="J27" s="7" t="inlineStr">
        <is>
          <t>TRƯỢT ❌</t>
        </is>
      </c>
      <c r="K27" s="3" t="inlineStr">
        <is>
          <t>24, 27, 28, 44, 47, 48, 94, 97, 98</t>
        </is>
      </c>
      <c r="L27" s="7" t="inlineStr">
        <is>
          <t>TRƯỢT ❌</t>
        </is>
      </c>
      <c r="M27" s="7" t="inlineStr">
        <is>
          <t>TRƯỢT KHUNG ❌</t>
        </is>
      </c>
    </row>
    <row r="28">
      <c r="A28" s="2" t="n">
        <v>24</v>
      </c>
      <c r="B28" s="2" t="inlineStr">
        <is>
          <t>Thứ bảy ngày 24-01-2026</t>
        </is>
      </c>
      <c r="C28" s="3" t="inlineStr">
        <is>
          <t>08230</t>
        </is>
      </c>
      <c r="D28" s="3" t="inlineStr">
        <is>
          <t>30</t>
        </is>
      </c>
      <c r="E28" s="3" t="inlineStr">
        <is>
          <t>Đầu 3</t>
        </is>
      </c>
      <c r="F28" s="3" t="inlineStr">
        <is>
          <t>Đuôi 0</t>
        </is>
      </c>
      <c r="G28" s="3" t="inlineStr">
        <is>
          <t>2, 8, 9</t>
        </is>
      </c>
      <c r="H28" s="7" t="inlineStr">
        <is>
          <t>TRƯỢT ❌</t>
        </is>
      </c>
      <c r="I28" s="3" t="inlineStr">
        <is>
          <t>8, 7, 4</t>
        </is>
      </c>
      <c r="J28" s="7" t="inlineStr">
        <is>
          <t>TRƯỢT ❌</t>
        </is>
      </c>
      <c r="K28" s="3" t="inlineStr">
        <is>
          <t>24, 27, 28, 84, 87, 88, 94, 97, 98</t>
        </is>
      </c>
      <c r="L28" s="7" t="inlineStr">
        <is>
          <t>TRƯỢT ❌</t>
        </is>
      </c>
      <c r="M28" s="7" t="inlineStr">
        <is>
          <t>TRƯỢT KHUNG ❌</t>
        </is>
      </c>
    </row>
    <row r="29">
      <c r="A29" s="2" t="n">
        <v>25</v>
      </c>
      <c r="B29" s="2" t="inlineStr">
        <is>
          <t>Chủ nhật ngày 25-01-2026</t>
        </is>
      </c>
      <c r="C29" s="3" t="inlineStr">
        <is>
          <t>00974</t>
        </is>
      </c>
      <c r="D29" s="3" t="inlineStr">
        <is>
          <t>74</t>
        </is>
      </c>
      <c r="E29" s="3" t="inlineStr">
        <is>
          <t>Đầu 7</t>
        </is>
      </c>
      <c r="F29" s="3" t="inlineStr">
        <is>
          <t>Đuôi 4</t>
        </is>
      </c>
      <c r="G29" s="3" t="inlineStr">
        <is>
          <t>2, 8, 9</t>
        </is>
      </c>
      <c r="H29" s="7" t="inlineStr">
        <is>
          <t>TRƯỢT ❌</t>
        </is>
      </c>
      <c r="I29" s="3" t="inlineStr">
        <is>
          <t>8, 7, 3</t>
        </is>
      </c>
      <c r="J29" s="7" t="inlineStr">
        <is>
          <t>TRƯỢT ❌</t>
        </is>
      </c>
      <c r="K29" s="3" t="inlineStr">
        <is>
          <t>23, 27, 28, 83, 87, 88, 93, 97, 98</t>
        </is>
      </c>
      <c r="L29" s="7" t="inlineStr">
        <is>
          <t>TRƯỢT ❌</t>
        </is>
      </c>
      <c r="M29" s="7" t="inlineStr">
        <is>
          <t>TRƯỢT KHUNG ❌</t>
        </is>
      </c>
    </row>
    <row r="30">
      <c r="A30" s="2" t="n">
        <v>26</v>
      </c>
      <c r="B30" s="2" t="inlineStr">
        <is>
          <t>Thứ hai ngày 26-01-2026</t>
        </is>
      </c>
      <c r="C30" s="3" t="inlineStr">
        <is>
          <t>39380</t>
        </is>
      </c>
      <c r="D30" s="3" t="inlineStr">
        <is>
          <t>80</t>
        </is>
      </c>
      <c r="E30" s="3" t="inlineStr">
        <is>
          <t>Đầu 8</t>
        </is>
      </c>
      <c r="F30" s="3" t="inlineStr">
        <is>
          <t>Đuôi 0</t>
        </is>
      </c>
      <c r="G30" s="3" t="inlineStr">
        <is>
          <t>2, 8, 9</t>
        </is>
      </c>
      <c r="H30" s="6" t="inlineStr">
        <is>
          <t>TRÚNG 🎯</t>
        </is>
      </c>
      <c r="I30" s="3" t="inlineStr">
        <is>
          <t>8, 7, 3</t>
        </is>
      </c>
      <c r="J30" s="7" t="inlineStr">
        <is>
          <t>TRƯỢT ❌</t>
        </is>
      </c>
      <c r="K30" s="3" t="inlineStr">
        <is>
          <t>23, 27, 28, 83, 87, 88, 93, 97, 98</t>
        </is>
      </c>
      <c r="L30" s="7" t="inlineStr">
        <is>
          <t>TRƯỢT ❌</t>
        </is>
      </c>
      <c r="M30" s="7" t="inlineStr">
        <is>
          <t>TRƯỢT KHUNG ❌</t>
        </is>
      </c>
    </row>
    <row r="31">
      <c r="A31" s="2" t="n">
        <v>27</v>
      </c>
      <c r="B31" s="2" t="inlineStr">
        <is>
          <t>Thứ ba ngày 27-01-2026</t>
        </is>
      </c>
      <c r="C31" s="3" t="inlineStr">
        <is>
          <t>24121</t>
        </is>
      </c>
      <c r="D31" s="3" t="inlineStr">
        <is>
          <t>21</t>
        </is>
      </c>
      <c r="E31" s="3" t="inlineStr">
        <is>
          <t>Đầu 2</t>
        </is>
      </c>
      <c r="F31" s="3" t="inlineStr">
        <is>
          <t>Đuôi 1</t>
        </is>
      </c>
      <c r="G31" s="3" t="inlineStr">
        <is>
          <t>2, 6, 9</t>
        </is>
      </c>
      <c r="H31" s="6" t="inlineStr">
        <is>
          <t>TRÚNG 🎯</t>
        </is>
      </c>
      <c r="I31" s="3" t="inlineStr">
        <is>
          <t>8, 2, 7</t>
        </is>
      </c>
      <c r="J31" s="7" t="inlineStr">
        <is>
          <t>TRƯỢT ❌</t>
        </is>
      </c>
      <c r="K31" s="3" t="inlineStr">
        <is>
          <t>22, 27, 28, 62, 67, 68, 92, 97, 98</t>
        </is>
      </c>
      <c r="L31" s="7" t="inlineStr">
        <is>
          <t>TRƯỢT ❌</t>
        </is>
      </c>
      <c r="M31" s="7" t="inlineStr">
        <is>
          <t>TRƯỢT KHUNG ❌</t>
        </is>
      </c>
    </row>
    <row r="32">
      <c r="A32" s="2" t="n">
        <v>28</v>
      </c>
      <c r="B32" s="2" t="inlineStr">
        <is>
          <t>Thứ tư ngày 28-01-2026</t>
        </is>
      </c>
      <c r="C32" s="3" t="inlineStr">
        <is>
          <t>38814</t>
        </is>
      </c>
      <c r="D32" s="3" t="inlineStr">
        <is>
          <t>14</t>
        </is>
      </c>
      <c r="E32" s="3" t="inlineStr">
        <is>
          <t>Đầu 1</t>
        </is>
      </c>
      <c r="F32" s="3" t="inlineStr">
        <is>
          <t>Đuôi 4</t>
        </is>
      </c>
      <c r="G32" s="3" t="inlineStr">
        <is>
          <t>6, 2, 3</t>
        </is>
      </c>
      <c r="H32" s="7" t="inlineStr">
        <is>
          <t>TRƯỢT ❌</t>
        </is>
      </c>
      <c r="I32" s="3" t="inlineStr">
        <is>
          <t>8, 2, 7</t>
        </is>
      </c>
      <c r="J32" s="7" t="inlineStr">
        <is>
          <t>TRƯỢT ❌</t>
        </is>
      </c>
      <c r="K32" s="3" t="inlineStr">
        <is>
          <t>22, 27, 28, 32, 37, 38, 62, 67, 68</t>
        </is>
      </c>
      <c r="L32" s="7" t="inlineStr">
        <is>
          <t>TRƯỢT ❌</t>
        </is>
      </c>
      <c r="M32" s="7" t="inlineStr">
        <is>
          <t>TRƯỢT KHUNG ❌</t>
        </is>
      </c>
    </row>
    <row r="33">
      <c r="A33" s="2" t="n">
        <v>29</v>
      </c>
      <c r="B33" s="2" t="inlineStr">
        <is>
          <t>Thứ năm ngày 29-01-2026</t>
        </is>
      </c>
      <c r="C33" s="3" t="inlineStr">
        <is>
          <t>32845</t>
        </is>
      </c>
      <c r="D33" s="3" t="inlineStr">
        <is>
          <t>45</t>
        </is>
      </c>
      <c r="E33" s="3" t="inlineStr">
        <is>
          <t>Đầu 4</t>
        </is>
      </c>
      <c r="F33" s="3" t="inlineStr">
        <is>
          <t>Đuôi 5</t>
        </is>
      </c>
      <c r="G33" s="3" t="inlineStr">
        <is>
          <t>2, 6, 8</t>
        </is>
      </c>
      <c r="H33" s="7" t="inlineStr">
        <is>
          <t>TRƯỢT ❌</t>
        </is>
      </c>
      <c r="I33" s="3" t="inlineStr">
        <is>
          <t>8, 2, 7</t>
        </is>
      </c>
      <c r="J33" s="7" t="inlineStr">
        <is>
          <t>TRƯỢT ❌</t>
        </is>
      </c>
      <c r="K33" s="3" t="inlineStr">
        <is>
          <t>22, 27, 28, 62, 67, 68, 82, 87, 88</t>
        </is>
      </c>
      <c r="L33" s="7" t="inlineStr">
        <is>
          <t>TRƯỢT ❌</t>
        </is>
      </c>
      <c r="M33" s="7" t="inlineStr">
        <is>
          <t>TRƯỢT KHUNG ❌</t>
        </is>
      </c>
    </row>
    <row r="34">
      <c r="A34" s="2" t="n">
        <v>30</v>
      </c>
      <c r="B34" s="2" t="inlineStr">
        <is>
          <t>Thứ sáu ngày 30-01-2026</t>
        </is>
      </c>
      <c r="C34" s="3" t="inlineStr">
        <is>
          <t>42754</t>
        </is>
      </c>
      <c r="D34" s="3" t="inlineStr">
        <is>
          <t>54</t>
        </is>
      </c>
      <c r="E34" s="3" t="inlineStr">
        <is>
          <t>Đầu 5</t>
        </is>
      </c>
      <c r="F34" s="3" t="inlineStr">
        <is>
          <t>Đuôi 4</t>
        </is>
      </c>
      <c r="G34" s="3" t="inlineStr">
        <is>
          <t>2, 6, 8</t>
        </is>
      </c>
      <c r="H34" s="7" t="inlineStr">
        <is>
          <t>TRƯỢT ❌</t>
        </is>
      </c>
      <c r="I34" s="3" t="inlineStr">
        <is>
          <t>8, 2, 3</t>
        </is>
      </c>
      <c r="J34" s="7" t="inlineStr">
        <is>
          <t>TRƯỢT ❌</t>
        </is>
      </c>
      <c r="K34" s="3" t="inlineStr">
        <is>
          <t>22, 23, 28, 62, 63, 68, 82, 83, 88</t>
        </is>
      </c>
      <c r="L34" s="7" t="inlineStr">
        <is>
          <t>TRƯỢT ❌</t>
        </is>
      </c>
      <c r="M34" s="7" t="inlineStr">
        <is>
          <t>TRƯỢT KHUNG ❌</t>
        </is>
      </c>
    </row>
    <row r="35">
      <c r="A35" s="2" t="n">
        <v>31</v>
      </c>
      <c r="B35" s="2" t="inlineStr">
        <is>
          <t>Thứ bảy ngày 31-01-2026</t>
        </is>
      </c>
      <c r="C35" s="3" t="inlineStr">
        <is>
          <t>01377</t>
        </is>
      </c>
      <c r="D35" s="3" t="inlineStr">
        <is>
          <t>77</t>
        </is>
      </c>
      <c r="E35" s="3" t="inlineStr">
        <is>
          <t>Đầu 7</t>
        </is>
      </c>
      <c r="F35" s="3" t="inlineStr">
        <is>
          <t>Đuôi 7</t>
        </is>
      </c>
      <c r="G35" s="3" t="inlineStr">
        <is>
          <t>2, 8, 6</t>
        </is>
      </c>
      <c r="H35" s="7" t="inlineStr">
        <is>
          <t>TRƯỢT ❌</t>
        </is>
      </c>
      <c r="I35" s="3" t="inlineStr">
        <is>
          <t>2, 8, 3</t>
        </is>
      </c>
      <c r="J35" s="7" t="inlineStr">
        <is>
          <t>TRƯỢT ❌</t>
        </is>
      </c>
      <c r="K35" s="3" t="inlineStr">
        <is>
          <t>22, 23, 28, 62, 63, 68, 82, 83, 88</t>
        </is>
      </c>
      <c r="L35" s="7" t="inlineStr">
        <is>
          <t>TRƯỢT ❌</t>
        </is>
      </c>
      <c r="M35" s="7" t="inlineStr">
        <is>
          <t>TRƯỢT KHUNG ❌</t>
        </is>
      </c>
    </row>
    <row r="36">
      <c r="A36" s="2" t="n">
        <v>32</v>
      </c>
      <c r="B36" s="2" t="inlineStr">
        <is>
          <t>Chủ nhật ngày 01-02-2026</t>
        </is>
      </c>
      <c r="C36" s="3" t="inlineStr">
        <is>
          <t>73461</t>
        </is>
      </c>
      <c r="D36" s="3" t="inlineStr">
        <is>
          <t>61</t>
        </is>
      </c>
      <c r="E36" s="3" t="inlineStr">
        <is>
          <t>Đầu 6</t>
        </is>
      </c>
      <c r="F36" s="3" t="inlineStr">
        <is>
          <t>Đuôi 1</t>
        </is>
      </c>
      <c r="G36" s="3" t="inlineStr">
        <is>
          <t>2, 8, 6</t>
        </is>
      </c>
      <c r="H36" s="6" t="inlineStr">
        <is>
          <t>TRÚNG 🎯</t>
        </is>
      </c>
      <c r="I36" s="3" t="inlineStr">
        <is>
          <t>2, 3, 8</t>
        </is>
      </c>
      <c r="J36" s="7" t="inlineStr">
        <is>
          <t>TRƯỢT ❌</t>
        </is>
      </c>
      <c r="K36" s="3" t="inlineStr">
        <is>
          <t>22, 23, 28, 62, 63, 68, 82, 83, 88</t>
        </is>
      </c>
      <c r="L36" s="7" t="inlineStr">
        <is>
          <t>TRƯỢT ❌</t>
        </is>
      </c>
      <c r="M36" s="7" t="inlineStr">
        <is>
          <t>TRƯỢT KHUNG ❌</t>
        </is>
      </c>
    </row>
    <row r="37">
      <c r="A37" s="2" t="n">
        <v>33</v>
      </c>
      <c r="B37" s="2" t="inlineStr">
        <is>
          <t>Thứ hai ngày 02-02-2026</t>
        </is>
      </c>
      <c r="C37" s="3" t="inlineStr">
        <is>
          <t>97648</t>
        </is>
      </c>
      <c r="D37" s="3" t="inlineStr">
        <is>
          <t>48</t>
        </is>
      </c>
      <c r="E37" s="3" t="inlineStr">
        <is>
          <t>Đầu 4</t>
        </is>
      </c>
      <c r="F37" s="3" t="inlineStr">
        <is>
          <t>Đuôi 8</t>
        </is>
      </c>
      <c r="G37" s="3" t="inlineStr">
        <is>
          <t>2, 8, 1</t>
        </is>
      </c>
      <c r="H37" s="7" t="inlineStr">
        <is>
          <t>TRƯỢT ❌</t>
        </is>
      </c>
      <c r="I37" s="3" t="inlineStr">
        <is>
          <t>2, 4, 3</t>
        </is>
      </c>
      <c r="J37" s="7" t="inlineStr">
        <is>
          <t>TRƯỢT ❌</t>
        </is>
      </c>
      <c r="K37" s="3" t="inlineStr">
        <is>
          <t>12, 13, 14, 22, 23, 24, 82, 83, 84</t>
        </is>
      </c>
      <c r="L37" s="7" t="inlineStr">
        <is>
          <t>TRƯỢT ❌</t>
        </is>
      </c>
      <c r="M37" s="7" t="inlineStr">
        <is>
          <t>TRƯỢT KHUNG ❌</t>
        </is>
      </c>
    </row>
    <row r="38">
      <c r="A38" s="2" t="n">
        <v>34</v>
      </c>
      <c r="B38" s="2" t="inlineStr">
        <is>
          <t>Thứ ba ngày 03-02-2026</t>
        </is>
      </c>
      <c r="C38" s="3" t="inlineStr">
        <is>
          <t>06517</t>
        </is>
      </c>
      <c r="D38" s="3" t="inlineStr">
        <is>
          <t>17</t>
        </is>
      </c>
      <c r="E38" s="3" t="inlineStr">
        <is>
          <t>Đầu 1</t>
        </is>
      </c>
      <c r="F38" s="3" t="inlineStr">
        <is>
          <t>Đuôi 7</t>
        </is>
      </c>
      <c r="G38" s="3" t="inlineStr">
        <is>
          <t>2, 8, 1</t>
        </is>
      </c>
      <c r="H38" s="6" t="inlineStr">
        <is>
          <t>TRÚNG 🎯</t>
        </is>
      </c>
      <c r="I38" s="3" t="inlineStr">
        <is>
          <t>4, 2, 3</t>
        </is>
      </c>
      <c r="J38" s="7" t="inlineStr">
        <is>
          <t>TRƯỢT ❌</t>
        </is>
      </c>
      <c r="K38" s="3" t="inlineStr">
        <is>
          <t>12, 13, 14, 22, 23, 24, 82, 83, 84</t>
        </is>
      </c>
      <c r="L38" s="7" t="inlineStr">
        <is>
          <t>TRƯỢT ❌</t>
        </is>
      </c>
      <c r="M38" s="7" t="inlineStr">
        <is>
          <t>TRƯỢT KHUNG ❌</t>
        </is>
      </c>
    </row>
    <row r="39">
      <c r="A39" s="2" t="n">
        <v>35</v>
      </c>
      <c r="B39" s="2" t="inlineStr">
        <is>
          <t>Thứ tư ngày 04-02-2026</t>
        </is>
      </c>
      <c r="C39" s="3" t="inlineStr">
        <is>
          <t>10268</t>
        </is>
      </c>
      <c r="D39" s="3" t="inlineStr">
        <is>
          <t>68</t>
        </is>
      </c>
      <c r="E39" s="3" t="inlineStr">
        <is>
          <t>Đầu 6</t>
        </is>
      </c>
      <c r="F39" s="3" t="inlineStr">
        <is>
          <t>Đuôi 8</t>
        </is>
      </c>
      <c r="G39" s="3" t="inlineStr">
        <is>
          <t>2, 8, 7</t>
        </is>
      </c>
      <c r="H39" s="7" t="inlineStr">
        <is>
          <t>TRƯỢT ❌</t>
        </is>
      </c>
      <c r="I39" s="3" t="inlineStr">
        <is>
          <t>4, 2, 3</t>
        </is>
      </c>
      <c r="J39" s="7" t="inlineStr">
        <is>
          <t>TRƯỢT ❌</t>
        </is>
      </c>
      <c r="K39" s="3" t="inlineStr">
        <is>
          <t>22, 23, 24, 72, 73, 74, 82, 83, 84</t>
        </is>
      </c>
      <c r="L39" s="7" t="inlineStr">
        <is>
          <t>TRƯỢT ❌</t>
        </is>
      </c>
      <c r="M39" s="7" t="inlineStr">
        <is>
          <t>TRƯỢT KHUNG ❌</t>
        </is>
      </c>
    </row>
    <row r="40">
      <c r="A40" s="2" t="n">
        <v>36</v>
      </c>
      <c r="B40" s="2" t="inlineStr">
        <is>
          <t>Thứ năm ngày 05-02-2026</t>
        </is>
      </c>
      <c r="C40" s="3" t="inlineStr">
        <is>
          <t>06133</t>
        </is>
      </c>
      <c r="D40" s="3" t="inlineStr">
        <is>
          <t>33</t>
        </is>
      </c>
      <c r="E40" s="3" t="inlineStr">
        <is>
          <t>Đầu 3</t>
        </is>
      </c>
      <c r="F40" s="3" t="inlineStr">
        <is>
          <t>Đuôi 3</t>
        </is>
      </c>
      <c r="G40" s="3" t="inlineStr">
        <is>
          <t>2, 8, 7</t>
        </is>
      </c>
      <c r="H40" s="7" t="inlineStr">
        <is>
          <t>TRƯỢT ❌</t>
        </is>
      </c>
      <c r="I40" s="3" t="inlineStr">
        <is>
          <t>4, 2, 1</t>
        </is>
      </c>
      <c r="J40" s="7" t="inlineStr">
        <is>
          <t>TRƯỢT ❌</t>
        </is>
      </c>
      <c r="K40" s="3" t="inlineStr">
        <is>
          <t>21, 22, 24, 71, 72, 74, 81, 82, 84</t>
        </is>
      </c>
      <c r="L40" s="7" t="inlineStr">
        <is>
          <t>TRƯỢT ❌</t>
        </is>
      </c>
      <c r="M40" s="7" t="inlineStr">
        <is>
          <t>TRƯỢT KHUNG ❌</t>
        </is>
      </c>
    </row>
    <row r="41">
      <c r="A41" s="2" t="n">
        <v>37</v>
      </c>
      <c r="B41" s="2" t="inlineStr">
        <is>
          <t>Thứ sáu ngày 06-02-2026</t>
        </is>
      </c>
      <c r="C41" s="3" t="inlineStr">
        <is>
          <t>38385</t>
        </is>
      </c>
      <c r="D41" s="3" t="inlineStr">
        <is>
          <t>85</t>
        </is>
      </c>
      <c r="E41" s="3" t="inlineStr">
        <is>
          <t>Đầu 8</t>
        </is>
      </c>
      <c r="F41" s="3" t="inlineStr">
        <is>
          <t>Đuôi 5</t>
        </is>
      </c>
      <c r="G41" s="3" t="inlineStr">
        <is>
          <t>2, 7, 8</t>
        </is>
      </c>
      <c r="H41" s="6" t="inlineStr">
        <is>
          <t>TRÚNG 🎯</t>
        </is>
      </c>
      <c r="I41" s="3" t="inlineStr">
        <is>
          <t>4, 2, 1</t>
        </is>
      </c>
      <c r="J41" s="7" t="inlineStr">
        <is>
          <t>TRƯỢT ❌</t>
        </is>
      </c>
      <c r="K41" s="3" t="inlineStr">
        <is>
          <t>21, 22, 24, 71, 72, 74, 81, 82, 84</t>
        </is>
      </c>
      <c r="L41" s="7" t="inlineStr">
        <is>
          <t>TRƯỢT ❌</t>
        </is>
      </c>
      <c r="M41" s="7" t="inlineStr">
        <is>
          <t>TRƯỢT KHUNG ❌</t>
        </is>
      </c>
    </row>
    <row r="42">
      <c r="A42" s="2" t="n">
        <v>38</v>
      </c>
      <c r="B42" s="2" t="inlineStr">
        <is>
          <t>Thứ bảy ngày 07-02-2026</t>
        </is>
      </c>
      <c r="C42" s="3" t="inlineStr">
        <is>
          <t>57977</t>
        </is>
      </c>
      <c r="D42" s="3" t="inlineStr">
        <is>
          <t>77</t>
        </is>
      </c>
      <c r="E42" s="3" t="inlineStr">
        <is>
          <t>Đầu 7</t>
        </is>
      </c>
      <c r="F42" s="3" t="inlineStr">
        <is>
          <t>Đuôi 7</t>
        </is>
      </c>
      <c r="G42" s="3" t="inlineStr">
        <is>
          <t>2, 1, 7</t>
        </is>
      </c>
      <c r="H42" s="6" t="inlineStr">
        <is>
          <t>TRÚNG 🎯</t>
        </is>
      </c>
      <c r="I42" s="3" t="inlineStr">
        <is>
          <t>4, 7, 8</t>
        </is>
      </c>
      <c r="J42" s="6" t="inlineStr">
        <is>
          <t>TRÚNG 🎯</t>
        </is>
      </c>
      <c r="K42" s="3" t="inlineStr">
        <is>
          <t>14, 17, 18, 24, 27, 28, 74, 77, 78</t>
        </is>
      </c>
      <c r="L42" s="6" t="inlineStr">
        <is>
          <t>TRÚNG 🎯</t>
        </is>
      </c>
      <c r="M42" s="6" t="inlineStr">
        <is>
          <t>TRÚNG KHUNG 🎯</t>
        </is>
      </c>
    </row>
    <row r="43">
      <c r="A43" s="2" t="n">
        <v>39</v>
      </c>
      <c r="B43" s="2" t="inlineStr">
        <is>
          <t>Chủ nhật ngày 08-02-2026</t>
        </is>
      </c>
      <c r="C43" s="3" t="inlineStr">
        <is>
          <t>05901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2, 6, 1</t>
        </is>
      </c>
      <c r="H43" s="7" t="inlineStr">
        <is>
          <t>TRƯỢT ❌</t>
        </is>
      </c>
      <c r="I43" s="3" t="inlineStr">
        <is>
          <t>4, 8, 1</t>
        </is>
      </c>
      <c r="J43" s="6" t="inlineStr">
        <is>
          <t>TRÚNG 🎯</t>
        </is>
      </c>
      <c r="K43" s="3" t="inlineStr">
        <is>
          <t>11, 14, 18, 21, 24, 28, 61, 64, 68</t>
        </is>
      </c>
      <c r="L43" s="7" t="inlineStr">
        <is>
          <t>TRƯỢT ❌</t>
        </is>
      </c>
      <c r="M43" s="7" t="inlineStr">
        <is>
          <t>TRƯỢT KHUNG ❌</t>
        </is>
      </c>
    </row>
    <row r="44">
      <c r="A44" s="2" t="n">
        <v>40</v>
      </c>
      <c r="B44" s="2" t="inlineStr">
        <is>
          <t>Thứ hai ngày 09-02-2026</t>
        </is>
      </c>
      <c r="C44" s="3" t="inlineStr">
        <is>
          <t>65390</t>
        </is>
      </c>
      <c r="D44" s="3" t="inlineStr">
        <is>
          <t>90</t>
        </is>
      </c>
      <c r="E44" s="3" t="inlineStr">
        <is>
          <t>Đầu 9</t>
        </is>
      </c>
      <c r="F44" s="3" t="inlineStr">
        <is>
          <t>Đuôi 0</t>
        </is>
      </c>
      <c r="G44" s="3" t="inlineStr">
        <is>
          <t>2, 6, 1</t>
        </is>
      </c>
      <c r="H44" s="7" t="inlineStr">
        <is>
          <t>TRƯỢT ❌</t>
        </is>
      </c>
      <c r="I44" s="3" t="inlineStr">
        <is>
          <t>4, 8, 7</t>
        </is>
      </c>
      <c r="J44" s="7" t="inlineStr">
        <is>
          <t>TRƯỢT ❌</t>
        </is>
      </c>
      <c r="K44" s="3" t="inlineStr">
        <is>
          <t>14, 17, 18, 24, 27, 28, 64, 67, 68</t>
        </is>
      </c>
      <c r="L44" s="7" t="inlineStr">
        <is>
          <t>TRƯỢT ❌</t>
        </is>
      </c>
      <c r="M44" s="7" t="inlineStr">
        <is>
          <t>TRƯỢT KHUNG ❌</t>
        </is>
      </c>
    </row>
    <row r="45">
      <c r="A45" s="2" t="n">
        <v>41</v>
      </c>
      <c r="B45" s="2" t="inlineStr">
        <is>
          <t>Thứ ba ngày 10-02-2026</t>
        </is>
      </c>
      <c r="C45" s="3" t="inlineStr">
        <is>
          <t>20692</t>
        </is>
      </c>
      <c r="D45" s="3" t="inlineStr">
        <is>
          <t>92</t>
        </is>
      </c>
      <c r="E45" s="3" t="inlineStr">
        <is>
          <t>Đầu 9</t>
        </is>
      </c>
      <c r="F45" s="3" t="inlineStr">
        <is>
          <t>Đuôi 2</t>
        </is>
      </c>
      <c r="G45" s="3" t="inlineStr">
        <is>
          <t>2, 6, 8</t>
        </is>
      </c>
      <c r="H45" s="7" t="inlineStr">
        <is>
          <t>TRƯỢT ❌</t>
        </is>
      </c>
      <c r="I45" s="3" t="inlineStr">
        <is>
          <t>4, 8, 7</t>
        </is>
      </c>
      <c r="J45" s="7" t="inlineStr">
        <is>
          <t>TRƯỢT ❌</t>
        </is>
      </c>
      <c r="K45" s="3" t="inlineStr">
        <is>
          <t>24, 27, 28, 64, 67, 68, 84, 87, 88</t>
        </is>
      </c>
      <c r="L45" s="7" t="inlineStr">
        <is>
          <t>TRƯỢT ❌</t>
        </is>
      </c>
      <c r="M45" s="7" t="inlineStr">
        <is>
          <t>TRƯỢT KHUNG ❌</t>
        </is>
      </c>
    </row>
    <row r="46">
      <c r="A46" s="2" t="n">
        <v>42</v>
      </c>
      <c r="B46" s="2" t="inlineStr">
        <is>
          <t>Thứ tư ngày 11-02-2026</t>
        </is>
      </c>
      <c r="C46" s="3" t="inlineStr">
        <is>
          <t>81475</t>
        </is>
      </c>
      <c r="D46" s="3" t="inlineStr">
        <is>
          <t>75</t>
        </is>
      </c>
      <c r="E46" s="3" t="inlineStr">
        <is>
          <t>Đầu 7</t>
        </is>
      </c>
      <c r="F46" s="3" t="inlineStr">
        <is>
          <t>Đuôi 5</t>
        </is>
      </c>
      <c r="G46" s="3" t="inlineStr">
        <is>
          <t>2, 6, 7</t>
        </is>
      </c>
      <c r="H46" s="6" t="inlineStr">
        <is>
          <t>TRÚNG 🎯</t>
        </is>
      </c>
      <c r="I46" s="3" t="inlineStr">
        <is>
          <t>7, 4, 8</t>
        </is>
      </c>
      <c r="J46" s="7" t="inlineStr">
        <is>
          <t>TRƯỢT ❌</t>
        </is>
      </c>
      <c r="K46" s="3" t="inlineStr">
        <is>
          <t>24, 27, 28, 64, 67, 68, 74, 77, 78</t>
        </is>
      </c>
      <c r="L46" s="7" t="inlineStr">
        <is>
          <t>TRƯỢT ❌</t>
        </is>
      </c>
      <c r="M46" s="6" t="inlineStr">
        <is>
          <t>TRÚNG KHUNG 🎯</t>
        </is>
      </c>
    </row>
    <row r="47">
      <c r="A47" s="2" t="n">
        <v>43</v>
      </c>
      <c r="B47" s="2" t="inlineStr">
        <is>
          <t>Thứ năm ngày 12-02-2026</t>
        </is>
      </c>
      <c r="C47" s="3" t="inlineStr">
        <is>
          <t>93177</t>
        </is>
      </c>
      <c r="D47" s="3" t="inlineStr">
        <is>
          <t>77</t>
        </is>
      </c>
      <c r="E47" s="3" t="inlineStr">
        <is>
          <t>Đầu 7</t>
        </is>
      </c>
      <c r="F47" s="3" t="inlineStr">
        <is>
          <t>Đuôi 7</t>
        </is>
      </c>
      <c r="G47" s="3" t="inlineStr">
        <is>
          <t>2, 6, 8</t>
        </is>
      </c>
      <c r="H47" s="7" t="inlineStr">
        <is>
          <t>TRƯỢT ❌</t>
        </is>
      </c>
      <c r="I47" s="3" t="inlineStr">
        <is>
          <t>1, 4, 7</t>
        </is>
      </c>
      <c r="J47" s="6" t="inlineStr">
        <is>
          <t>TRÚNG 🎯</t>
        </is>
      </c>
      <c r="K47" s="3" t="inlineStr">
        <is>
          <t>21, 24, 27, 61, 64, 67, 81, 84, 87</t>
        </is>
      </c>
      <c r="L47" s="7" t="inlineStr">
        <is>
          <t>TRƯỢT ❌</t>
        </is>
      </c>
      <c r="M47" s="7" t="inlineStr">
        <is>
          <t>TRƯỢT KHUNG ❌</t>
        </is>
      </c>
    </row>
    <row r="48">
      <c r="A48" s="2" t="n">
        <v>44</v>
      </c>
      <c r="B48" s="2" t="inlineStr">
        <is>
          <t>Thứ sáu ngày 13-02-2026</t>
        </is>
      </c>
      <c r="C48" s="3" t="inlineStr">
        <is>
          <t>90630</t>
        </is>
      </c>
      <c r="D48" s="3" t="inlineStr">
        <is>
          <t>30</t>
        </is>
      </c>
      <c r="E48" s="3" t="inlineStr">
        <is>
          <t>Đầu 3</t>
        </is>
      </c>
      <c r="F48" s="3" t="inlineStr">
        <is>
          <t>Đuôi 0</t>
        </is>
      </c>
      <c r="G48" s="3" t="inlineStr">
        <is>
          <t>6, 8, 2</t>
        </is>
      </c>
      <c r="H48" s="7" t="inlineStr">
        <is>
          <t>TRƯỢT ❌</t>
        </is>
      </c>
      <c r="I48" s="3" t="inlineStr">
        <is>
          <t>1, 4, 8</t>
        </is>
      </c>
      <c r="J48" s="7" t="inlineStr">
        <is>
          <t>TRƯỢT ❌</t>
        </is>
      </c>
      <c r="K48" s="3" t="inlineStr">
        <is>
          <t>21, 24, 28, 61, 64, 68, 81, 84, 88</t>
        </is>
      </c>
      <c r="L48" s="7" t="inlineStr">
        <is>
          <t>TRƯỢT ❌</t>
        </is>
      </c>
      <c r="M48" s="6" t="inlineStr">
        <is>
          <t>TRÚNG KHUNG 🎯</t>
        </is>
      </c>
    </row>
    <row r="49">
      <c r="A49" s="2" t="n">
        <v>45</v>
      </c>
      <c r="B49" s="2" t="inlineStr">
        <is>
          <t>Thứ bảy ngày 14-02-2026</t>
        </is>
      </c>
      <c r="C49" s="3" t="inlineStr">
        <is>
          <t>22601</t>
        </is>
      </c>
      <c r="D49" s="3" t="inlineStr">
        <is>
          <t>01</t>
        </is>
      </c>
      <c r="E49" s="3" t="inlineStr">
        <is>
          <t>Đầu 0</t>
        </is>
      </c>
      <c r="F49" s="3" t="inlineStr">
        <is>
          <t>Đuôi 1</t>
        </is>
      </c>
      <c r="G49" s="3" t="inlineStr">
        <is>
          <t>6, 8, 7</t>
        </is>
      </c>
      <c r="H49" s="7" t="inlineStr">
        <is>
          <t>TRƯỢT ❌</t>
        </is>
      </c>
      <c r="I49" s="3" t="inlineStr">
        <is>
          <t>1, 4, 8</t>
        </is>
      </c>
      <c r="J49" s="6" t="inlineStr">
        <is>
          <t>TRÚNG 🎯</t>
        </is>
      </c>
      <c r="K49" s="3" t="inlineStr">
        <is>
          <t>61, 64, 68, 71, 74, 78, 81, 84, 88</t>
        </is>
      </c>
      <c r="L49" s="7" t="inlineStr">
        <is>
          <t>TRƯỢT ❌</t>
        </is>
      </c>
      <c r="M49" s="6" t="inlineStr">
        <is>
          <t>TRÚNG KHUNG 🎯</t>
        </is>
      </c>
    </row>
    <row r="50">
      <c r="A50" s="2" t="n">
        <v>46</v>
      </c>
      <c r="B50" s="2" t="inlineStr">
        <is>
          <t>Chủ nhật ngày 15-02-2026</t>
        </is>
      </c>
      <c r="C50" s="3" t="inlineStr">
        <is>
          <t>36481</t>
        </is>
      </c>
      <c r="D50" s="3" t="inlineStr">
        <is>
          <t>81</t>
        </is>
      </c>
      <c r="E50" s="3" t="inlineStr">
        <is>
          <t>Đầu 8</t>
        </is>
      </c>
      <c r="F50" s="3" t="inlineStr">
        <is>
          <t>Đuôi 1</t>
        </is>
      </c>
      <c r="G50" s="3" t="inlineStr">
        <is>
          <t>7, 6, 8</t>
        </is>
      </c>
      <c r="H50" s="6" t="inlineStr">
        <is>
          <t>TRÚNG 🎯</t>
        </is>
      </c>
      <c r="I50" s="3" t="inlineStr">
        <is>
          <t>4, 2, 5</t>
        </is>
      </c>
      <c r="J50" s="7" t="inlineStr">
        <is>
          <t>TRƯỢT ❌</t>
        </is>
      </c>
      <c r="K50" s="3" t="inlineStr">
        <is>
          <t>62, 64, 65, 72, 74, 75, 82, 84, 85</t>
        </is>
      </c>
      <c r="L50" s="7" t="inlineStr">
        <is>
          <t>TRƯỢT ❌</t>
        </is>
      </c>
      <c r="M50" s="7" t="inlineStr">
        <is>
          <t>TRƯỢT KHUNG ❌</t>
        </is>
      </c>
    </row>
    <row r="51">
      <c r="A51" s="2" t="n">
        <v>47</v>
      </c>
      <c r="B51" s="2" t="inlineStr">
        <is>
          <t>Thứ sáu ngày 20-02-2026</t>
        </is>
      </c>
      <c r="C51" s="3" t="inlineStr">
        <is>
          <t>44413</t>
        </is>
      </c>
      <c r="D51" s="3" t="inlineStr">
        <is>
          <t>13</t>
        </is>
      </c>
      <c r="E51" s="3" t="inlineStr">
        <is>
          <t>Đầu 1</t>
        </is>
      </c>
      <c r="F51" s="3" t="inlineStr">
        <is>
          <t>Đuôi 3</t>
        </is>
      </c>
      <c r="G51" s="3" t="inlineStr">
        <is>
          <t>7, 6, 1</t>
        </is>
      </c>
      <c r="H51" s="6" t="inlineStr">
        <is>
          <t>TRÚNG 🎯</t>
        </is>
      </c>
      <c r="I51" s="3" t="inlineStr">
        <is>
          <t>7, 2, 5</t>
        </is>
      </c>
      <c r="J51" s="7" t="inlineStr">
        <is>
          <t>TRƯỢT ❌</t>
        </is>
      </c>
      <c r="K51" s="3" t="inlineStr">
        <is>
          <t>12, 15, 17, 62, 65, 67, 72, 75, 77</t>
        </is>
      </c>
      <c r="L51" s="7" t="inlineStr">
        <is>
          <t>TRƯỢT ❌</t>
        </is>
      </c>
      <c r="M51" s="6" t="inlineStr">
        <is>
          <t>TRÚNG KHUNG 🎯</t>
        </is>
      </c>
    </row>
    <row r="52">
      <c r="A52" s="2" t="n">
        <v>48</v>
      </c>
      <c r="B52" s="2" t="inlineStr">
        <is>
          <t>Thứ bảy ngày 21-02-2026</t>
        </is>
      </c>
      <c r="C52" s="3" t="inlineStr">
        <is>
          <t>64512</t>
        </is>
      </c>
      <c r="D52" s="3" t="inlineStr">
        <is>
          <t>12</t>
        </is>
      </c>
      <c r="E52" s="3" t="inlineStr">
        <is>
          <t>Đầu 1</t>
        </is>
      </c>
      <c r="F52" s="3" t="inlineStr">
        <is>
          <t>Đuôi 2</t>
        </is>
      </c>
      <c r="G52" s="3" t="inlineStr">
        <is>
          <t>7, 6, 3</t>
        </is>
      </c>
      <c r="H52" s="7" t="inlineStr">
        <is>
          <t>TRƯỢT ❌</t>
        </is>
      </c>
      <c r="I52" s="3" t="inlineStr">
        <is>
          <t>0, 7, 2</t>
        </is>
      </c>
      <c r="J52" s="6" t="inlineStr">
        <is>
          <t>TRÚNG 🎯</t>
        </is>
      </c>
      <c r="K52" s="3" t="inlineStr">
        <is>
          <t>30, 32, 37, 60, 62, 67, 70, 72, 77</t>
        </is>
      </c>
      <c r="L52" s="7" t="inlineStr">
        <is>
          <t>TRƯỢT ❌</t>
        </is>
      </c>
      <c r="M52" s="6" t="inlineStr">
        <is>
          <t>TRÚNG KHUNG 🎯</t>
        </is>
      </c>
    </row>
    <row r="53">
      <c r="A53" s="2" t="n">
        <v>49</v>
      </c>
      <c r="B53" s="2" t="inlineStr">
        <is>
          <t>Chủ nhật ngày 22-02-2026</t>
        </is>
      </c>
      <c r="C53" s="3" t="inlineStr">
        <is>
          <t>67655</t>
        </is>
      </c>
      <c r="D53" s="3" t="inlineStr">
        <is>
          <t>55</t>
        </is>
      </c>
      <c r="E53" s="3" t="inlineStr">
        <is>
          <t>Đầu 5</t>
        </is>
      </c>
      <c r="F53" s="3" t="inlineStr">
        <is>
          <t>Đuôi 5</t>
        </is>
      </c>
      <c r="G53" s="3" t="inlineStr">
        <is>
          <t>7, 6, 3</t>
        </is>
      </c>
      <c r="H53" s="7" t="inlineStr">
        <is>
          <t>TRƯỢT ❌</t>
        </is>
      </c>
      <c r="I53" s="3" t="inlineStr">
        <is>
          <t>0, 7, 1</t>
        </is>
      </c>
      <c r="J53" s="7" t="inlineStr">
        <is>
          <t>TRƯỢT ❌</t>
        </is>
      </c>
      <c r="K53" s="3" t="inlineStr">
        <is>
          <t>30, 31, 37, 60, 61, 67, 70, 71, 77</t>
        </is>
      </c>
      <c r="L53" s="7" t="inlineStr">
        <is>
          <t>TRƯỢT ❌</t>
        </is>
      </c>
      <c r="M53" s="6" t="inlineStr">
        <is>
          <t>TRÚNG KHUNG 🎯</t>
        </is>
      </c>
    </row>
    <row r="54">
      <c r="A54" s="2" t="n">
        <v>50</v>
      </c>
      <c r="B54" s="2" t="inlineStr">
        <is>
          <t>Thứ hai ngày 23-02-2026</t>
        </is>
      </c>
      <c r="C54" s="3" t="inlineStr">
        <is>
          <t>65037</t>
        </is>
      </c>
      <c r="D54" s="3" t="inlineStr">
        <is>
          <t>37</t>
        </is>
      </c>
      <c r="E54" s="3" t="inlineStr">
        <is>
          <t>Đầu 3</t>
        </is>
      </c>
      <c r="F54" s="3" t="inlineStr">
        <is>
          <t>Đuôi 7</t>
        </is>
      </c>
      <c r="G54" s="3" t="inlineStr">
        <is>
          <t>7, 6, 8</t>
        </is>
      </c>
      <c r="H54" s="7" t="inlineStr">
        <is>
          <t>TRƯỢT ❌</t>
        </is>
      </c>
      <c r="I54" s="3" t="inlineStr">
        <is>
          <t>1, 0, 7</t>
        </is>
      </c>
      <c r="J54" s="6" t="inlineStr">
        <is>
          <t>TRÚNG 🎯</t>
        </is>
      </c>
      <c r="K54" s="3" t="inlineStr">
        <is>
          <t>60, 61, 67, 70, 71, 77, 80, 81, 87</t>
        </is>
      </c>
      <c r="L54" s="7" t="inlineStr">
        <is>
          <t>TRƯỢT ❌</t>
        </is>
      </c>
      <c r="M54" s="7" t="inlineStr">
        <is>
          <t>TRƯỢT KHUNG ❌</t>
        </is>
      </c>
    </row>
    <row r="55">
      <c r="A55" s="2" t="n">
        <v>51</v>
      </c>
      <c r="B55" s="2" t="inlineStr">
        <is>
          <t>Thứ ba ngày 24-02-2026</t>
        </is>
      </c>
      <c r="C55" s="3" t="inlineStr">
        <is>
          <t>48153</t>
        </is>
      </c>
      <c r="D55" s="3" t="inlineStr">
        <is>
          <t>53</t>
        </is>
      </c>
      <c r="E55" s="3" t="inlineStr">
        <is>
          <t>Đầu 5</t>
        </is>
      </c>
      <c r="F55" s="3" t="inlineStr">
        <is>
          <t>Đuôi 3</t>
        </is>
      </c>
      <c r="G55" s="3" t="inlineStr">
        <is>
          <t>7, 6, 8</t>
        </is>
      </c>
      <c r="H55" s="7" t="inlineStr">
        <is>
          <t>TRƯỢT ❌</t>
        </is>
      </c>
      <c r="I55" s="3" t="inlineStr">
        <is>
          <t>1, 0, 3</t>
        </is>
      </c>
      <c r="J55" s="6" t="inlineStr">
        <is>
          <t>TRÚNG 🎯</t>
        </is>
      </c>
      <c r="K55" s="3" t="inlineStr">
        <is>
          <t>60, 61, 63, 70, 71, 73, 80, 81, 83</t>
        </is>
      </c>
      <c r="L55" s="7" t="inlineStr">
        <is>
          <t>TRƯỢT ❌</t>
        </is>
      </c>
      <c r="M55" s="6" t="inlineStr">
        <is>
          <t>TRÚNG KHUNG 🎯</t>
        </is>
      </c>
    </row>
    <row r="56">
      <c r="A56" s="2" t="n">
        <v>52</v>
      </c>
      <c r="B56" s="2" t="inlineStr">
        <is>
          <t>Thứ tư ngày 25-02-2026</t>
        </is>
      </c>
      <c r="C56" s="3" t="inlineStr">
        <is>
          <t>86408</t>
        </is>
      </c>
      <c r="D56" s="3" t="inlineStr">
        <is>
          <t>08</t>
        </is>
      </c>
      <c r="E56" s="3" t="inlineStr">
        <is>
          <t>Đầu 0</t>
        </is>
      </c>
      <c r="F56" s="3" t="inlineStr">
        <is>
          <t>Đuôi 8</t>
        </is>
      </c>
      <c r="G56" s="3" t="inlineStr">
        <is>
          <t>7, 1, 8</t>
        </is>
      </c>
      <c r="H56" s="7" t="inlineStr">
        <is>
          <t>TRƯỢT ❌</t>
        </is>
      </c>
      <c r="I56" s="3" t="inlineStr">
        <is>
          <t>1, 0, 2</t>
        </is>
      </c>
      <c r="J56" s="7" t="inlineStr">
        <is>
          <t>TRƯỢT ❌</t>
        </is>
      </c>
      <c r="K56" s="3" t="inlineStr">
        <is>
          <t>10, 11, 12, 70, 71, 72, 80, 81, 82</t>
        </is>
      </c>
      <c r="L56" s="7" t="inlineStr">
        <is>
          <t>TRƯỢT ❌</t>
        </is>
      </c>
      <c r="M56" s="7" t="inlineStr">
        <is>
          <t>TRƯỢT KHUNG ❌</t>
        </is>
      </c>
    </row>
    <row r="57">
      <c r="A57" s="2" t="n">
        <v>53</v>
      </c>
      <c r="B57" s="2" t="inlineStr">
        <is>
          <t>Thứ năm ngày 26-02-2026</t>
        </is>
      </c>
      <c r="C57" s="3" t="inlineStr">
        <is>
          <t>13283</t>
        </is>
      </c>
      <c r="D57" s="3" t="inlineStr">
        <is>
          <t>83</t>
        </is>
      </c>
      <c r="E57" s="3" t="inlineStr">
        <is>
          <t>Đầu 8</t>
        </is>
      </c>
      <c r="F57" s="3" t="inlineStr">
        <is>
          <t>Đuôi 3</t>
        </is>
      </c>
      <c r="G57" s="3" t="inlineStr">
        <is>
          <t>7, 1, 8</t>
        </is>
      </c>
      <c r="H57" s="6" t="inlineStr">
        <is>
          <t>TRÚNG 🎯</t>
        </is>
      </c>
      <c r="I57" s="3" t="inlineStr">
        <is>
          <t>1, 0, 5</t>
        </is>
      </c>
      <c r="J57" s="7" t="inlineStr">
        <is>
          <t>TRƯỢT ❌</t>
        </is>
      </c>
      <c r="K57" s="3" t="inlineStr">
        <is>
          <t>10, 11, 15, 70, 71, 75, 80, 81, 85</t>
        </is>
      </c>
      <c r="L57" s="7" t="inlineStr">
        <is>
          <t>TRƯỢT ❌</t>
        </is>
      </c>
      <c r="M57" s="7" t="inlineStr">
        <is>
          <t>TRƯỢT KHUNG ❌</t>
        </is>
      </c>
    </row>
    <row r="58">
      <c r="A58" s="2" t="n">
        <v>54</v>
      </c>
      <c r="B58" s="2" t="inlineStr">
        <is>
          <t>Thứ sáu ngày 27-02-2026</t>
        </is>
      </c>
      <c r="C58" s="3" t="inlineStr">
        <is>
          <t>47891</t>
        </is>
      </c>
      <c r="D58" s="3" t="inlineStr">
        <is>
          <t>91</t>
        </is>
      </c>
      <c r="E58" s="3" t="inlineStr">
        <is>
          <t>Đầu 9</t>
        </is>
      </c>
      <c r="F58" s="3" t="inlineStr">
        <is>
          <t>Đuôi 1</t>
        </is>
      </c>
      <c r="G58" s="3" t="inlineStr">
        <is>
          <t>7, 1, 3</t>
        </is>
      </c>
      <c r="H58" s="7" t="inlineStr">
        <is>
          <t>TRƯỢT ❌</t>
        </is>
      </c>
      <c r="I58" s="3" t="inlineStr">
        <is>
          <t>1, 7, 0</t>
        </is>
      </c>
      <c r="J58" s="6" t="inlineStr">
        <is>
          <t>TRÚNG 🎯</t>
        </is>
      </c>
      <c r="K58" s="3" t="inlineStr">
        <is>
          <t>10, 11, 17, 30, 31, 37, 70, 71, 77</t>
        </is>
      </c>
      <c r="L58" s="7" t="inlineStr">
        <is>
          <t>TRƯỢT ❌</t>
        </is>
      </c>
      <c r="M58" s="7" t="inlineStr">
        <is>
          <t>TRƯỢT KHUNG ❌</t>
        </is>
      </c>
    </row>
    <row r="59">
      <c r="A59" s="2" t="n">
        <v>55</v>
      </c>
      <c r="B59" s="2" t="inlineStr">
        <is>
          <t>Thứ bảy ngày 28-02-2026</t>
        </is>
      </c>
      <c r="C59" s="3" t="inlineStr">
        <is>
          <t>90148</t>
        </is>
      </c>
      <c r="D59" s="3" t="inlineStr">
        <is>
          <t>48</t>
        </is>
      </c>
      <c r="E59" s="3" t="inlineStr">
        <is>
          <t>Đầu 4</t>
        </is>
      </c>
      <c r="F59" s="3" t="inlineStr">
        <is>
          <t>Đuôi 8</t>
        </is>
      </c>
      <c r="G59" s="3" t="inlineStr">
        <is>
          <t>7, 1, 3</t>
        </is>
      </c>
      <c r="H59" s="7" t="inlineStr">
        <is>
          <t>TRƯỢT ❌</t>
        </is>
      </c>
      <c r="I59" s="3" t="inlineStr">
        <is>
          <t>7, 5, 0</t>
        </is>
      </c>
      <c r="J59" s="7" t="inlineStr">
        <is>
          <t>TRƯỢT ❌</t>
        </is>
      </c>
      <c r="K59" s="3" t="inlineStr">
        <is>
          <t>10, 15, 17, 30, 35, 37, 70, 75, 77</t>
        </is>
      </c>
      <c r="L59" s="7" t="inlineStr">
        <is>
          <t>TRƯỢT ❌</t>
        </is>
      </c>
      <c r="M59" s="7" t="inlineStr">
        <is>
          <t>TRƯỢT KHUNG ❌</t>
        </is>
      </c>
    </row>
    <row r="60">
      <c r="A60" s="2" t="n">
        <v>56</v>
      </c>
      <c r="B60" s="2" t="inlineStr">
        <is>
          <t>Chủ nhật ngày 01-03-2026</t>
        </is>
      </c>
      <c r="C60" s="3" t="inlineStr">
        <is>
          <t>75257</t>
        </is>
      </c>
      <c r="D60" s="3" t="inlineStr">
        <is>
          <t>57</t>
        </is>
      </c>
      <c r="E60" s="3" t="inlineStr">
        <is>
          <t>Đầu 5</t>
        </is>
      </c>
      <c r="F60" s="3" t="inlineStr">
        <is>
          <t>Đuôi 7</t>
        </is>
      </c>
      <c r="G60" s="3" t="inlineStr">
        <is>
          <t>1, 7, 0</t>
        </is>
      </c>
      <c r="H60" s="7" t="inlineStr">
        <is>
          <t>TRƯỢT ❌</t>
        </is>
      </c>
      <c r="I60" s="3" t="inlineStr">
        <is>
          <t>7, 5, 1</t>
        </is>
      </c>
      <c r="J60" s="6" t="inlineStr">
        <is>
          <t>TRÚNG 🎯</t>
        </is>
      </c>
      <c r="K60" s="3" t="inlineStr">
        <is>
          <t>01, 05, 07, 11, 15, 17, 71, 75, 77</t>
        </is>
      </c>
      <c r="L60" s="7" t="inlineStr">
        <is>
          <t>TRƯỢT ❌</t>
        </is>
      </c>
      <c r="M60" s="7" t="inlineStr">
        <is>
          <t>TRƯỢT KHUNG ❌</t>
        </is>
      </c>
    </row>
    <row r="61">
      <c r="A61" s="2" t="n">
        <v>57</v>
      </c>
      <c r="B61" s="2" t="inlineStr">
        <is>
          <t>Thứ hai ngày 02-03-2026</t>
        </is>
      </c>
      <c r="C61" s="3" t="inlineStr">
        <is>
          <t>70078</t>
        </is>
      </c>
      <c r="D61" s="3" t="inlineStr">
        <is>
          <t>78</t>
        </is>
      </c>
      <c r="E61" s="3" t="inlineStr">
        <is>
          <t>Đầu 7</t>
        </is>
      </c>
      <c r="F61" s="3" t="inlineStr">
        <is>
          <t>Đuôi 8</t>
        </is>
      </c>
      <c r="G61" s="3" t="inlineStr">
        <is>
          <t>1, 7, 0</t>
        </is>
      </c>
      <c r="H61" s="6" t="inlineStr">
        <is>
          <t>TRÚNG 🎯</t>
        </is>
      </c>
      <c r="I61" s="3" t="inlineStr">
        <is>
          <t>1, 3, 5</t>
        </is>
      </c>
      <c r="J61" s="7" t="inlineStr">
        <is>
          <t>TRƯỢT ❌</t>
        </is>
      </c>
      <c r="K61" s="3" t="inlineStr">
        <is>
          <t>01, 03, 05, 11, 13, 15, 71, 73, 75</t>
        </is>
      </c>
      <c r="L61" s="7" t="inlineStr">
        <is>
          <t>TRƯỢT ❌</t>
        </is>
      </c>
      <c r="M61" s="7" t="inlineStr">
        <is>
          <t>TRƯỢT KHUNG ❌</t>
        </is>
      </c>
    </row>
    <row r="62">
      <c r="A62" s="2" t="n">
        <v>58</v>
      </c>
      <c r="B62" s="2" t="inlineStr">
        <is>
          <t>Thứ ba ngày 03-03-2026</t>
        </is>
      </c>
      <c r="C62" s="3" t="inlineStr">
        <is>
          <t>10619</t>
        </is>
      </c>
      <c r="D62" s="3" t="inlineStr">
        <is>
          <t>19</t>
        </is>
      </c>
      <c r="E62" s="3" t="inlineStr">
        <is>
          <t>Đầu 1</t>
        </is>
      </c>
      <c r="F62" s="3" t="inlineStr">
        <is>
          <t>Đuôi 9</t>
        </is>
      </c>
      <c r="G62" s="3" t="inlineStr">
        <is>
          <t>1, 0, 3</t>
        </is>
      </c>
      <c r="H62" s="6" t="inlineStr">
        <is>
          <t>TRÚNG 🎯</t>
        </is>
      </c>
      <c r="I62" s="3" t="inlineStr">
        <is>
          <t>1, 3, 5</t>
        </is>
      </c>
      <c r="J62" s="7" t="inlineStr">
        <is>
          <t>TRƯỢT ❌</t>
        </is>
      </c>
      <c r="K62" s="3" t="inlineStr">
        <is>
          <t>01, 03, 05, 11, 13, 15, 31, 33, 35</t>
        </is>
      </c>
      <c r="L62" s="7" t="inlineStr">
        <is>
          <t>TRƯỢT ❌</t>
        </is>
      </c>
      <c r="M62" s="7" t="inlineStr">
        <is>
          <t>TRƯỢT KHUNG ❌</t>
        </is>
      </c>
    </row>
    <row r="63">
      <c r="A63" s="2" t="n">
        <v>59</v>
      </c>
      <c r="B63" s="2" t="inlineStr">
        <is>
          <t>Thứ tư ngày 04-03-2026</t>
        </is>
      </c>
      <c r="C63" s="3" t="inlineStr">
        <is>
          <t>16659</t>
        </is>
      </c>
      <c r="D63" s="3" t="inlineStr">
        <is>
          <t>59</t>
        </is>
      </c>
      <c r="E63" s="3" t="inlineStr">
        <is>
          <t>Đầu 5</t>
        </is>
      </c>
      <c r="F63" s="3" t="inlineStr">
        <is>
          <t>Đuôi 9</t>
        </is>
      </c>
      <c r="G63" s="3" t="inlineStr">
        <is>
          <t>0, 3, 4</t>
        </is>
      </c>
      <c r="H63" s="7" t="inlineStr">
        <is>
          <t>TRƯỢT ❌</t>
        </is>
      </c>
      <c r="I63" s="3" t="inlineStr">
        <is>
          <t>1, 7, 3</t>
        </is>
      </c>
      <c r="J63" s="7" t="inlineStr">
        <is>
          <t>TRƯỢT ❌</t>
        </is>
      </c>
      <c r="K63" s="3" t="inlineStr">
        <is>
          <t>01, 03, 07, 31, 33, 37, 41, 43, 47</t>
        </is>
      </c>
      <c r="L63" s="7" t="inlineStr">
        <is>
          <t>TRƯỢT ❌</t>
        </is>
      </c>
      <c r="M63" s="7" t="inlineStr">
        <is>
          <t>TRƯỢT KHUNG ❌</t>
        </is>
      </c>
    </row>
    <row r="64">
      <c r="A64" s="2" t="n">
        <v>60</v>
      </c>
      <c r="B64" s="2" t="inlineStr">
        <is>
          <t>Thứ năm ngày 05-03-2026</t>
        </is>
      </c>
      <c r="C64" s="3" t="inlineStr">
        <is>
          <t>38249</t>
        </is>
      </c>
      <c r="D64" s="3" t="inlineStr">
        <is>
          <t>49</t>
        </is>
      </c>
      <c r="E64" s="3" t="inlineStr">
        <is>
          <t>Đầu 4</t>
        </is>
      </c>
      <c r="F64" s="3" t="inlineStr">
        <is>
          <t>Đuôi 9</t>
        </is>
      </c>
      <c r="G64" s="3" t="inlineStr">
        <is>
          <t>7, 0, 3</t>
        </is>
      </c>
      <c r="H64" s="7" t="inlineStr">
        <is>
          <t>TRƯỢT ❌</t>
        </is>
      </c>
      <c r="I64" s="3" t="inlineStr">
        <is>
          <t>7, 1, 3</t>
        </is>
      </c>
      <c r="J64" s="7" t="inlineStr">
        <is>
          <t>TRƯỢT ❌</t>
        </is>
      </c>
      <c r="K64" s="3" t="inlineStr">
        <is>
          <t>01, 03, 07, 31, 33, 37, 71, 73, 77</t>
        </is>
      </c>
      <c r="L64" s="7" t="inlineStr">
        <is>
          <t>TRƯỢT ❌</t>
        </is>
      </c>
      <c r="M64" s="7" t="inlineStr">
        <is>
          <t>TRƯỢT KHUNG ❌</t>
        </is>
      </c>
    </row>
    <row r="65">
      <c r="A65" s="2" t="n">
        <v>61</v>
      </c>
      <c r="B65" s="2" t="inlineStr">
        <is>
          <t>Thứ sáu ngày 06-03-2026</t>
        </is>
      </c>
      <c r="C65" s="3" t="inlineStr">
        <is>
          <t>51951</t>
        </is>
      </c>
      <c r="D65" s="3" t="inlineStr">
        <is>
          <t>51</t>
        </is>
      </c>
      <c r="E65" s="3" t="inlineStr">
        <is>
          <t>Đầu 5</t>
        </is>
      </c>
      <c r="F65" s="3" t="inlineStr">
        <is>
          <t>Đuôi 1</t>
        </is>
      </c>
      <c r="G65" s="3" t="inlineStr">
        <is>
          <t>7, 0, 3</t>
        </is>
      </c>
      <c r="H65" s="7" t="inlineStr">
        <is>
          <t>TRƯỢT ❌</t>
        </is>
      </c>
      <c r="I65" s="3" t="inlineStr">
        <is>
          <t>7, 1, 8</t>
        </is>
      </c>
      <c r="J65" s="6" t="inlineStr">
        <is>
          <t>TRÚNG 🎯</t>
        </is>
      </c>
      <c r="K65" s="3" t="inlineStr">
        <is>
          <t>01, 07, 08, 31, 37, 38, 71, 77, 78</t>
        </is>
      </c>
      <c r="L65" s="7" t="inlineStr">
        <is>
          <t>TRƯỢT ❌</t>
        </is>
      </c>
      <c r="M65" s="7" t="inlineStr">
        <is>
          <t>TRƯỢT KHUNG ❌</t>
        </is>
      </c>
    </row>
    <row r="66">
      <c r="A66" s="2" t="n">
        <v>62</v>
      </c>
      <c r="B66" s="2" t="inlineStr">
        <is>
          <t>Thứ bảy ngày 07-03-2026</t>
        </is>
      </c>
      <c r="C66" s="3" t="inlineStr">
        <is>
          <t>81336</t>
        </is>
      </c>
      <c r="D66" s="3" t="inlineStr">
        <is>
          <t>36</t>
        </is>
      </c>
      <c r="E66" s="3" t="inlineStr">
        <is>
          <t>Đầu 3</t>
        </is>
      </c>
      <c r="F66" s="3" t="inlineStr">
        <is>
          <t>Đuôi 6</t>
        </is>
      </c>
      <c r="G66" s="3" t="inlineStr">
        <is>
          <t>1, 7, 0</t>
        </is>
      </c>
      <c r="H66" s="7" t="inlineStr">
        <is>
          <t>TRƯỢT ❌</t>
        </is>
      </c>
      <c r="I66" s="3" t="inlineStr">
        <is>
          <t>7, 8, 3</t>
        </is>
      </c>
      <c r="J66" s="7" t="inlineStr">
        <is>
          <t>TRƯỢT ❌</t>
        </is>
      </c>
      <c r="K66" s="3" t="inlineStr">
        <is>
          <t>03, 07, 08, 13, 17, 18, 73, 77, 78</t>
        </is>
      </c>
      <c r="L66" s="7" t="inlineStr">
        <is>
          <t>TRƯỢT ❌</t>
        </is>
      </c>
      <c r="M66" s="7" t="inlineStr">
        <is>
          <t>TRƯỢT KHUNG ❌</t>
        </is>
      </c>
    </row>
    <row r="67">
      <c r="A67" s="2" t="n">
        <v>63</v>
      </c>
      <c r="B67" s="2" t="inlineStr">
        <is>
          <t>Chủ nhật ngày 08-03-2026</t>
        </is>
      </c>
      <c r="C67" s="3" t="inlineStr">
        <is>
          <t>90580</t>
        </is>
      </c>
      <c r="D67" s="3" t="inlineStr">
        <is>
          <t>80</t>
        </is>
      </c>
      <c r="E67" s="3" t="inlineStr">
        <is>
          <t>Đầu 8</t>
        </is>
      </c>
      <c r="F67" s="3" t="inlineStr">
        <is>
          <t>Đuôi 0</t>
        </is>
      </c>
      <c r="G67" s="3" t="inlineStr">
        <is>
          <t>1, 7, 0</t>
        </is>
      </c>
      <c r="H67" s="7" t="inlineStr">
        <is>
          <t>TRƯỢT ❌</t>
        </is>
      </c>
      <c r="I67" s="3" t="inlineStr">
        <is>
          <t>7, 8, 3</t>
        </is>
      </c>
      <c r="J67" s="7" t="inlineStr">
        <is>
          <t>TRƯỢT ❌</t>
        </is>
      </c>
      <c r="K67" s="3" t="inlineStr">
        <is>
          <t>03, 07, 08, 13, 17, 18, 73, 77, 78</t>
        </is>
      </c>
      <c r="L67" s="7" t="inlineStr">
        <is>
          <t>TRƯỢT ❌</t>
        </is>
      </c>
      <c r="M67" s="7" t="inlineStr">
        <is>
          <t>TRƯỢT KHUNG ❌</t>
        </is>
      </c>
    </row>
    <row r="68">
      <c r="A68" s="2" t="n">
        <v>64</v>
      </c>
      <c r="B68" s="2" t="inlineStr">
        <is>
          <t>Thứ hai ngày 09-03-2026</t>
        </is>
      </c>
      <c r="C68" s="3" t="inlineStr">
        <is>
          <t>22342</t>
        </is>
      </c>
      <c r="D68" s="3" t="inlineStr">
        <is>
          <t>42</t>
        </is>
      </c>
      <c r="E68" s="3" t="inlineStr">
        <is>
          <t>Đầu 4</t>
        </is>
      </c>
      <c r="F68" s="3" t="inlineStr">
        <is>
          <t>Đuôi 2</t>
        </is>
      </c>
      <c r="G68" s="3" t="inlineStr">
        <is>
          <t>1, 7, 5</t>
        </is>
      </c>
      <c r="H68" s="7" t="inlineStr">
        <is>
          <t>TRƯỢT ❌</t>
        </is>
      </c>
      <c r="I68" s="3" t="inlineStr">
        <is>
          <t>7, 3, 8</t>
        </is>
      </c>
      <c r="J68" s="7" t="inlineStr">
        <is>
          <t>TRƯỢT ❌</t>
        </is>
      </c>
      <c r="K68" s="3" t="inlineStr">
        <is>
          <t>13, 17, 18, 53, 57, 58, 73, 77, 78</t>
        </is>
      </c>
      <c r="L68" s="7" t="inlineStr">
        <is>
          <t>TRƯỢT ❌</t>
        </is>
      </c>
      <c r="M68" s="7" t="inlineStr">
        <is>
          <t>TRƯỢT KHUNG ❌</t>
        </is>
      </c>
    </row>
    <row r="69">
      <c r="A69" s="2" t="n">
        <v>65</v>
      </c>
      <c r="B69" s="2" t="inlineStr">
        <is>
          <t>Thứ ba ngày 10-03-2026</t>
        </is>
      </c>
      <c r="C69" s="3" t="inlineStr">
        <is>
          <t>30368</t>
        </is>
      </c>
      <c r="D69" s="3" t="inlineStr">
        <is>
          <t>68</t>
        </is>
      </c>
      <c r="E69" s="3" t="inlineStr">
        <is>
          <t>Đầu 6</t>
        </is>
      </c>
      <c r="F69" s="3" t="inlineStr">
        <is>
          <t>Đuôi 8</t>
        </is>
      </c>
      <c r="G69" s="3" t="inlineStr">
        <is>
          <t>5, 7, 0</t>
        </is>
      </c>
      <c r="H69" s="7" t="inlineStr">
        <is>
          <t>TRƯỢT ❌</t>
        </is>
      </c>
      <c r="I69" s="3" t="inlineStr">
        <is>
          <t>1, 3, 7</t>
        </is>
      </c>
      <c r="J69" s="7" t="inlineStr">
        <is>
          <t>TRƯỢT ❌</t>
        </is>
      </c>
      <c r="K69" s="3" t="inlineStr">
        <is>
          <t>01, 03, 07, 51, 53, 57, 71, 73, 77</t>
        </is>
      </c>
      <c r="L69" s="7" t="inlineStr">
        <is>
          <t>TRƯỢT ❌</t>
        </is>
      </c>
      <c r="M69" s="7" t="inlineStr">
        <is>
          <t>TRƯỢT KHUNG ❌</t>
        </is>
      </c>
    </row>
    <row r="70">
      <c r="A70" s="2" t="n">
        <v>66</v>
      </c>
      <c r="B70" s="2" t="inlineStr">
        <is>
          <t>Thứ tư ngày 11-03-2026</t>
        </is>
      </c>
      <c r="C70" s="3" t="inlineStr">
        <is>
          <t>72124</t>
        </is>
      </c>
      <c r="D70" s="3" t="inlineStr">
        <is>
          <t>24</t>
        </is>
      </c>
      <c r="E70" s="3" t="inlineStr">
        <is>
          <t>Đầu 2</t>
        </is>
      </c>
      <c r="F70" s="3" t="inlineStr">
        <is>
          <t>Đuôi 4</t>
        </is>
      </c>
      <c r="G70" s="3" t="inlineStr">
        <is>
          <t>5, 3, 7</t>
        </is>
      </c>
      <c r="H70" s="7" t="inlineStr">
        <is>
          <t>TRƯỢT ❌</t>
        </is>
      </c>
      <c r="I70" s="3" t="inlineStr">
        <is>
          <t>1, 3, 7</t>
        </is>
      </c>
      <c r="J70" s="7" t="inlineStr">
        <is>
          <t>TRƯỢT ❌</t>
        </is>
      </c>
      <c r="K70" s="3" t="inlineStr">
        <is>
          <t>31, 33, 37, 51, 53, 57, 71, 73, 77</t>
        </is>
      </c>
      <c r="L70" s="7" t="inlineStr">
        <is>
          <t>TRƯỢT ❌</t>
        </is>
      </c>
      <c r="M70" s="7" t="inlineStr">
        <is>
          <t>TRƯỢT KHUNG ❌</t>
        </is>
      </c>
    </row>
    <row r="71">
      <c r="A71" s="2" t="n">
        <v>67</v>
      </c>
      <c r="B71" s="2" t="inlineStr">
        <is>
          <t>Thứ năm ngày 12-03-2026</t>
        </is>
      </c>
      <c r="C71" s="3" t="inlineStr">
        <is>
          <t>86759</t>
        </is>
      </c>
      <c r="D71" s="3" t="inlineStr">
        <is>
          <t>59</t>
        </is>
      </c>
      <c r="E71" s="3" t="inlineStr">
        <is>
          <t>Đầu 5</t>
        </is>
      </c>
      <c r="F71" s="3" t="inlineStr">
        <is>
          <t>Đuôi 9</t>
        </is>
      </c>
      <c r="G71" s="3" t="inlineStr">
        <is>
          <t>5, 7, 8</t>
        </is>
      </c>
      <c r="H71" s="6" t="inlineStr">
        <is>
          <t>TRÚNG 🎯</t>
        </is>
      </c>
      <c r="I71" s="3" t="inlineStr">
        <is>
          <t>1, 7, 0</t>
        </is>
      </c>
      <c r="J71" s="7" t="inlineStr">
        <is>
          <t>TRƯỢT ❌</t>
        </is>
      </c>
      <c r="K71" s="3" t="inlineStr">
        <is>
          <t>50, 51, 57, 70, 71, 77, 80, 81, 87</t>
        </is>
      </c>
      <c r="L71" s="7" t="inlineStr">
        <is>
          <t>TRƯỢT ❌</t>
        </is>
      </c>
      <c r="M71" s="6" t="inlineStr">
        <is>
          <t>TRÚNG KHUNG 🎯</t>
        </is>
      </c>
    </row>
    <row r="72">
      <c r="A72" s="2" t="n">
        <v>68</v>
      </c>
      <c r="B72" s="2" t="inlineStr">
        <is>
          <t>Thứ sáu ngày 13-03-2026</t>
        </is>
      </c>
      <c r="C72" s="3" t="inlineStr">
        <is>
          <t>56848</t>
        </is>
      </c>
      <c r="D72" s="3" t="inlineStr">
        <is>
          <t>48</t>
        </is>
      </c>
      <c r="E72" s="3" t="inlineStr">
        <is>
          <t>Đầu 4</t>
        </is>
      </c>
      <c r="F72" s="3" t="inlineStr">
        <is>
          <t>Đuôi 8</t>
        </is>
      </c>
      <c r="G72" s="3" t="inlineStr">
        <is>
          <t>7, 0, 1</t>
        </is>
      </c>
      <c r="H72" s="7" t="inlineStr">
        <is>
          <t>TRƯỢT ❌</t>
        </is>
      </c>
      <c r="I72" s="3" t="inlineStr">
        <is>
          <t>1, 7, 0</t>
        </is>
      </c>
      <c r="J72" s="7" t="inlineStr">
        <is>
          <t>TRƯỢT ❌</t>
        </is>
      </c>
      <c r="K72" s="3" t="inlineStr">
        <is>
          <t>00, 01, 07, 10, 11, 17, 70, 71, 77</t>
        </is>
      </c>
      <c r="L72" s="7" t="inlineStr">
        <is>
          <t>TRƯỢT ❌</t>
        </is>
      </c>
      <c r="M72" s="6" t="inlineStr">
        <is>
          <t>TRÚNG KHUNG 🎯</t>
        </is>
      </c>
    </row>
    <row r="73">
      <c r="A73" s="2" t="n">
        <v>69</v>
      </c>
      <c r="B73" s="2" t="inlineStr">
        <is>
          <t>Thứ bảy ngày 14-03-2026</t>
        </is>
      </c>
      <c r="C73" s="3" t="inlineStr">
        <is>
          <t>01770</t>
        </is>
      </c>
      <c r="D73" s="3" t="inlineStr">
        <is>
          <t>70</t>
        </is>
      </c>
      <c r="E73" s="3" t="inlineStr">
        <is>
          <t>Đầu 7</t>
        </is>
      </c>
      <c r="F73" s="3" t="inlineStr">
        <is>
          <t>Đuôi 0</t>
        </is>
      </c>
      <c r="G73" s="3" t="inlineStr">
        <is>
          <t>5, 1, 3</t>
        </is>
      </c>
      <c r="H73" s="7" t="inlineStr">
        <is>
          <t>TRƯỢT ❌</t>
        </is>
      </c>
      <c r="I73" s="3" t="inlineStr">
        <is>
          <t>1, 0, 2</t>
        </is>
      </c>
      <c r="J73" s="6" t="inlineStr">
        <is>
          <t>TRÚNG 🎯</t>
        </is>
      </c>
      <c r="K73" s="3" t="inlineStr">
        <is>
          <t>10, 11, 12, 30, 31, 32, 50, 51, 52</t>
        </is>
      </c>
      <c r="L73" s="7" t="inlineStr">
        <is>
          <t>TRƯỢT ❌</t>
        </is>
      </c>
      <c r="M73" s="6" t="inlineStr">
        <is>
          <t>TRÚNG KHUNG 🎯</t>
        </is>
      </c>
    </row>
    <row r="74">
      <c r="A74" s="2" t="n">
        <v>70</v>
      </c>
      <c r="B74" s="2" t="inlineStr">
        <is>
          <t>Chủ nhật ngày 15-03-2026</t>
        </is>
      </c>
      <c r="C74" s="3" t="inlineStr">
        <is>
          <t>77552</t>
        </is>
      </c>
      <c r="D74" s="3" t="inlineStr">
        <is>
          <t>52</t>
        </is>
      </c>
      <c r="E74" s="3" t="inlineStr">
        <is>
          <t>Đầu 5</t>
        </is>
      </c>
      <c r="F74" s="3" t="inlineStr">
        <is>
          <t>Đuôi 2</t>
        </is>
      </c>
      <c r="G74" s="3" t="inlineStr">
        <is>
          <t>5, 1, 3</t>
        </is>
      </c>
      <c r="H74" s="6" t="inlineStr">
        <is>
          <t>TRÚNG 🎯</t>
        </is>
      </c>
      <c r="I74" s="3" t="inlineStr">
        <is>
          <t>1, 2, 7</t>
        </is>
      </c>
      <c r="J74" s="6" t="inlineStr">
        <is>
          <t>TRÚNG 🎯</t>
        </is>
      </c>
      <c r="K74" s="3" t="inlineStr">
        <is>
          <t>11, 12, 17, 31, 32, 37, 51, 52, 57</t>
        </is>
      </c>
      <c r="L74" s="6" t="inlineStr">
        <is>
          <t>TRÚNG 🎯</t>
        </is>
      </c>
      <c r="M74" s="6" t="inlineStr">
        <is>
          <t>TRÚNG KHUNG 🎯</t>
        </is>
      </c>
    </row>
    <row r="75">
      <c r="A75" s="2" t="n">
        <v>71</v>
      </c>
      <c r="B75" s="2" t="inlineStr">
        <is>
          <t>Thứ hai ngày 16-03-2026</t>
        </is>
      </c>
      <c r="C75" s="3" t="inlineStr">
        <is>
          <t>07969</t>
        </is>
      </c>
      <c r="D75" s="3" t="inlineStr">
        <is>
          <t>69</t>
        </is>
      </c>
      <c r="E75" s="3" t="inlineStr">
        <is>
          <t>Đầu 6</t>
        </is>
      </c>
      <c r="F75" s="3" t="inlineStr">
        <is>
          <t>Đuôi 9</t>
        </is>
      </c>
      <c r="G75" s="3" t="inlineStr">
        <is>
          <t>5, 1, 3</t>
        </is>
      </c>
      <c r="H75" s="7" t="inlineStr">
        <is>
          <t>TRƯỢT ❌</t>
        </is>
      </c>
      <c r="I75" s="3" t="inlineStr">
        <is>
          <t>1, 9, 8</t>
        </is>
      </c>
      <c r="J75" s="6" t="inlineStr">
        <is>
          <t>TRÚNG 🎯</t>
        </is>
      </c>
      <c r="K75" s="3" t="inlineStr">
        <is>
          <t>11, 18, 19, 31, 38, 39, 51, 58, 59</t>
        </is>
      </c>
      <c r="L75" s="7" t="inlineStr">
        <is>
          <t>TRƯỢT ❌</t>
        </is>
      </c>
      <c r="M75" s="7" t="inlineStr">
        <is>
          <t>TRƯỢT KHUNG ❌</t>
        </is>
      </c>
    </row>
    <row r="76">
      <c r="A76" s="2" t="n">
        <v>72</v>
      </c>
      <c r="B76" s="2" t="inlineStr">
        <is>
          <t>Thứ ba ngày 17-03-2026</t>
        </is>
      </c>
      <c r="C76" s="3" t="inlineStr">
        <is>
          <t>25287</t>
        </is>
      </c>
      <c r="D76" s="3" t="inlineStr">
        <is>
          <t>87</t>
        </is>
      </c>
      <c r="E76" s="3" t="inlineStr">
        <is>
          <t>Đầu 8</t>
        </is>
      </c>
      <c r="F76" s="3" t="inlineStr">
        <is>
          <t>Đuôi 7</t>
        </is>
      </c>
      <c r="G76" s="3" t="inlineStr">
        <is>
          <t>5, 4, 1</t>
        </is>
      </c>
      <c r="H76" s="7" t="inlineStr">
        <is>
          <t>TRƯỢT ❌</t>
        </is>
      </c>
      <c r="I76" s="3" t="inlineStr">
        <is>
          <t>8, 1, 7</t>
        </is>
      </c>
      <c r="J76" s="6" t="inlineStr">
        <is>
          <t>TRÚNG 🎯</t>
        </is>
      </c>
      <c r="K76" s="3" t="inlineStr">
        <is>
          <t>11, 17, 18, 41, 47, 48, 51, 57, 58</t>
        </is>
      </c>
      <c r="L76" s="7" t="inlineStr">
        <is>
          <t>TRƯỢT ❌</t>
        </is>
      </c>
      <c r="M76" s="7" t="inlineStr">
        <is>
          <t>TRƯỢT KHUNG ❌</t>
        </is>
      </c>
    </row>
    <row r="77">
      <c r="A77" s="2" t="n">
        <v>73</v>
      </c>
      <c r="B77" s="2" t="inlineStr">
        <is>
          <t>Thứ tư ngày 18-03-2026</t>
        </is>
      </c>
      <c r="C77" s="3" t="inlineStr">
        <is>
          <t>75495</t>
        </is>
      </c>
      <c r="D77" s="3" t="inlineStr">
        <is>
          <t>95</t>
        </is>
      </c>
      <c r="E77" s="3" t="inlineStr">
        <is>
          <t>Đầu 9</t>
        </is>
      </c>
      <c r="F77" s="3" t="inlineStr">
        <is>
          <t>Đuôi 5</t>
        </is>
      </c>
      <c r="G77" s="3" t="inlineStr">
        <is>
          <t>5, 4, 1</t>
        </is>
      </c>
      <c r="H77" s="7" t="inlineStr">
        <is>
          <t>TRƯỢT ❌</t>
        </is>
      </c>
      <c r="I77" s="3" t="inlineStr">
        <is>
          <t>8, 1, 0</t>
        </is>
      </c>
      <c r="J77" s="7" t="inlineStr">
        <is>
          <t>TRƯỢT ❌</t>
        </is>
      </c>
      <c r="K77" s="3" t="inlineStr">
        <is>
          <t>10, 11, 18, 40, 41, 48, 50, 51, 58</t>
        </is>
      </c>
      <c r="L77" s="7" t="inlineStr">
        <is>
          <t>TRƯỢT ❌</t>
        </is>
      </c>
      <c r="M77" s="7" t="inlineStr">
        <is>
          <t>TRƯỢT KHUNG ❌</t>
        </is>
      </c>
    </row>
    <row r="78">
      <c r="A78" s="2" t="n">
        <v>74</v>
      </c>
      <c r="B78" s="2" t="inlineStr">
        <is>
          <t>Thứ năm ngày 19-03-2026</t>
        </is>
      </c>
      <c r="C78" s="3" t="inlineStr">
        <is>
          <t>81124</t>
        </is>
      </c>
      <c r="D78" s="3" t="inlineStr">
        <is>
          <t>24</t>
        </is>
      </c>
      <c r="E78" s="3" t="inlineStr">
        <is>
          <t>Đầu 2</t>
        </is>
      </c>
      <c r="F78" s="3" t="inlineStr">
        <is>
          <t>Đuôi 4</t>
        </is>
      </c>
      <c r="G78" s="3" t="inlineStr">
        <is>
          <t>5, 4, 1</t>
        </is>
      </c>
      <c r="H78" s="7" t="inlineStr">
        <is>
          <t>TRƯỢT ❌</t>
        </is>
      </c>
      <c r="I78" s="3" t="inlineStr">
        <is>
          <t>8, 1, 9</t>
        </is>
      </c>
      <c r="J78" s="7" t="inlineStr">
        <is>
          <t>TRƯỢT ❌</t>
        </is>
      </c>
      <c r="K78" s="3" t="inlineStr">
        <is>
          <t>11, 18, 19, 41, 48, 49, 51, 58, 59</t>
        </is>
      </c>
      <c r="L78" s="7" t="inlineStr">
        <is>
          <t>TRƯỢT ❌</t>
        </is>
      </c>
      <c r="M78" s="7" t="inlineStr">
        <is>
          <t>TRƯỢT KHUNG ❌</t>
        </is>
      </c>
    </row>
    <row r="79">
      <c r="A79" s="2" t="n">
        <v>75</v>
      </c>
      <c r="B79" s="2" t="inlineStr">
        <is>
          <t>Thứ sáu ngày 20-03-2026</t>
        </is>
      </c>
      <c r="C79" s="3" t="inlineStr">
        <is>
          <t>88594</t>
        </is>
      </c>
      <c r="D79" s="3" t="inlineStr">
        <is>
          <t>94</t>
        </is>
      </c>
      <c r="E79" s="3" t="inlineStr">
        <is>
          <t>Đầu 9</t>
        </is>
      </c>
      <c r="F79" s="3" t="inlineStr">
        <is>
          <t>Đuôi 4</t>
        </is>
      </c>
      <c r="G79" s="3" t="inlineStr">
        <is>
          <t>5, 4, 8</t>
        </is>
      </c>
      <c r="H79" s="7" t="inlineStr">
        <is>
          <t>TRƯỢT ❌</t>
        </is>
      </c>
      <c r="I79" s="3" t="inlineStr">
        <is>
          <t>8, 9, 1</t>
        </is>
      </c>
      <c r="J79" s="7" t="inlineStr">
        <is>
          <t>TRƯỢT ❌</t>
        </is>
      </c>
      <c r="K79" s="3" t="inlineStr">
        <is>
          <t>41, 48, 49, 51, 58, 59, 81, 88, 89</t>
        </is>
      </c>
      <c r="L79" s="7" t="inlineStr">
        <is>
          <t>TRƯỢT ❌</t>
        </is>
      </c>
      <c r="M79" s="7" t="inlineStr">
        <is>
          <t>TRƯỢT KHUNG ❌</t>
        </is>
      </c>
    </row>
    <row r="80">
      <c r="A80" s="2" t="n">
        <v>76</v>
      </c>
      <c r="B80" s="2" t="inlineStr">
        <is>
          <t>Thứ bảy ngày 21-03-2026</t>
        </is>
      </c>
      <c r="C80" s="3" t="inlineStr">
        <is>
          <t>58646</t>
        </is>
      </c>
      <c r="D80" s="3" t="inlineStr">
        <is>
          <t>46</t>
        </is>
      </c>
      <c r="E80" s="3" t="inlineStr">
        <is>
          <t>Đầu 4</t>
        </is>
      </c>
      <c r="F80" s="3" t="inlineStr">
        <is>
          <t>Đuôi 6</t>
        </is>
      </c>
      <c r="G80" s="3" t="inlineStr">
        <is>
          <t>5, 4, 8</t>
        </is>
      </c>
      <c r="H80" s="6" t="inlineStr">
        <is>
          <t>TRÚNG 🎯</t>
        </is>
      </c>
      <c r="I80" s="3" t="inlineStr">
        <is>
          <t>8, 9, 1</t>
        </is>
      </c>
      <c r="J80" s="7" t="inlineStr">
        <is>
          <t>TRƯỢT ❌</t>
        </is>
      </c>
      <c r="K80" s="3" t="inlineStr">
        <is>
          <t>41, 48, 49, 51, 58, 59, 81, 88, 89</t>
        </is>
      </c>
      <c r="L80" s="7" t="inlineStr">
        <is>
          <t>TRƯỢT ❌</t>
        </is>
      </c>
      <c r="M80" s="7" t="inlineStr">
        <is>
          <t>TRƯỢT KHUNG ❌</t>
        </is>
      </c>
    </row>
    <row r="81">
      <c r="A81" s="2" t="n">
        <v>77</v>
      </c>
      <c r="B81" s="2" t="inlineStr">
        <is>
          <t>Chủ nhật ngày 22-03-2026</t>
        </is>
      </c>
      <c r="C81" s="3" t="inlineStr">
        <is>
          <t>77514</t>
        </is>
      </c>
      <c r="D81" s="3" t="inlineStr">
        <is>
          <t>14</t>
        </is>
      </c>
      <c r="E81" s="3" t="inlineStr">
        <is>
          <t>Đầu 1</t>
        </is>
      </c>
      <c r="F81" s="3" t="inlineStr">
        <is>
          <t>Đuôi 4</t>
        </is>
      </c>
      <c r="G81" s="3" t="inlineStr">
        <is>
          <t>5, 8, 3</t>
        </is>
      </c>
      <c r="H81" s="7" t="inlineStr">
        <is>
          <t>TRƯỢT ❌</t>
        </is>
      </c>
      <c r="I81" s="3" t="inlineStr">
        <is>
          <t>8, 9, 2</t>
        </is>
      </c>
      <c r="J81" s="7" t="inlineStr">
        <is>
          <t>TRƯỢT ❌</t>
        </is>
      </c>
      <c r="K81" s="3" t="inlineStr">
        <is>
          <t>32, 38, 39, 52, 58, 59, 82, 88, 89</t>
        </is>
      </c>
      <c r="L81" s="7" t="inlineStr">
        <is>
          <t>TRƯỢT ❌</t>
        </is>
      </c>
      <c r="M81" s="6" t="inlineStr">
        <is>
          <t>TRÚNG KHUNG 🎯</t>
        </is>
      </c>
    </row>
    <row r="82">
      <c r="A82" s="2" t="n">
        <v>78</v>
      </c>
      <c r="B82" s="2" t="inlineStr">
        <is>
          <t>Thứ hai ngày 23-03-2026</t>
        </is>
      </c>
      <c r="C82" s="3" t="inlineStr">
        <is>
          <t>03829</t>
        </is>
      </c>
      <c r="D82" s="3" t="inlineStr">
        <is>
          <t>29</t>
        </is>
      </c>
      <c r="E82" s="3" t="inlineStr">
        <is>
          <t>Đầu 2</t>
        </is>
      </c>
      <c r="F82" s="3" t="inlineStr">
        <is>
          <t>Đuôi 9</t>
        </is>
      </c>
      <c r="G82" s="3" t="inlineStr">
        <is>
          <t>5, 8, 4</t>
        </is>
      </c>
      <c r="H82" s="7" t="inlineStr">
        <is>
          <t>TRƯỢT ❌</t>
        </is>
      </c>
      <c r="I82" s="3" t="inlineStr">
        <is>
          <t>8, 9, 2</t>
        </is>
      </c>
      <c r="J82" s="6" t="inlineStr">
        <is>
          <t>TRÚNG 🎯</t>
        </is>
      </c>
      <c r="K82" s="3" t="inlineStr">
        <is>
          <t>42, 48, 49, 52, 58, 59, 82, 88, 89</t>
        </is>
      </c>
      <c r="L82" s="7" t="inlineStr">
        <is>
          <t>TRƯỢT ❌</t>
        </is>
      </c>
      <c r="M82" s="6" t="inlineStr">
        <is>
          <t>TRÚNG KHUNG 🎯</t>
        </is>
      </c>
    </row>
    <row r="83">
      <c r="A83" s="2" t="n">
        <v>79</v>
      </c>
      <c r="B83" s="2" t="inlineStr">
        <is>
          <t>Thứ ba ngày 24-03-2026</t>
        </is>
      </c>
      <c r="C83" s="3" t="inlineStr">
        <is>
          <t>53988</t>
        </is>
      </c>
      <c r="D83" s="3" t="inlineStr">
        <is>
          <t>88</t>
        </is>
      </c>
      <c r="E83" s="3" t="inlineStr">
        <is>
          <t>Đầu 8</t>
        </is>
      </c>
      <c r="F83" s="3" t="inlineStr">
        <is>
          <t>Đuôi 8</t>
        </is>
      </c>
      <c r="G83" s="3" t="inlineStr">
        <is>
          <t>5, 4, 8</t>
        </is>
      </c>
      <c r="H83" s="6" t="inlineStr">
        <is>
          <t>TRÚNG 🎯</t>
        </is>
      </c>
      <c r="I83" s="3" t="inlineStr">
        <is>
          <t>8, 7, 9</t>
        </is>
      </c>
      <c r="J83" s="6" t="inlineStr">
        <is>
          <t>TRÚNG 🎯</t>
        </is>
      </c>
      <c r="K83" s="3" t="inlineStr">
        <is>
          <t>47, 48, 49, 57, 58, 59, 87, 88, 89</t>
        </is>
      </c>
      <c r="L83" s="6" t="inlineStr">
        <is>
          <t>TRÚNG 🎯</t>
        </is>
      </c>
      <c r="M83" s="6" t="inlineStr">
        <is>
          <t>TRÚNG KHUNG 🎯</t>
        </is>
      </c>
    </row>
    <row r="84">
      <c r="A84" s="2" t="n">
        <v>80</v>
      </c>
      <c r="B84" s="2" t="inlineStr">
        <is>
          <t>Thứ tư ngày 25-03-2026</t>
        </is>
      </c>
      <c r="C84" s="3" t="inlineStr">
        <is>
          <t>44693</t>
        </is>
      </c>
      <c r="D84" s="3" t="inlineStr">
        <is>
          <t>93</t>
        </is>
      </c>
      <c r="E84" s="3" t="inlineStr">
        <is>
          <t>Đầu 9</t>
        </is>
      </c>
      <c r="F84" s="3" t="inlineStr">
        <is>
          <t>Đuôi 3</t>
        </is>
      </c>
      <c r="G84" s="3" t="inlineStr">
        <is>
          <t>5, 4, 9</t>
        </is>
      </c>
      <c r="H84" s="6" t="inlineStr">
        <is>
          <t>TRÚNG 🎯</t>
        </is>
      </c>
      <c r="I84" s="3" t="inlineStr">
        <is>
          <t>9, 7, 4</t>
        </is>
      </c>
      <c r="J84" s="7" t="inlineStr">
        <is>
          <t>TRƯỢT ❌</t>
        </is>
      </c>
      <c r="K84" s="3" t="inlineStr">
        <is>
          <t>44, 47, 49, 54, 57, 59, 94, 97, 99</t>
        </is>
      </c>
      <c r="L84" s="7" t="inlineStr">
        <is>
          <t>TRƯỢT ❌</t>
        </is>
      </c>
      <c r="M84" s="7" t="inlineStr">
        <is>
          <t>TRƯỢT KHUNG ❌</t>
        </is>
      </c>
    </row>
    <row r="85">
      <c r="A85" s="2" t="n">
        <v>81</v>
      </c>
      <c r="B85" s="2" t="inlineStr">
        <is>
          <t>Thứ năm ngày 26-03-2026</t>
        </is>
      </c>
      <c r="C85" s="3" t="inlineStr">
        <is>
          <t>61332</t>
        </is>
      </c>
      <c r="D85" s="3" t="inlineStr">
        <is>
          <t>32</t>
        </is>
      </c>
      <c r="E85" s="3" t="inlineStr">
        <is>
          <t>Đầu 3</t>
        </is>
      </c>
      <c r="F85" s="3" t="inlineStr">
        <is>
          <t>Đuôi 2</t>
        </is>
      </c>
      <c r="G85" s="3" t="inlineStr">
        <is>
          <t>5, 4, 1</t>
        </is>
      </c>
      <c r="H85" s="7" t="inlineStr">
        <is>
          <t>TRƯỢT ❌</t>
        </is>
      </c>
      <c r="I85" s="3" t="inlineStr">
        <is>
          <t>9, 4, 8</t>
        </is>
      </c>
      <c r="J85" s="7" t="inlineStr">
        <is>
          <t>TRƯỢT ❌</t>
        </is>
      </c>
      <c r="K85" s="3" t="inlineStr">
        <is>
          <t>14, 18, 19, 44, 48, 49, 54, 58, 59</t>
        </is>
      </c>
      <c r="L85" s="7" t="inlineStr">
        <is>
          <t>TRƯỢT ❌</t>
        </is>
      </c>
      <c r="M85" s="7" t="inlineStr">
        <is>
          <t>TRƯỢT KHUNG ❌</t>
        </is>
      </c>
    </row>
    <row r="86">
      <c r="A86" s="2" t="n">
        <v>82</v>
      </c>
      <c r="B86" s="2" t="inlineStr">
        <is>
          <t>Thứ sáu ngày 27-03-2026</t>
        </is>
      </c>
      <c r="C86" s="3" t="inlineStr">
        <is>
          <t>96422</t>
        </is>
      </c>
      <c r="D86" s="3" t="inlineStr">
        <is>
          <t>22</t>
        </is>
      </c>
      <c r="E86" s="3" t="inlineStr">
        <is>
          <t>Đầu 2</t>
        </is>
      </c>
      <c r="F86" s="3" t="inlineStr">
        <is>
          <t>Đuôi 2</t>
        </is>
      </c>
      <c r="G86" s="3" t="inlineStr">
        <is>
          <t>4, 5, 2</t>
        </is>
      </c>
      <c r="H86" s="6" t="inlineStr">
        <is>
          <t>TRÚNG 🎯</t>
        </is>
      </c>
      <c r="I86" s="3" t="inlineStr">
        <is>
          <t>9, 8, 4</t>
        </is>
      </c>
      <c r="J86" s="7" t="inlineStr">
        <is>
          <t>TRƯỢT ❌</t>
        </is>
      </c>
      <c r="K86" s="3" t="inlineStr">
        <is>
          <t>24, 28, 29, 44, 48, 49, 54, 58, 59</t>
        </is>
      </c>
      <c r="L86" s="7" t="inlineStr">
        <is>
          <t>TRƯỢT ❌</t>
        </is>
      </c>
      <c r="M86" s="7" t="inlineStr">
        <is>
          <t>TRƯỢT KHUNG ❌</t>
        </is>
      </c>
    </row>
    <row r="87">
      <c r="A87" s="2" t="n">
        <v>83</v>
      </c>
      <c r="B87" s="2" t="inlineStr">
        <is>
          <t>Thứ bảy ngày 28-03-2026</t>
        </is>
      </c>
      <c r="C87" s="3" t="inlineStr">
        <is>
          <t>37188</t>
        </is>
      </c>
      <c r="D87" s="3" t="inlineStr">
        <is>
          <t>88</t>
        </is>
      </c>
      <c r="E87" s="3" t="inlineStr">
        <is>
          <t>Đầu 8</t>
        </is>
      </c>
      <c r="F87" s="3" t="inlineStr">
        <is>
          <t>Đuôi 8</t>
        </is>
      </c>
      <c r="G87" s="3" t="inlineStr">
        <is>
          <t>4, 5, 8</t>
        </is>
      </c>
      <c r="H87" s="6" t="inlineStr">
        <is>
          <t>TRÚNG 🎯</t>
        </is>
      </c>
      <c r="I87" s="3" t="inlineStr">
        <is>
          <t>9, 8, 4</t>
        </is>
      </c>
      <c r="J87" s="6" t="inlineStr">
        <is>
          <t>TRÚNG 🎯</t>
        </is>
      </c>
      <c r="K87" s="3" t="inlineStr">
        <is>
          <t>44, 48, 49, 54, 58, 59, 84, 88, 89</t>
        </is>
      </c>
      <c r="L87" s="6" t="inlineStr">
        <is>
          <t>TRÚNG 🎯</t>
        </is>
      </c>
      <c r="M87" s="6" t="inlineStr">
        <is>
          <t>TRÚNG KHUNG 🎯</t>
        </is>
      </c>
    </row>
    <row r="88">
      <c r="A88" s="2" t="n">
        <v>84</v>
      </c>
      <c r="B88" s="2" t="inlineStr">
        <is>
          <t>Chủ nhật ngày 29-03-2026</t>
        </is>
      </c>
      <c r="C88" s="3" t="inlineStr">
        <is>
          <t>64464</t>
        </is>
      </c>
      <c r="D88" s="3" t="inlineStr">
        <is>
          <t>64</t>
        </is>
      </c>
      <c r="E88" s="3" t="inlineStr">
        <is>
          <t>Đầu 6</t>
        </is>
      </c>
      <c r="F88" s="3" t="inlineStr">
        <is>
          <t>Đuôi 4</t>
        </is>
      </c>
      <c r="G88" s="3" t="inlineStr">
        <is>
          <t>4, 5, 9</t>
        </is>
      </c>
      <c r="H88" s="7" t="inlineStr">
        <is>
          <t>TRƯỢT ❌</t>
        </is>
      </c>
      <c r="I88" s="3" t="inlineStr">
        <is>
          <t>9, 4, 8</t>
        </is>
      </c>
      <c r="J88" s="6" t="inlineStr">
        <is>
          <t>TRÚNG 🎯</t>
        </is>
      </c>
      <c r="K88" s="3" t="inlineStr">
        <is>
          <t>44, 48, 49, 54, 58, 59, 94, 98, 99</t>
        </is>
      </c>
      <c r="L88" s="7" t="inlineStr">
        <is>
          <t>TRƯỢT ❌</t>
        </is>
      </c>
      <c r="M88" s="7" t="inlineStr">
        <is>
          <t>TRƯỢT KHUNG ❌</t>
        </is>
      </c>
    </row>
    <row r="89">
      <c r="A89" s="2" t="n">
        <v>85</v>
      </c>
      <c r="B89" s="2" t="inlineStr">
        <is>
          <t>Thứ hai ngày 30-03-2026</t>
        </is>
      </c>
      <c r="C89" s="3" t="inlineStr">
        <is>
          <t>11591</t>
        </is>
      </c>
      <c r="D89" s="3" t="inlineStr">
        <is>
          <t>91</t>
        </is>
      </c>
      <c r="E89" s="3" t="inlineStr">
        <is>
          <t>Đầu 9</t>
        </is>
      </c>
      <c r="F89" s="3" t="inlineStr">
        <is>
          <t>Đuôi 1</t>
        </is>
      </c>
      <c r="G89" s="3" t="inlineStr">
        <is>
          <t>4, 5, 9</t>
        </is>
      </c>
      <c r="H89" s="6" t="inlineStr">
        <is>
          <t>TRÚNG 🎯</t>
        </is>
      </c>
      <c r="I89" s="3" t="inlineStr">
        <is>
          <t>9, 8, 2</t>
        </is>
      </c>
      <c r="J89" s="7" t="inlineStr">
        <is>
          <t>TRƯỢT ❌</t>
        </is>
      </c>
      <c r="K89" s="3" t="inlineStr">
        <is>
          <t>42, 48, 49, 52, 58, 59, 92, 98, 99</t>
        </is>
      </c>
      <c r="L89" s="7" t="inlineStr">
        <is>
          <t>TRƯỢT ❌</t>
        </is>
      </c>
      <c r="M89" s="7" t="inlineStr">
        <is>
          <t>TRƯỢT KHUNG ❌</t>
        </is>
      </c>
    </row>
    <row r="90">
      <c r="A90" s="2" t="n">
        <v>86</v>
      </c>
      <c r="B90" s="2" t="inlineStr">
        <is>
          <t>Thứ ba ngày 31-03-2026</t>
        </is>
      </c>
      <c r="C90" s="3" t="inlineStr">
        <is>
          <t>31666</t>
        </is>
      </c>
      <c r="D90" s="3" t="inlineStr">
        <is>
          <t>66</t>
        </is>
      </c>
      <c r="E90" s="3" t="inlineStr">
        <is>
          <t>Đầu 6</t>
        </is>
      </c>
      <c r="F90" s="3" t="inlineStr">
        <is>
          <t>Đuôi 6</t>
        </is>
      </c>
      <c r="G90" s="3" t="inlineStr">
        <is>
          <t>5, 2, 4</t>
        </is>
      </c>
      <c r="H90" s="7" t="inlineStr">
        <is>
          <t>TRƯỢT ❌</t>
        </is>
      </c>
      <c r="I90" s="3" t="inlineStr">
        <is>
          <t>9, 2, 8</t>
        </is>
      </c>
      <c r="J90" s="7" t="inlineStr">
        <is>
          <t>TRƯỢT ❌</t>
        </is>
      </c>
      <c r="K90" s="3" t="inlineStr">
        <is>
          <t>22, 28, 29, 42, 48, 49, 52, 58, 59</t>
        </is>
      </c>
      <c r="L90" s="7" t="inlineStr">
        <is>
          <t>TRƯỢT ❌</t>
        </is>
      </c>
      <c r="M90" s="7" t="inlineStr">
        <is>
          <t>TRƯỢT KHUNG ❌</t>
        </is>
      </c>
    </row>
    <row r="91">
      <c r="A91" s="2" t="n">
        <v>87</v>
      </c>
      <c r="B91" s="2" t="inlineStr">
        <is>
          <t>Thứ tư ngày 01-04-2026</t>
        </is>
      </c>
      <c r="C91" s="3" t="inlineStr">
        <is>
          <t>91267</t>
        </is>
      </c>
      <c r="D91" s="3" t="inlineStr">
        <is>
          <t>67</t>
        </is>
      </c>
      <c r="E91" s="3" t="inlineStr">
        <is>
          <t>Đầu 6</t>
        </is>
      </c>
      <c r="F91" s="3" t="inlineStr">
        <is>
          <t>Đuôi 7</t>
        </is>
      </c>
      <c r="G91" s="3" t="inlineStr">
        <is>
          <t>2, 4, 8</t>
        </is>
      </c>
      <c r="H91" s="7" t="inlineStr">
        <is>
          <t>TRƯỢT ❌</t>
        </is>
      </c>
      <c r="I91" s="3" t="inlineStr">
        <is>
          <t>9, 8, 2</t>
        </is>
      </c>
      <c r="J91" s="7" t="inlineStr">
        <is>
          <t>TRƯỢT ❌</t>
        </is>
      </c>
      <c r="K91" s="3" t="inlineStr">
        <is>
          <t>22, 28, 29, 42, 48, 49, 82, 88, 89</t>
        </is>
      </c>
      <c r="L91" s="7" t="inlineStr">
        <is>
          <t>TRƯỢT ❌</t>
        </is>
      </c>
      <c r="M91" s="7" t="inlineStr">
        <is>
          <t>TRƯỢT KHUNG ❌</t>
        </is>
      </c>
    </row>
    <row r="92">
      <c r="A92" s="2" t="n">
        <v>88</v>
      </c>
      <c r="B92" s="2" t="inlineStr">
        <is>
          <t>Thứ năm ngày 02-04-2026</t>
        </is>
      </c>
      <c r="C92" s="3" t="inlineStr">
        <is>
          <t>12944</t>
        </is>
      </c>
      <c r="D92" s="3" t="inlineStr">
        <is>
          <t>44</t>
        </is>
      </c>
      <c r="E92" s="3" t="inlineStr">
        <is>
          <t>Đầu 4</t>
        </is>
      </c>
      <c r="F92" s="3" t="inlineStr">
        <is>
          <t>Đuôi 4</t>
        </is>
      </c>
      <c r="G92" s="3" t="inlineStr">
        <is>
          <t>2, 4, 8</t>
        </is>
      </c>
      <c r="H92" s="6" t="inlineStr">
        <is>
          <t>TRÚNG 🎯</t>
        </is>
      </c>
      <c r="I92" s="3" t="inlineStr">
        <is>
          <t>9, 4, 2</t>
        </is>
      </c>
      <c r="J92" s="6" t="inlineStr">
        <is>
          <t>TRÚNG 🎯</t>
        </is>
      </c>
      <c r="K92" s="3" t="inlineStr">
        <is>
          <t>22, 24, 29, 42, 44, 49, 82, 84, 89</t>
        </is>
      </c>
      <c r="L92" s="6" t="inlineStr">
        <is>
          <t>TRÚNG 🎯</t>
        </is>
      </c>
      <c r="M92" s="6" t="inlineStr">
        <is>
          <t>TRÚNG KHUNG 🎯</t>
        </is>
      </c>
    </row>
    <row r="93">
      <c r="A93" s="2" t="n">
        <v>89</v>
      </c>
      <c r="B93" s="2" t="inlineStr">
        <is>
          <t>Thứ sáu ngày 03-04-2026</t>
        </is>
      </c>
      <c r="C93" s="3" t="inlineStr">
        <is>
          <t>29737</t>
        </is>
      </c>
      <c r="D93" s="3" t="inlineStr">
        <is>
          <t>37</t>
        </is>
      </c>
      <c r="E93" s="3" t="inlineStr">
        <is>
          <t>Đầu 3</t>
        </is>
      </c>
      <c r="F93" s="3" t="inlineStr">
        <is>
          <t>Đuôi 7</t>
        </is>
      </c>
      <c r="G93" s="3" t="inlineStr">
        <is>
          <t>2, 8, 9</t>
        </is>
      </c>
      <c r="H93" s="7" t="inlineStr">
        <is>
          <t>TRƯỢT ❌</t>
        </is>
      </c>
      <c r="I93" s="3" t="inlineStr">
        <is>
          <t>9, 2, 8</t>
        </is>
      </c>
      <c r="J93" s="7" t="inlineStr">
        <is>
          <t>TRƯỢT ❌</t>
        </is>
      </c>
      <c r="K93" s="3" t="inlineStr">
        <is>
          <t>22, 28, 29, 82, 88, 89, 92, 98, 99</t>
        </is>
      </c>
      <c r="L93" s="7" t="inlineStr">
        <is>
          <t>TRƯỢT ❌</t>
        </is>
      </c>
      <c r="M93" s="7" t="inlineStr">
        <is>
          <t>TRƯỢT KHUNG ❌</t>
        </is>
      </c>
    </row>
    <row r="94">
      <c r="A94" s="2" t="n">
        <v>90</v>
      </c>
      <c r="B94" s="2" t="inlineStr">
        <is>
          <t>Thứ bảy ngày 04-04-2026</t>
        </is>
      </c>
      <c r="C94" s="3" t="inlineStr">
        <is>
          <t>02855</t>
        </is>
      </c>
      <c r="D94" s="3" t="inlineStr">
        <is>
          <t>55</t>
        </is>
      </c>
      <c r="E94" s="3" t="inlineStr">
        <is>
          <t>Đầu 5</t>
        </is>
      </c>
      <c r="F94" s="3" t="inlineStr">
        <is>
          <t>Đuôi 5</t>
        </is>
      </c>
      <c r="G94" s="3" t="inlineStr">
        <is>
          <t>2, 8, 9</t>
        </is>
      </c>
      <c r="H94" s="7" t="inlineStr">
        <is>
          <t>TRƯỢT ❌</t>
        </is>
      </c>
      <c r="I94" s="3" t="inlineStr">
        <is>
          <t>2, 8, 9</t>
        </is>
      </c>
      <c r="J94" s="7" t="inlineStr">
        <is>
          <t>TRƯỢT ❌</t>
        </is>
      </c>
      <c r="K94" s="3" t="inlineStr">
        <is>
          <t>22, 28, 29, 82, 88, 89, 92, 98, 99</t>
        </is>
      </c>
      <c r="L94" s="7" t="inlineStr">
        <is>
          <t>TRƯỢT ❌</t>
        </is>
      </c>
      <c r="M94" s="6" t="inlineStr">
        <is>
          <t>TRÚNG KHUNG 🎯</t>
        </is>
      </c>
    </row>
    <row r="95">
      <c r="A95" s="2" t="n">
        <v>91</v>
      </c>
      <c r="B95" s="2" t="inlineStr">
        <is>
          <t>Chủ nhật ngày 05-04-2026</t>
        </is>
      </c>
      <c r="C95" s="3" t="inlineStr">
        <is>
          <t>76406</t>
        </is>
      </c>
      <c r="D95" s="3" t="inlineStr">
        <is>
          <t>06</t>
        </is>
      </c>
      <c r="E95" s="3" t="inlineStr">
        <is>
          <t>Đầu 0</t>
        </is>
      </c>
      <c r="F95" s="3" t="inlineStr">
        <is>
          <t>Đuôi 6</t>
        </is>
      </c>
      <c r="G95" s="3" t="inlineStr">
        <is>
          <t>6, 2, 8</t>
        </is>
      </c>
      <c r="H95" s="7" t="inlineStr">
        <is>
          <t>TRƯỢT ❌</t>
        </is>
      </c>
      <c r="I95" s="3" t="inlineStr">
        <is>
          <t>4, 2, 8</t>
        </is>
      </c>
      <c r="J95" s="7" t="inlineStr">
        <is>
          <t>TRƯỢT ❌</t>
        </is>
      </c>
      <c r="K95" s="3" t="inlineStr">
        <is>
          <t>22, 24, 28, 62, 64, 68, 82, 84, 88</t>
        </is>
      </c>
      <c r="L95" s="7" t="inlineStr">
        <is>
          <t>TRƯỢT ❌</t>
        </is>
      </c>
      <c r="M95" s="6" t="inlineStr">
        <is>
          <t>TRÚNG KHUNG 🎯</t>
        </is>
      </c>
    </row>
    <row r="96">
      <c r="A96" s="2" t="n">
        <v>92</v>
      </c>
      <c r="B96" s="2" t="inlineStr">
        <is>
          <t>Thứ hai ngày 06-04-2026</t>
        </is>
      </c>
      <c r="C96" s="3" t="inlineStr">
        <is>
          <t>02382</t>
        </is>
      </c>
      <c r="D96" s="3" t="inlineStr">
        <is>
          <t>82</t>
        </is>
      </c>
      <c r="E96" s="3" t="inlineStr">
        <is>
          <t>Đầu 8</t>
        </is>
      </c>
      <c r="F96" s="3" t="inlineStr">
        <is>
          <t>Đuôi 2</t>
        </is>
      </c>
      <c r="G96" s="3" t="inlineStr">
        <is>
          <t>6, 2, 4</t>
        </is>
      </c>
      <c r="H96" s="7" t="inlineStr">
        <is>
          <t>TRƯỢT ❌</t>
        </is>
      </c>
      <c r="I96" s="3" t="inlineStr">
        <is>
          <t>4, 2, 8</t>
        </is>
      </c>
      <c r="J96" s="6" t="inlineStr">
        <is>
          <t>TRÚNG 🎯</t>
        </is>
      </c>
      <c r="K96" s="3" t="inlineStr">
        <is>
          <t>22, 24, 28, 42, 44, 48, 62, 64, 68</t>
        </is>
      </c>
      <c r="L96" s="7" t="inlineStr">
        <is>
          <t>TRƯỢT ❌</t>
        </is>
      </c>
      <c r="M96" s="7" t="inlineStr">
        <is>
          <t>TRƯỢT KHUNG ❌</t>
        </is>
      </c>
    </row>
    <row r="97">
      <c r="A97" s="2" t="n">
        <v>93</v>
      </c>
      <c r="B97" s="2" t="inlineStr">
        <is>
          <t>Thứ ba ngày 07-04-2026</t>
        </is>
      </c>
      <c r="C97" s="3" t="inlineStr">
        <is>
          <t>27450</t>
        </is>
      </c>
      <c r="D97" s="3" t="inlineStr">
        <is>
          <t>50</t>
        </is>
      </c>
      <c r="E97" s="3" t="inlineStr">
        <is>
          <t>Đầu 5</t>
        </is>
      </c>
      <c r="F97" s="3" t="inlineStr">
        <is>
          <t>Đuôi 0</t>
        </is>
      </c>
      <c r="G97" s="3" t="inlineStr">
        <is>
          <t>6, 2, 4</t>
        </is>
      </c>
      <c r="H97" s="7" t="inlineStr">
        <is>
          <t>TRƯỢT ❌</t>
        </is>
      </c>
      <c r="I97" s="3" t="inlineStr">
        <is>
          <t>4, 8, 7</t>
        </is>
      </c>
      <c r="J97" s="7" t="inlineStr">
        <is>
          <t>TRƯỢT ❌</t>
        </is>
      </c>
      <c r="K97" s="3" t="inlineStr">
        <is>
          <t>24, 27, 28, 44, 47, 48, 64, 67, 68</t>
        </is>
      </c>
      <c r="L97" s="7" t="inlineStr">
        <is>
          <t>TRƯỢT ❌</t>
        </is>
      </c>
      <c r="M97" s="7" t="inlineStr">
        <is>
          <t>TRƯỢT KHUNG ❌</t>
        </is>
      </c>
    </row>
    <row r="98">
      <c r="A98" s="2" t="n">
        <v>94</v>
      </c>
      <c r="B98" s="2" t="inlineStr">
        <is>
          <t>Thứ tư ngày 08-04-2026</t>
        </is>
      </c>
      <c r="C98" s="3" t="inlineStr">
        <is>
          <t>45625</t>
        </is>
      </c>
      <c r="D98" s="3" t="inlineStr">
        <is>
          <t>25</t>
        </is>
      </c>
      <c r="E98" s="3" t="inlineStr">
        <is>
          <t>Đầu 2</t>
        </is>
      </c>
      <c r="F98" s="3" t="inlineStr">
        <is>
          <t>Đuôi 5</t>
        </is>
      </c>
      <c r="G98" s="3" t="inlineStr">
        <is>
          <t>6, 2, 4</t>
        </is>
      </c>
      <c r="H98" s="6" t="inlineStr">
        <is>
          <t>TRÚNG 🎯</t>
        </is>
      </c>
      <c r="I98" s="3" t="inlineStr">
        <is>
          <t>4, 8, 7</t>
        </is>
      </c>
      <c r="J98" s="7" t="inlineStr">
        <is>
          <t>TRƯỢT ❌</t>
        </is>
      </c>
      <c r="K98" s="3" t="inlineStr">
        <is>
          <t>24, 27, 28, 44, 47, 48, 64, 67, 68</t>
        </is>
      </c>
      <c r="L98" s="7" t="inlineStr">
        <is>
          <t>TRƯỢT ❌</t>
        </is>
      </c>
      <c r="M98" s="7" t="inlineStr">
        <is>
          <t>TRƯỢT KHUNG ❌</t>
        </is>
      </c>
    </row>
    <row r="99">
      <c r="A99" s="2" t="n">
        <v>95</v>
      </c>
      <c r="B99" s="2" t="inlineStr">
        <is>
          <t>Thứ năm ngày 09-04-2026</t>
        </is>
      </c>
      <c r="C99" s="3" t="inlineStr">
        <is>
          <t>46120</t>
        </is>
      </c>
      <c r="D99" s="3" t="inlineStr">
        <is>
          <t>20</t>
        </is>
      </c>
      <c r="E99" s="3" t="inlineStr">
        <is>
          <t>Đầu 2</t>
        </is>
      </c>
      <c r="F99" s="3" t="inlineStr">
        <is>
          <t>Đuôi 0</t>
        </is>
      </c>
      <c r="G99" s="3" t="inlineStr">
        <is>
          <t>6, 9, 4</t>
        </is>
      </c>
      <c r="H99" s="7" t="inlineStr">
        <is>
          <t>TRƯỢT ❌</t>
        </is>
      </c>
      <c r="I99" s="3" t="inlineStr">
        <is>
          <t>4, 8, 6</t>
        </is>
      </c>
      <c r="J99" s="7" t="inlineStr">
        <is>
          <t>TRƯỢT ❌</t>
        </is>
      </c>
      <c r="K99" s="3" t="inlineStr">
        <is>
          <t>44, 46, 48, 64, 66, 68, 94, 96, 98</t>
        </is>
      </c>
      <c r="L99" s="7" t="inlineStr">
        <is>
          <t>TRƯỢT ❌</t>
        </is>
      </c>
      <c r="M99" s="7" t="inlineStr">
        <is>
          <t>TRƯỢT KHUNG ❌</t>
        </is>
      </c>
    </row>
    <row r="100">
      <c r="A100" s="2" t="n">
        <v>96</v>
      </c>
      <c r="B100" s="2" t="inlineStr">
        <is>
          <t>Thứ sáu ngày 10-04-2026</t>
        </is>
      </c>
      <c r="C100" s="3" t="inlineStr">
        <is>
          <t>24204</t>
        </is>
      </c>
      <c r="D100" s="3" t="inlineStr">
        <is>
          <t>04</t>
        </is>
      </c>
      <c r="E100" s="3" t="inlineStr">
        <is>
          <t>Đầu 0</t>
        </is>
      </c>
      <c r="F100" s="3" t="inlineStr">
        <is>
          <t>Đuôi 4</t>
        </is>
      </c>
      <c r="G100" s="3" t="inlineStr">
        <is>
          <t>6, 8, 9</t>
        </is>
      </c>
      <c r="H100" s="7" t="inlineStr">
        <is>
          <t>TRƯỢT ❌</t>
        </is>
      </c>
      <c r="I100" s="3" t="inlineStr">
        <is>
          <t>4, 2, 6</t>
        </is>
      </c>
      <c r="J100" s="6" t="inlineStr">
        <is>
          <t>TRÚNG 🎯</t>
        </is>
      </c>
      <c r="K100" s="3" t="inlineStr">
        <is>
          <t>62, 64, 66, 82, 84, 86, 92, 94, 96</t>
        </is>
      </c>
      <c r="L100" s="7" t="inlineStr">
        <is>
          <t>TRƯỢT ❌</t>
        </is>
      </c>
      <c r="M100" s="7" t="inlineStr">
        <is>
          <t>TRƯỢT KHUNG ❌</t>
        </is>
      </c>
    </row>
    <row r="101">
      <c r="A101" s="2" t="n">
        <v>97</v>
      </c>
      <c r="B101" s="2" t="inlineStr">
        <is>
          <t>Thứ bảy ngày 11-04-2026</t>
        </is>
      </c>
      <c r="C101" s="3" t="inlineStr">
        <is>
          <t>12000</t>
        </is>
      </c>
      <c r="D101" s="3" t="inlineStr">
        <is>
          <t>00</t>
        </is>
      </c>
      <c r="E101" s="3" t="inlineStr">
        <is>
          <t>Đầu 0</t>
        </is>
      </c>
      <c r="F101" s="3" t="inlineStr">
        <is>
          <t>Đuôi 0</t>
        </is>
      </c>
      <c r="G101" s="3" t="inlineStr">
        <is>
          <t>5, 6, 8</t>
        </is>
      </c>
      <c r="H101" s="7" t="inlineStr">
        <is>
          <t>TRƯỢT ❌</t>
        </is>
      </c>
      <c r="I101" s="3" t="inlineStr">
        <is>
          <t>2, 6, 7</t>
        </is>
      </c>
      <c r="J101" s="7" t="inlineStr">
        <is>
          <t>TRƯỢT ❌</t>
        </is>
      </c>
      <c r="K101" s="3" t="inlineStr">
        <is>
          <t>52, 56, 57, 62, 66, 67, 82, 86, 87</t>
        </is>
      </c>
      <c r="L101" s="7" t="inlineStr">
        <is>
          <t>TRƯỢT ❌</t>
        </is>
      </c>
      <c r="M101" s="7" t="inlineStr">
        <is>
          <t>TRƯỢT KHUNG ❌</t>
        </is>
      </c>
    </row>
    <row r="102">
      <c r="A102" s="2" t="n">
        <v>98</v>
      </c>
      <c r="B102" s="2" t="inlineStr">
        <is>
          <t>Chủ nhật ngày 12-04-2026</t>
        </is>
      </c>
      <c r="C102" s="3" t="inlineStr">
        <is>
          <t>22738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6, 8, 9</t>
        </is>
      </c>
      <c r="H102" s="7" t="inlineStr">
        <is>
          <t>TRƯỢT ❌</t>
        </is>
      </c>
      <c r="I102" s="3" t="inlineStr">
        <is>
          <t>2, 4, 5</t>
        </is>
      </c>
      <c r="J102" s="7" t="inlineStr">
        <is>
          <t>TRƯỢT ❌</t>
        </is>
      </c>
      <c r="K102" s="3" t="inlineStr">
        <is>
          <t>62, 64, 65, 82, 84, 85, 92, 94, 95</t>
        </is>
      </c>
      <c r="L102" s="7" t="inlineStr">
        <is>
          <t>TRƯỢT ❌</t>
        </is>
      </c>
      <c r="M102" s="7" t="inlineStr">
        <is>
          <t>TRƯỢT KHUNG ❌</t>
        </is>
      </c>
    </row>
    <row r="103">
      <c r="A103" s="2" t="n">
        <v>99</v>
      </c>
      <c r="B103" s="2" t="inlineStr">
        <is>
          <t>Thứ hai ngày 13-04-2026</t>
        </is>
      </c>
      <c r="C103" s="3" t="inlineStr">
        <is>
          <t>92763</t>
        </is>
      </c>
      <c r="D103" s="3" t="inlineStr">
        <is>
          <t>63</t>
        </is>
      </c>
      <c r="E103" s="3" t="inlineStr">
        <is>
          <t>Đầu 6</t>
        </is>
      </c>
      <c r="F103" s="3" t="inlineStr">
        <is>
          <t>Đuôi 3</t>
        </is>
      </c>
      <c r="G103" s="3" t="inlineStr">
        <is>
          <t>2, 6, 8</t>
        </is>
      </c>
      <c r="H103" s="6" t="inlineStr">
        <is>
          <t>TRÚNG 🎯</t>
        </is>
      </c>
      <c r="I103" s="3" t="inlineStr">
        <is>
          <t>4, 2, 5</t>
        </is>
      </c>
      <c r="J103" s="7" t="inlineStr">
        <is>
          <t>TRƯỢT ❌</t>
        </is>
      </c>
      <c r="K103" s="3" t="inlineStr">
        <is>
          <t>22, 24, 25, 62, 64, 65, 82, 84, 85</t>
        </is>
      </c>
      <c r="L103" s="7" t="inlineStr">
        <is>
          <t>TRƯỢT ❌</t>
        </is>
      </c>
      <c r="M103" s="7" t="inlineStr">
        <is>
          <t>TRƯỢT KHUNG ❌</t>
        </is>
      </c>
    </row>
    <row r="104">
      <c r="A104" s="2" t="n">
        <v>100</v>
      </c>
      <c r="B104" s="2" t="inlineStr">
        <is>
          <t>Thứ ba ngày 14-04-2026</t>
        </is>
      </c>
      <c r="C104" s="3" t="inlineStr">
        <is>
          <t>03714</t>
        </is>
      </c>
      <c r="D104" s="3" t="inlineStr">
        <is>
          <t>14</t>
        </is>
      </c>
      <c r="E104" s="3" t="inlineStr">
        <is>
          <t>Đầu 1</t>
        </is>
      </c>
      <c r="F104" s="3" t="inlineStr">
        <is>
          <t>Đuôi 4</t>
        </is>
      </c>
      <c r="G104" s="3" t="inlineStr">
        <is>
          <t>2, 8, 9</t>
        </is>
      </c>
      <c r="H104" s="7" t="inlineStr">
        <is>
          <t>TRƯỢT ❌</t>
        </is>
      </c>
      <c r="I104" s="3" t="inlineStr">
        <is>
          <t>4, 2, 5</t>
        </is>
      </c>
      <c r="J104" s="6" t="inlineStr">
        <is>
          <t>TRÚNG 🎯</t>
        </is>
      </c>
      <c r="K104" s="3" t="inlineStr">
        <is>
          <t>22, 24, 25, 82, 84, 85, 92, 94, 95</t>
        </is>
      </c>
      <c r="L104" s="7" t="inlineStr">
        <is>
          <t>TRƯỢT ❌</t>
        </is>
      </c>
      <c r="M104" s="7" t="inlineStr">
        <is>
          <t>TRƯỢT KHUNG ❌</t>
        </is>
      </c>
    </row>
    <row r="105">
      <c r="A105" s="2" t="n">
        <v>101</v>
      </c>
      <c r="B105" s="2" t="inlineStr">
        <is>
          <t>Thứ tư ngày 15-04-2026</t>
        </is>
      </c>
      <c r="C105" s="3" t="inlineStr">
        <is>
          <t>35035</t>
        </is>
      </c>
      <c r="D105" s="3" t="inlineStr">
        <is>
          <t>35</t>
        </is>
      </c>
      <c r="E105" s="3" t="inlineStr">
        <is>
          <t>Đầu 3</t>
        </is>
      </c>
      <c r="F105" s="3" t="inlineStr">
        <is>
          <t>Đuôi 5</t>
        </is>
      </c>
      <c r="G105" s="3" t="inlineStr">
        <is>
          <t>2, 8, 9</t>
        </is>
      </c>
      <c r="H105" s="7" t="inlineStr">
        <is>
          <t>TRƯỢT ❌</t>
        </is>
      </c>
      <c r="I105" s="3" t="inlineStr">
        <is>
          <t>4, 0, 2</t>
        </is>
      </c>
      <c r="J105" s="7" t="inlineStr">
        <is>
          <t>TRƯỢT ❌</t>
        </is>
      </c>
      <c r="K105" s="3" t="inlineStr">
        <is>
          <t>20, 22, 24, 80, 82, 84, 90, 92, 94</t>
        </is>
      </c>
      <c r="L105" s="7" t="inlineStr">
        <is>
          <t>TRƯỢT ❌</t>
        </is>
      </c>
      <c r="M105" s="7" t="inlineStr">
        <is>
          <t>TRƯỢT KHUNG ❌</t>
        </is>
      </c>
    </row>
    <row r="106">
      <c r="A106" s="2" t="n">
        <v>102</v>
      </c>
      <c r="B106" s="2" t="inlineStr">
        <is>
          <t>Thứ năm ngày 16-04-2026</t>
        </is>
      </c>
      <c r="C106" s="3" t="inlineStr">
        <is>
          <t>38455</t>
        </is>
      </c>
      <c r="D106" s="3" t="inlineStr">
        <is>
          <t>55</t>
        </is>
      </c>
      <c r="E106" s="3" t="inlineStr">
        <is>
          <t>Đầu 5</t>
        </is>
      </c>
      <c r="F106" s="3" t="inlineStr">
        <is>
          <t>Đuôi 5</t>
        </is>
      </c>
      <c r="G106" s="3" t="inlineStr">
        <is>
          <t>2, 8, 0</t>
        </is>
      </c>
      <c r="H106" s="7" t="inlineStr">
        <is>
          <t>TRƯỢT ❌</t>
        </is>
      </c>
      <c r="I106" s="3" t="inlineStr">
        <is>
          <t>4, 0, 2</t>
        </is>
      </c>
      <c r="J106" s="7" t="inlineStr">
        <is>
          <t>TRƯỢT ❌</t>
        </is>
      </c>
      <c r="K106" s="3" t="inlineStr">
        <is>
          <t>00, 02, 04, 20, 22, 24, 80, 82, 84</t>
        </is>
      </c>
      <c r="L106" s="7" t="inlineStr">
        <is>
          <t>TRƯỢT ❌</t>
        </is>
      </c>
      <c r="M106" s="7" t="inlineStr">
        <is>
          <t>TRƯỢT KHUNG ❌</t>
        </is>
      </c>
    </row>
    <row r="107">
      <c r="A107" s="2" t="n">
        <v>103</v>
      </c>
      <c r="B107" s="2" t="inlineStr">
        <is>
          <t>Thứ sáu ngày 17-04-2026</t>
        </is>
      </c>
      <c r="C107" s="3" t="inlineStr">
        <is>
          <t>17243</t>
        </is>
      </c>
      <c r="D107" s="3" t="inlineStr">
        <is>
          <t>43</t>
        </is>
      </c>
      <c r="E107" s="3" t="inlineStr">
        <is>
          <t>Đầu 4</t>
        </is>
      </c>
      <c r="F107" s="3" t="inlineStr">
        <is>
          <t>Đuôi 3</t>
        </is>
      </c>
      <c r="G107" s="3" t="inlineStr">
        <is>
          <t>2, 6, 0</t>
        </is>
      </c>
      <c r="H107" s="7" t="inlineStr">
        <is>
          <t>TRƯỢT ❌</t>
        </is>
      </c>
      <c r="I107" s="3" t="inlineStr">
        <is>
          <t>4, 0, 2</t>
        </is>
      </c>
      <c r="J107" s="7" t="inlineStr">
        <is>
          <t>TRƯỢT ❌</t>
        </is>
      </c>
      <c r="K107" s="3" t="inlineStr">
        <is>
          <t>00, 02, 04, 20, 22, 24, 60, 62, 64</t>
        </is>
      </c>
      <c r="L107" s="7" t="inlineStr">
        <is>
          <t>TRƯỢT ❌</t>
        </is>
      </c>
      <c r="M107" s="7" t="inlineStr">
        <is>
          <t>TRƯỢT KHUNG ❌</t>
        </is>
      </c>
    </row>
    <row r="108">
      <c r="A108" s="2" t="n">
        <v>104</v>
      </c>
      <c r="B108" s="2" t="inlineStr">
        <is>
          <t>Thứ bảy ngày 18-04-2026</t>
        </is>
      </c>
      <c r="C108" s="3" t="inlineStr">
        <is>
          <t>93725</t>
        </is>
      </c>
      <c r="D108" s="3" t="inlineStr">
        <is>
          <t>25</t>
        </is>
      </c>
      <c r="E108" s="3" t="inlineStr">
        <is>
          <t>Đầu 2</t>
        </is>
      </c>
      <c r="F108" s="3" t="inlineStr">
        <is>
          <t>Đuôi 5</t>
        </is>
      </c>
      <c r="G108" s="3" t="inlineStr">
        <is>
          <t>2, 6, 0</t>
        </is>
      </c>
      <c r="H108" s="6" t="inlineStr">
        <is>
          <t>TRÚNG 🎯</t>
        </is>
      </c>
      <c r="I108" s="3" t="inlineStr">
        <is>
          <t>4, 0, 2</t>
        </is>
      </c>
      <c r="J108" s="7" t="inlineStr">
        <is>
          <t>TRƯỢT ❌</t>
        </is>
      </c>
      <c r="K108" s="3" t="inlineStr">
        <is>
          <t>00, 02, 04, 20, 22, 24, 60, 62, 64</t>
        </is>
      </c>
      <c r="L108" s="7" t="inlineStr">
        <is>
          <t>TRƯỢT ❌</t>
        </is>
      </c>
      <c r="M108" s="7" t="inlineStr">
        <is>
          <t>TRƯỢT KHUNG ❌</t>
        </is>
      </c>
    </row>
    <row r="109">
      <c r="A109" s="2" t="n">
        <v>105</v>
      </c>
      <c r="B109" s="2" t="inlineStr">
        <is>
          <t>Chủ nhật ngày 19-04-2026</t>
        </is>
      </c>
      <c r="C109" s="3" t="inlineStr">
        <is>
          <t>74197</t>
        </is>
      </c>
      <c r="D109" s="3" t="inlineStr">
        <is>
          <t>97</t>
        </is>
      </c>
      <c r="E109" s="3" t="inlineStr">
        <is>
          <t>Đầu 9</t>
        </is>
      </c>
      <c r="F109" s="3" t="inlineStr">
        <is>
          <t>Đuôi 7</t>
        </is>
      </c>
      <c r="G109" s="3" t="inlineStr">
        <is>
          <t>3, 6, 0</t>
        </is>
      </c>
      <c r="H109" s="7" t="inlineStr">
        <is>
          <t>TRƯỢT ❌</t>
        </is>
      </c>
      <c r="I109" s="3" t="inlineStr">
        <is>
          <t>4, 0, 2</t>
        </is>
      </c>
      <c r="J109" s="7" t="inlineStr">
        <is>
          <t>TRƯỢT ❌</t>
        </is>
      </c>
      <c r="K109" s="3" t="inlineStr">
        <is>
          <t>00, 02, 04, 30, 32, 34, 60, 62, 64</t>
        </is>
      </c>
      <c r="L109" s="7" t="inlineStr">
        <is>
          <t>TRƯỢT ❌</t>
        </is>
      </c>
      <c r="M109" s="7" t="inlineStr">
        <is>
          <t>TRƯỢT KHUNG ❌</t>
        </is>
      </c>
    </row>
    <row r="110">
      <c r="A110" s="2" t="n">
        <v>106</v>
      </c>
      <c r="B110" s="2" t="inlineStr">
        <is>
          <t>Thứ hai ngày 20-04-2026</t>
        </is>
      </c>
      <c r="C110" s="3" t="inlineStr">
        <is>
          <t>48076</t>
        </is>
      </c>
      <c r="D110" s="3" t="inlineStr">
        <is>
          <t>76</t>
        </is>
      </c>
      <c r="E110" s="3" t="inlineStr">
        <is>
          <t>Đầu 7</t>
        </is>
      </c>
      <c r="F110" s="3" t="inlineStr">
        <is>
          <t>Đuôi 6</t>
        </is>
      </c>
      <c r="G110" s="3" t="inlineStr">
        <is>
          <t>3, 6, 0</t>
        </is>
      </c>
      <c r="H110" s="7" t="inlineStr">
        <is>
          <t>TRƯỢT ❌</t>
        </is>
      </c>
      <c r="I110" s="3" t="inlineStr">
        <is>
          <t>4, 0, 2</t>
        </is>
      </c>
      <c r="J110" s="7" t="inlineStr">
        <is>
          <t>TRƯỢT ❌</t>
        </is>
      </c>
      <c r="K110" s="3" t="inlineStr">
        <is>
          <t>00, 02, 04, 30, 32, 34, 60, 62, 64</t>
        </is>
      </c>
      <c r="L110" s="7" t="inlineStr">
        <is>
          <t>TRƯỢT ❌</t>
        </is>
      </c>
      <c r="M110" s="7" t="inlineStr">
        <is>
          <t>TRƯỢT KHUNG ❌</t>
        </is>
      </c>
    </row>
    <row r="111">
      <c r="A111" s="2" t="n">
        <v>107</v>
      </c>
      <c r="B111" s="2" t="inlineStr">
        <is>
          <t>Thứ ba ngày 21-04-2026</t>
        </is>
      </c>
      <c r="C111" s="3" t="inlineStr">
        <is>
          <t>36948</t>
        </is>
      </c>
      <c r="D111" s="3" t="inlineStr">
        <is>
          <t>48</t>
        </is>
      </c>
      <c r="E111" s="3" t="inlineStr">
        <is>
          <t>Đầu 4</t>
        </is>
      </c>
      <c r="F111" s="3" t="inlineStr">
        <is>
          <t>Đuôi 8</t>
        </is>
      </c>
      <c r="G111" s="3" t="inlineStr">
        <is>
          <t>3, 6, 2</t>
        </is>
      </c>
      <c r="H111" s="7" t="inlineStr">
        <is>
          <t>TRƯỢT ❌</t>
        </is>
      </c>
      <c r="I111" s="3" t="inlineStr">
        <is>
          <t>4, 5, 0</t>
        </is>
      </c>
      <c r="J111" s="7" t="inlineStr">
        <is>
          <t>TRƯỢT ❌</t>
        </is>
      </c>
      <c r="K111" s="3" t="inlineStr">
        <is>
          <t>20, 24, 25, 30, 34, 35, 60, 64, 65</t>
        </is>
      </c>
      <c r="L111" s="7" t="inlineStr">
        <is>
          <t>TRƯỢT ❌</t>
        </is>
      </c>
      <c r="M111" s="7" t="inlineStr">
        <is>
          <t>TRƯỢT KHUNG ❌</t>
        </is>
      </c>
    </row>
    <row r="112">
      <c r="A112" s="2" t="n">
        <v>108</v>
      </c>
      <c r="B112" s="2" t="inlineStr">
        <is>
          <t>Thứ tư ngày 22-04-2026</t>
        </is>
      </c>
      <c r="C112" s="3" t="inlineStr">
        <is>
          <t>66239</t>
        </is>
      </c>
      <c r="D112" s="3" t="inlineStr">
        <is>
          <t>39</t>
        </is>
      </c>
      <c r="E112" s="3" t="inlineStr">
        <is>
          <t>Đầu 3</t>
        </is>
      </c>
      <c r="F112" s="3" t="inlineStr">
        <is>
          <t>Đuôi 9</t>
        </is>
      </c>
      <c r="G112" s="3" t="inlineStr">
        <is>
          <t>2, 3, 6</t>
        </is>
      </c>
      <c r="H112" s="6" t="inlineStr">
        <is>
          <t>TRÚNG 🎯</t>
        </is>
      </c>
      <c r="I112" s="3" t="inlineStr">
        <is>
          <t>5, 4, 0</t>
        </is>
      </c>
      <c r="J112" s="7" t="inlineStr">
        <is>
          <t>TRƯỢT ❌</t>
        </is>
      </c>
      <c r="K112" s="3" t="inlineStr">
        <is>
          <t>20, 24, 25, 30, 34, 35, 60, 64, 65</t>
        </is>
      </c>
      <c r="L112" s="7" t="inlineStr">
        <is>
          <t>TRƯỢT ❌</t>
        </is>
      </c>
      <c r="M112" s="7" t="inlineStr">
        <is>
          <t>TRƯỢT KHUNG ❌</t>
        </is>
      </c>
    </row>
    <row r="113">
      <c r="A113" s="2" t="n">
        <v>109</v>
      </c>
      <c r="B113" s="2" t="inlineStr">
        <is>
          <t>Thứ năm ngày 23-04-2026</t>
        </is>
      </c>
      <c r="C113" s="3" t="inlineStr">
        <is>
          <t>09876</t>
        </is>
      </c>
      <c r="D113" s="3" t="inlineStr">
        <is>
          <t>76</t>
        </is>
      </c>
      <c r="E113" s="3" t="inlineStr">
        <is>
          <t>Đầu 7</t>
        </is>
      </c>
      <c r="F113" s="3" t="inlineStr">
        <is>
          <t>Đuôi 6</t>
        </is>
      </c>
      <c r="G113" s="3" t="inlineStr">
        <is>
          <t>2, 6, 0</t>
        </is>
      </c>
      <c r="H113" s="7" t="inlineStr">
        <is>
          <t>TRƯỢT ❌</t>
        </is>
      </c>
      <c r="I113" s="3" t="inlineStr">
        <is>
          <t>5, 4, 0</t>
        </is>
      </c>
      <c r="J113" s="7" t="inlineStr">
        <is>
          <t>TRƯỢT ❌</t>
        </is>
      </c>
      <c r="K113" s="3" t="inlineStr">
        <is>
          <t>00, 04, 05, 20, 24, 25, 60, 64, 65</t>
        </is>
      </c>
      <c r="L113" s="7" t="inlineStr">
        <is>
          <t>TRƯỢT ❌</t>
        </is>
      </c>
      <c r="M113" s="7" t="inlineStr">
        <is>
          <t>TRƯỢT KHUNG ❌</t>
        </is>
      </c>
    </row>
    <row r="114">
      <c r="A114" s="2" t="n">
        <v>110</v>
      </c>
      <c r="B114" s="2" t="inlineStr">
        <is>
          <t>Thứ sáu ngày 24-04-2026</t>
        </is>
      </c>
      <c r="C114" s="3" t="inlineStr">
        <is>
          <t>08717</t>
        </is>
      </c>
      <c r="D114" s="3" t="inlineStr">
        <is>
          <t>17</t>
        </is>
      </c>
      <c r="E114" s="3" t="inlineStr">
        <is>
          <t>Đầu 1</t>
        </is>
      </c>
      <c r="F114" s="3" t="inlineStr">
        <is>
          <t>Đuôi 7</t>
        </is>
      </c>
      <c r="G114" s="3" t="inlineStr">
        <is>
          <t>2, 6, 0</t>
        </is>
      </c>
      <c r="H114" s="7" t="inlineStr">
        <is>
          <t>TRƯỢT ❌</t>
        </is>
      </c>
      <c r="I114" s="3" t="inlineStr">
        <is>
          <t>5, 4, 0</t>
        </is>
      </c>
      <c r="J114" s="7" t="inlineStr">
        <is>
          <t>TRƯỢT ❌</t>
        </is>
      </c>
      <c r="K114" s="3" t="inlineStr">
        <is>
          <t>00, 04, 05, 20, 24, 25, 60, 64, 65</t>
        </is>
      </c>
      <c r="L114" s="7" t="inlineStr">
        <is>
          <t>TRƯỢT ❌</t>
        </is>
      </c>
      <c r="M114" s="7" t="inlineStr">
        <is>
          <t>TRƯỢT KHUNG ❌</t>
        </is>
      </c>
    </row>
    <row r="115">
      <c r="A115" s="2" t="n">
        <v>111</v>
      </c>
      <c r="B115" s="2" t="inlineStr">
        <is>
          <t>Thứ bảy ngày 25-04-2026</t>
        </is>
      </c>
      <c r="C115" s="3" t="inlineStr">
        <is>
          <t>38228</t>
        </is>
      </c>
      <c r="D115" s="3" t="inlineStr">
        <is>
          <t>28</t>
        </is>
      </c>
      <c r="E115" s="3" t="inlineStr">
        <is>
          <t>Đầu 2</t>
        </is>
      </c>
      <c r="F115" s="3" t="inlineStr">
        <is>
          <t>Đuôi 8</t>
        </is>
      </c>
      <c r="G115" s="3" t="inlineStr">
        <is>
          <t>2, 6, 3</t>
        </is>
      </c>
      <c r="H115" s="6" t="inlineStr">
        <is>
          <t>TRÚNG 🎯</t>
        </is>
      </c>
      <c r="I115" s="3" t="inlineStr">
        <is>
          <t>5, 4, 0</t>
        </is>
      </c>
      <c r="J115" s="7" t="inlineStr">
        <is>
          <t>TRƯỢT ❌</t>
        </is>
      </c>
      <c r="K115" s="3" t="inlineStr">
        <is>
          <t>20, 24, 25, 30, 34, 35, 60, 64, 65</t>
        </is>
      </c>
      <c r="L115" s="7" t="inlineStr">
        <is>
          <t>TRƯỢT ❌</t>
        </is>
      </c>
      <c r="M115" s="7" t="inlineStr">
        <is>
          <t>TRƯỢT KHUNG ❌</t>
        </is>
      </c>
    </row>
    <row r="116">
      <c r="A116" s="2" t="n">
        <v>112</v>
      </c>
      <c r="B116" s="2" t="inlineStr">
        <is>
          <t>Chủ nhật ngày 26-04-2026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Đầu 5</t>
        </is>
      </c>
      <c r="F116" s="3" t="inlineStr">
        <is>
          <t>Đuôi 9</t>
        </is>
      </c>
      <c r="G116" s="3" t="inlineStr">
        <is>
          <t>3, 6, 0</t>
        </is>
      </c>
      <c r="H116" s="7" t="inlineStr">
        <is>
          <t>TRƯỢT ❌</t>
        </is>
      </c>
      <c r="I116" s="3" t="inlineStr">
        <is>
          <t>5, 4, 0</t>
        </is>
      </c>
      <c r="J116" s="7" t="inlineStr">
        <is>
          <t>TRƯỢT ❌</t>
        </is>
      </c>
      <c r="K116" s="3" t="inlineStr">
        <is>
          <t>00, 04, 05, 30, 34, 35, 60, 64, 65</t>
        </is>
      </c>
      <c r="L116" s="7" t="inlineStr">
        <is>
          <t>TRƯỢT ❌</t>
        </is>
      </c>
      <c r="M116" s="7" t="inlineStr">
        <is>
          <t>TRƯỢT KHUNG ❌</t>
        </is>
      </c>
    </row>
    <row r="117">
      <c r="A117" s="2" t="n">
        <v>113</v>
      </c>
      <c r="B117" s="2" t="inlineStr">
        <is>
          <t>Thứ hai ngày 27-04-2026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3, 6, 0</t>
        </is>
      </c>
      <c r="H117" s="7" t="inlineStr">
        <is>
          <t>TRƯỢT ❌</t>
        </is>
      </c>
      <c r="I117" s="3" t="inlineStr">
        <is>
          <t>5, 4, 6</t>
        </is>
      </c>
      <c r="J117" s="6" t="inlineStr">
        <is>
          <t>TRÚNG 🎯</t>
        </is>
      </c>
      <c r="K117" s="3" t="inlineStr">
        <is>
          <t>04, 05, 06, 34, 35, 36, 64, 65, 66</t>
        </is>
      </c>
      <c r="L117" s="7" t="inlineStr">
        <is>
          <t>TRƯỢT ❌</t>
        </is>
      </c>
      <c r="M117" s="7" t="inlineStr">
        <is>
          <t>TRƯỢT KHUNG ❌</t>
        </is>
      </c>
    </row>
    <row r="118">
      <c r="A118" s="2" t="n">
        <v>114</v>
      </c>
      <c r="B118" s="2" t="inlineStr">
        <is>
          <t>Thứ ba ngày 28-04-2026</t>
        </is>
      </c>
      <c r="C118" s="3" t="inlineStr">
        <is>
          <t>86569</t>
        </is>
      </c>
      <c r="D118" s="3" t="inlineStr">
        <is>
          <t>69</t>
        </is>
      </c>
      <c r="E118" s="3" t="inlineStr">
        <is>
          <t>Đầu 6</t>
        </is>
      </c>
      <c r="F118" s="3" t="inlineStr">
        <is>
          <t>Đuôi 9</t>
        </is>
      </c>
      <c r="G118" s="3" t="inlineStr">
        <is>
          <t>3, 6, 4</t>
        </is>
      </c>
      <c r="H118" s="6" t="inlineStr">
        <is>
          <t>TRÚNG 🎯</t>
        </is>
      </c>
      <c r="I118" s="3" t="inlineStr">
        <is>
          <t>5, 6, 7</t>
        </is>
      </c>
      <c r="J118" s="7" t="inlineStr">
        <is>
          <t>TRƯỢT ❌</t>
        </is>
      </c>
      <c r="K118" s="3" t="inlineStr">
        <is>
          <t>35, 36, 37, 45, 46, 47, 65, 66, 67</t>
        </is>
      </c>
      <c r="L118" s="7" t="inlineStr">
        <is>
          <t>TRƯỢT ❌</t>
        </is>
      </c>
      <c r="M118" s="6" t="inlineStr">
        <is>
          <t>TRÚNG KHUNG 🎯</t>
        </is>
      </c>
    </row>
    <row r="119">
      <c r="A119" s="2" t="n">
        <v>115</v>
      </c>
      <c r="B119" s="2" t="inlineStr">
        <is>
          <t>Thứ tư ngày 29-04-2026</t>
        </is>
      </c>
      <c r="C119" s="3" t="inlineStr">
        <is>
          <t>82075</t>
        </is>
      </c>
      <c r="D119" s="3" t="inlineStr">
        <is>
          <t>75</t>
        </is>
      </c>
      <c r="E119" s="3" t="inlineStr">
        <is>
          <t>Đầu 7</t>
        </is>
      </c>
      <c r="F119" s="3" t="inlineStr">
        <is>
          <t>Đuôi 5</t>
        </is>
      </c>
      <c r="G119" s="3" t="inlineStr">
        <is>
          <t>2, 3, 4</t>
        </is>
      </c>
      <c r="H119" s="7" t="inlineStr">
        <is>
          <t>TRƯỢT ❌</t>
        </is>
      </c>
      <c r="I119" s="3" t="inlineStr">
        <is>
          <t>5, 6, 7</t>
        </is>
      </c>
      <c r="J119" s="6" t="inlineStr">
        <is>
          <t>TRÚNG 🎯</t>
        </is>
      </c>
      <c r="K119" s="3" t="inlineStr">
        <is>
          <t>25, 26, 27, 35, 36, 37, 45, 46, 47</t>
        </is>
      </c>
      <c r="L119" s="7" t="inlineStr">
        <is>
          <t>TRƯỢT ❌</t>
        </is>
      </c>
      <c r="M119" s="6" t="inlineStr">
        <is>
          <t>TRÚNG KHUNG 🎯</t>
        </is>
      </c>
    </row>
    <row r="120">
      <c r="A120" s="2" t="n">
        <v>116</v>
      </c>
      <c r="B120" s="2" t="inlineStr">
        <is>
          <t>Thứ năm ngày 30-04-2026</t>
        </is>
      </c>
      <c r="C120" s="3" t="inlineStr">
        <is>
          <t>96637</t>
        </is>
      </c>
      <c r="D120" s="3" t="inlineStr">
        <is>
          <t>37</t>
        </is>
      </c>
      <c r="E120" s="3" t="inlineStr">
        <is>
          <t>Đầu 3</t>
        </is>
      </c>
      <c r="F120" s="3" t="inlineStr">
        <is>
          <t>Đuôi 7</t>
        </is>
      </c>
      <c r="G120" s="3" t="inlineStr">
        <is>
          <t>2, 3, 5</t>
        </is>
      </c>
      <c r="H120" s="6" t="inlineStr">
        <is>
          <t>TRÚNG 🎯</t>
        </is>
      </c>
      <c r="I120" s="3" t="inlineStr">
        <is>
          <t>6, 7, 8</t>
        </is>
      </c>
      <c r="J120" s="6" t="inlineStr">
        <is>
          <t>TRÚNG 🎯</t>
        </is>
      </c>
      <c r="K120" s="3" t="inlineStr">
        <is>
          <t>26, 27, 28, 36, 37, 38, 56, 57, 58</t>
        </is>
      </c>
      <c r="L120" s="6" t="inlineStr">
        <is>
          <t>TRÚNG 🎯</t>
        </is>
      </c>
      <c r="M120" s="6" t="inlineStr">
        <is>
          <t>TRÚNG KHUNG 🎯</t>
        </is>
      </c>
    </row>
    <row r="121">
      <c r="A121" s="2" t="n">
        <v>117</v>
      </c>
      <c r="B121" s="2" t="inlineStr">
        <is>
          <t>Thứ sáu ngày 01-05-2026</t>
        </is>
      </c>
      <c r="C121" s="3" t="inlineStr">
        <is>
          <t>16132</t>
        </is>
      </c>
      <c r="D121" s="3" t="inlineStr">
        <is>
          <t>32</t>
        </is>
      </c>
      <c r="E121" s="3" t="inlineStr">
        <is>
          <t>Đầu 3</t>
        </is>
      </c>
      <c r="F121" s="3" t="inlineStr">
        <is>
          <t>Đuôi 2</t>
        </is>
      </c>
      <c r="G121" s="3" t="inlineStr">
        <is>
          <t>5, 2, 4</t>
        </is>
      </c>
      <c r="H121" s="7" t="inlineStr">
        <is>
          <t>TRƯỢT ❌</t>
        </is>
      </c>
      <c r="I121" s="3" t="inlineStr">
        <is>
          <t>4, 5, 6</t>
        </is>
      </c>
      <c r="J121" s="7" t="inlineStr">
        <is>
          <t>TRƯỢT ❌</t>
        </is>
      </c>
      <c r="K121" s="3" t="inlineStr">
        <is>
          <t>24, 25, 26, 44, 45, 46, 54, 55, 56</t>
        </is>
      </c>
      <c r="L121" s="7" t="inlineStr">
        <is>
          <t>TRƯỢT ❌</t>
        </is>
      </c>
      <c r="M121" s="7" t="inlineStr">
        <is>
          <t>TRƯỢT KHUNG ❌</t>
        </is>
      </c>
    </row>
    <row r="122">
      <c r="A122" s="2" t="n">
        <v>118</v>
      </c>
      <c r="B122" s="2" t="inlineStr">
        <is>
          <t>Thứ bảy ngày 02-05-2026</t>
        </is>
      </c>
      <c r="C122" s="3" t="inlineStr">
        <is>
          <t>32964</t>
        </is>
      </c>
      <c r="D122" s="3" t="inlineStr">
        <is>
          <t>64</t>
        </is>
      </c>
      <c r="E122" s="3" t="inlineStr">
        <is>
          <t>Đầu 6</t>
        </is>
      </c>
      <c r="F122" s="3" t="inlineStr">
        <is>
          <t>Đuôi 4</t>
        </is>
      </c>
      <c r="G122" s="3" t="inlineStr">
        <is>
          <t>5, 2, 4</t>
        </is>
      </c>
      <c r="H122" s="7" t="inlineStr">
        <is>
          <t>TRƯỢT ❌</t>
        </is>
      </c>
      <c r="I122" s="3" t="inlineStr">
        <is>
          <t>5, 4, 6</t>
        </is>
      </c>
      <c r="J122" s="6" t="inlineStr">
        <is>
          <t>TRÚNG 🎯</t>
        </is>
      </c>
      <c r="K122" s="3" t="inlineStr">
        <is>
          <t>24, 25, 26, 44, 45, 46, 54, 55, 56</t>
        </is>
      </c>
      <c r="L122" s="7" t="inlineStr">
        <is>
          <t>TRƯỢT ❌</t>
        </is>
      </c>
      <c r="M122" s="7" t="inlineStr">
        <is>
          <t>TRƯỢT KHUNG ❌</t>
        </is>
      </c>
    </row>
    <row r="123">
      <c r="A123" s="2" t="n">
        <v>119</v>
      </c>
      <c r="B123" s="2" t="inlineStr">
        <is>
          <t>Chủ nhật ngày 03-05-2026</t>
        </is>
      </c>
      <c r="C123" s="3" t="inlineStr">
        <is>
          <t>11251</t>
        </is>
      </c>
      <c r="D123" s="3" t="inlineStr">
        <is>
          <t>51</t>
        </is>
      </c>
      <c r="E123" s="3" t="inlineStr">
        <is>
          <t>Đầu 5</t>
        </is>
      </c>
      <c r="F123" s="3" t="inlineStr">
        <is>
          <t>Đuôi 1</t>
        </is>
      </c>
      <c r="G123" s="3" t="inlineStr">
        <is>
          <t>5, 2, 3</t>
        </is>
      </c>
      <c r="H123" s="6" t="inlineStr">
        <is>
          <t>TRÚNG 🎯</t>
        </is>
      </c>
      <c r="I123" s="3" t="inlineStr">
        <is>
          <t>5, 6, 8</t>
        </is>
      </c>
      <c r="J123" s="7" t="inlineStr">
        <is>
          <t>TRƯỢT ❌</t>
        </is>
      </c>
      <c r="K123" s="3" t="inlineStr">
        <is>
          <t>25, 26, 28, 35, 36, 38, 55, 56, 58</t>
        </is>
      </c>
      <c r="L123" s="7" t="inlineStr">
        <is>
          <t>TRƯỢT ❌</t>
        </is>
      </c>
      <c r="M123" s="7" t="inlineStr">
        <is>
          <t>TRƯỢT KHUNG ❌</t>
        </is>
      </c>
    </row>
    <row r="124">
      <c r="A124" s="2" t="n">
        <v>120</v>
      </c>
      <c r="B124" s="2" t="inlineStr">
        <is>
          <t>Thứ hai ngày 04-05-2026</t>
        </is>
      </c>
      <c r="C124" s="3" t="inlineStr">
        <is>
          <t>22512</t>
        </is>
      </c>
      <c r="D124" s="3" t="inlineStr">
        <is>
          <t>12</t>
        </is>
      </c>
      <c r="E124" s="3" t="inlineStr">
        <is>
          <t>Đầu 1</t>
        </is>
      </c>
      <c r="F124" s="3" t="inlineStr">
        <is>
          <t>Đuôi 2</t>
        </is>
      </c>
      <c r="G124" s="3" t="inlineStr">
        <is>
          <t>2, 3, 7</t>
        </is>
      </c>
      <c r="H124" s="7" t="inlineStr">
        <is>
          <t>TRƯỢT ❌</t>
        </is>
      </c>
      <c r="I124" s="3" t="inlineStr">
        <is>
          <t>5, 6, 7</t>
        </is>
      </c>
      <c r="J124" s="7" t="inlineStr">
        <is>
          <t>TRƯỢT ❌</t>
        </is>
      </c>
      <c r="K124" s="3" t="inlineStr">
        <is>
          <t>25, 26, 27, 35, 36, 37, 75, 76, 77</t>
        </is>
      </c>
      <c r="L124" s="7" t="inlineStr">
        <is>
          <t>TRƯỢT ❌</t>
        </is>
      </c>
      <c r="M124" s="7" t="inlineStr">
        <is>
          <t>TRƯỢT KHUNG ❌</t>
        </is>
      </c>
    </row>
    <row r="125">
      <c r="A125" s="2" t="n">
        <v>121</v>
      </c>
      <c r="B125" s="2" t="inlineStr">
        <is>
          <t>Thứ ba ngày 05-05-2026</t>
        </is>
      </c>
      <c r="C125" s="3" t="inlineStr">
        <is>
          <t>80241</t>
        </is>
      </c>
      <c r="D125" s="3" t="inlineStr">
        <is>
          <t>41</t>
        </is>
      </c>
      <c r="E125" s="3" t="inlineStr">
        <is>
          <t>Đầu 4</t>
        </is>
      </c>
      <c r="F125" s="3" t="inlineStr">
        <is>
          <t>Đuôi 1</t>
        </is>
      </c>
      <c r="G125" s="3" t="inlineStr">
        <is>
          <t>3, 2, 7</t>
        </is>
      </c>
      <c r="H125" s="7" t="inlineStr">
        <is>
          <t>TRƯỢT ❌</t>
        </is>
      </c>
      <c r="I125" s="3" t="inlineStr">
        <is>
          <t>5, 6, 7</t>
        </is>
      </c>
      <c r="J125" s="7" t="inlineStr">
        <is>
          <t>TRƯỢT ❌</t>
        </is>
      </c>
      <c r="K125" s="3" t="inlineStr">
        <is>
          <t>25, 26, 27, 35, 36, 37, 75, 76, 77</t>
        </is>
      </c>
      <c r="L125" s="7" t="inlineStr">
        <is>
          <t>TRƯỢT ❌</t>
        </is>
      </c>
      <c r="M125" s="7" t="inlineStr">
        <is>
          <t>TRƯỢT KHUNG ❌</t>
        </is>
      </c>
    </row>
    <row r="126">
      <c r="A126" s="2" t="n">
        <v>122</v>
      </c>
      <c r="B126" s="2" t="inlineStr">
        <is>
          <t>Thứ tư ngày 06-05-2026</t>
        </is>
      </c>
      <c r="C126" s="3" t="inlineStr">
        <is>
          <t>14540</t>
        </is>
      </c>
      <c r="D126" s="3" t="inlineStr">
        <is>
          <t>40</t>
        </is>
      </c>
      <c r="E126" s="3" t="inlineStr">
        <is>
          <t>Đầu 4</t>
        </is>
      </c>
      <c r="F126" s="3" t="inlineStr">
        <is>
          <t>Đuôi 0</t>
        </is>
      </c>
      <c r="G126" s="3" t="inlineStr">
        <is>
          <t>3, 2, 5</t>
        </is>
      </c>
      <c r="H126" s="7" t="inlineStr">
        <is>
          <t>TRƯỢT ❌</t>
        </is>
      </c>
      <c r="I126" s="3" t="inlineStr">
        <is>
          <t>5, 4, 7</t>
        </is>
      </c>
      <c r="J126" s="7" t="inlineStr">
        <is>
          <t>TRƯỢT ❌</t>
        </is>
      </c>
      <c r="K126" s="3" t="inlineStr">
        <is>
          <t>24, 25, 27, 34, 35, 37, 54, 55, 57</t>
        </is>
      </c>
      <c r="L126" s="7" t="inlineStr">
        <is>
          <t>TRƯỢT ❌</t>
        </is>
      </c>
      <c r="M126" s="7" t="inlineStr">
        <is>
          <t>TRƯỢT KHUNG ❌</t>
        </is>
      </c>
    </row>
    <row r="127">
      <c r="A127" s="2" t="n">
        <v>123</v>
      </c>
      <c r="B127" s="2" t="inlineStr">
        <is>
          <t>Thứ năm ngày 07-05-2026</t>
        </is>
      </c>
      <c r="C127" s="3" t="inlineStr">
        <is>
          <t>29147</t>
        </is>
      </c>
      <c r="D127" s="3" t="inlineStr">
        <is>
          <t>47</t>
        </is>
      </c>
      <c r="E127" s="3" t="inlineStr">
        <is>
          <t>Đầu 4</t>
        </is>
      </c>
      <c r="F127" s="3" t="inlineStr">
        <is>
          <t>Đuôi 7</t>
        </is>
      </c>
      <c r="G127" s="3" t="inlineStr">
        <is>
          <t>3, 5, 2</t>
        </is>
      </c>
      <c r="H127" s="7" t="inlineStr">
        <is>
          <t>TRƯỢT ❌</t>
        </is>
      </c>
      <c r="I127" s="3" t="inlineStr">
        <is>
          <t>5, 4, 7</t>
        </is>
      </c>
      <c r="J127" s="6" t="inlineStr">
        <is>
          <t>TRÚNG 🎯</t>
        </is>
      </c>
      <c r="K127" s="3" t="inlineStr">
        <is>
          <t>24, 25, 27, 34, 35, 37, 54, 55, 57</t>
        </is>
      </c>
      <c r="L127" s="7" t="inlineStr">
        <is>
          <t>TRƯỢT ❌</t>
        </is>
      </c>
      <c r="M127" s="7" t="inlineStr">
        <is>
          <t>TRƯỢT KHUNG ❌</t>
        </is>
      </c>
    </row>
    <row r="128">
      <c r="A128" s="2" t="n">
        <v>124</v>
      </c>
      <c r="B128" s="2" t="inlineStr">
        <is>
          <t>Thứ sáu ngày 08-05-2026</t>
        </is>
      </c>
      <c r="C128" s="3" t="inlineStr">
        <is>
          <t>26192</t>
        </is>
      </c>
      <c r="D128" s="3" t="inlineStr">
        <is>
          <t>92</t>
        </is>
      </c>
      <c r="E128" s="3" t="inlineStr">
        <is>
          <t>Đầu 9</t>
        </is>
      </c>
      <c r="F128" s="3" t="inlineStr">
        <is>
          <t>Đuôi 2</t>
        </is>
      </c>
      <c r="G128" s="3" t="inlineStr">
        <is>
          <t>3, 2, 5</t>
        </is>
      </c>
      <c r="H128" s="7" t="inlineStr">
        <is>
          <t>TRƯỢT ❌</t>
        </is>
      </c>
      <c r="I128" s="3" t="inlineStr">
        <is>
          <t>5, 4, 8</t>
        </is>
      </c>
      <c r="J128" s="7" t="inlineStr">
        <is>
          <t>TRƯỢT ❌</t>
        </is>
      </c>
      <c r="K128" s="3" t="inlineStr">
        <is>
          <t>24, 25, 28, 34, 35, 38, 54, 55, 58</t>
        </is>
      </c>
      <c r="L128" s="7" t="inlineStr">
        <is>
          <t>TRƯỢT ❌</t>
        </is>
      </c>
      <c r="M128" s="7" t="inlineStr">
        <is>
          <t>TRƯỢT KHUNG ❌</t>
        </is>
      </c>
    </row>
    <row r="129">
      <c r="A129" s="2" t="n">
        <v>125</v>
      </c>
      <c r="B129" s="2" t="inlineStr">
        <is>
          <t>Thứ bảy ngày 09-05-2026</t>
        </is>
      </c>
      <c r="C129" s="3" t="inlineStr">
        <is>
          <t>76223</t>
        </is>
      </c>
      <c r="D129" s="3" t="inlineStr">
        <is>
          <t>23</t>
        </is>
      </c>
      <c r="E129" s="3" t="inlineStr">
        <is>
          <t>Đầu 2</t>
        </is>
      </c>
      <c r="F129" s="3" t="inlineStr">
        <is>
          <t>Đuôi 3</t>
        </is>
      </c>
      <c r="G129" s="3" t="inlineStr">
        <is>
          <t>3, 5, 1</t>
        </is>
      </c>
      <c r="H129" s="7" t="inlineStr">
        <is>
          <t>TRƯỢT ❌</t>
        </is>
      </c>
      <c r="I129" s="3" t="inlineStr">
        <is>
          <t>4, 5, 8</t>
        </is>
      </c>
      <c r="J129" s="7" t="inlineStr">
        <is>
          <t>TRƯỢT ❌</t>
        </is>
      </c>
      <c r="K129" s="3" t="inlineStr">
        <is>
          <t>14, 15, 18, 34, 35, 38, 54, 55, 58</t>
        </is>
      </c>
      <c r="L129" s="7" t="inlineStr">
        <is>
          <t>TRƯỢT ❌</t>
        </is>
      </c>
      <c r="M129" s="7" t="inlineStr">
        <is>
          <t>TRƯỢT KHUNG ❌</t>
        </is>
      </c>
    </row>
    <row r="130">
      <c r="A130" s="2" t="n">
        <v>126</v>
      </c>
      <c r="B130" s="2" t="inlineStr">
        <is>
          <t>Chủ nhật ngày 10-05-2026</t>
        </is>
      </c>
      <c r="C130" s="3" t="inlineStr">
        <is>
          <t>52117</t>
        </is>
      </c>
      <c r="D130" s="3" t="inlineStr">
        <is>
          <t>17</t>
        </is>
      </c>
      <c r="E130" s="3" t="inlineStr">
        <is>
          <t>Đầu 1</t>
        </is>
      </c>
      <c r="F130" s="3" t="inlineStr">
        <is>
          <t>Đuôi 7</t>
        </is>
      </c>
      <c r="G130" s="3" t="inlineStr">
        <is>
          <t>3, 5, 4</t>
        </is>
      </c>
      <c r="H130" s="7" t="inlineStr">
        <is>
          <t>TRƯỢT ❌</t>
        </is>
      </c>
      <c r="I130" s="3" t="inlineStr">
        <is>
          <t>4, 5, 8</t>
        </is>
      </c>
      <c r="J130" s="7" t="inlineStr">
        <is>
          <t>TRƯỢT ❌</t>
        </is>
      </c>
      <c r="K130" s="3" t="inlineStr">
        <is>
          <t>34, 35, 38, 44, 45, 48, 54, 55, 58</t>
        </is>
      </c>
      <c r="L130" s="7" t="inlineStr">
        <is>
          <t>TRƯỢT ❌</t>
        </is>
      </c>
      <c r="M130" s="6" t="inlineStr">
        <is>
          <t>TRÚNG KHUNG 🎯</t>
        </is>
      </c>
    </row>
    <row r="131">
      <c r="A131" s="2" t="n">
        <v>127</v>
      </c>
      <c r="B131" s="2" t="inlineStr">
        <is>
          <t>Thứ hai ngày 11-05-2026</t>
        </is>
      </c>
      <c r="C131" s="3" t="inlineStr">
        <is>
          <t>52233</t>
        </is>
      </c>
      <c r="D131" s="3" t="inlineStr">
        <is>
          <t>33</t>
        </is>
      </c>
      <c r="E131" s="3" t="inlineStr">
        <is>
          <t>Đầu 3</t>
        </is>
      </c>
      <c r="F131" s="3" t="inlineStr">
        <is>
          <t>Đuôi 3</t>
        </is>
      </c>
      <c r="G131" s="3" t="inlineStr">
        <is>
          <t>3, 4, 5</t>
        </is>
      </c>
      <c r="H131" s="6" t="inlineStr">
        <is>
          <t>TRÚNG 🎯</t>
        </is>
      </c>
      <c r="I131" s="3" t="inlineStr">
        <is>
          <t>5, 4, 8</t>
        </is>
      </c>
      <c r="J131" s="7" t="inlineStr">
        <is>
          <t>TRƯỢT ❌</t>
        </is>
      </c>
      <c r="K131" s="3" t="inlineStr">
        <is>
          <t>34, 35, 38, 44, 45, 48, 54, 55, 58</t>
        </is>
      </c>
      <c r="L131" s="7" t="inlineStr">
        <is>
          <t>TRƯỢT ❌</t>
        </is>
      </c>
      <c r="M131" s="6" t="inlineStr">
        <is>
          <t>TRÚNG KHUNG 🎯</t>
        </is>
      </c>
    </row>
    <row r="132">
      <c r="A132" s="2" t="n">
        <v>128</v>
      </c>
      <c r="B132" s="2" t="inlineStr">
        <is>
          <t>Thứ ba ngày 12-05-2026</t>
        </is>
      </c>
      <c r="C132" s="3" t="inlineStr">
        <is>
          <t>64138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4, 5, 6</t>
        </is>
      </c>
      <c r="H132" s="7" t="inlineStr">
        <is>
          <t>TRƯỢT ❌</t>
        </is>
      </c>
      <c r="I132" s="3" t="inlineStr">
        <is>
          <t>5, 2, 4</t>
        </is>
      </c>
      <c r="J132" s="7" t="inlineStr">
        <is>
          <t>TRƯỢT ❌</t>
        </is>
      </c>
      <c r="K132" s="3" t="inlineStr">
        <is>
          <t>42, 44, 45, 52, 54, 55, 62, 64, 65</t>
        </is>
      </c>
      <c r="L132" s="7" t="inlineStr">
        <is>
          <t>TRƯỢT ❌</t>
        </is>
      </c>
      <c r="M132" s="7" t="inlineStr">
        <is>
          <t>TRƯỢT KHUNG ❌</t>
        </is>
      </c>
    </row>
    <row r="133">
      <c r="A133" s="2" t="n">
        <v>129</v>
      </c>
      <c r="B133" s="2" t="inlineStr">
        <is>
          <t>Thứ tư ngày 13-05-2026</t>
        </is>
      </c>
      <c r="C133" s="3" t="inlineStr">
        <is>
          <t>76669</t>
        </is>
      </c>
      <c r="D133" s="3" t="inlineStr">
        <is>
          <t>69</t>
        </is>
      </c>
      <c r="E133" s="3" t="inlineStr">
        <is>
          <t>Đầu 6</t>
        </is>
      </c>
      <c r="F133" s="3" t="inlineStr">
        <is>
          <t>Đuôi 9</t>
        </is>
      </c>
      <c r="G133" s="3" t="inlineStr">
        <is>
          <t>4, 5, 2</t>
        </is>
      </c>
      <c r="H133" s="7" t="inlineStr">
        <is>
          <t>TRƯỢT ❌</t>
        </is>
      </c>
      <c r="I133" s="3" t="inlineStr">
        <is>
          <t>5, 7, 2</t>
        </is>
      </c>
      <c r="J133" s="7" t="inlineStr">
        <is>
          <t>TRƯỢT ❌</t>
        </is>
      </c>
      <c r="K133" s="3" t="inlineStr">
        <is>
          <t>22, 25, 27, 42, 45, 47, 52, 55, 57</t>
        </is>
      </c>
      <c r="L133" s="7" t="inlineStr">
        <is>
          <t>TRƯỢT ❌</t>
        </is>
      </c>
      <c r="M133" s="7" t="inlineStr">
        <is>
          <t>TRƯỢT KHUNG ❌</t>
        </is>
      </c>
    </row>
    <row r="134">
      <c r="A134" s="2" t="n">
        <v>130</v>
      </c>
      <c r="B134" s="2" t="inlineStr">
        <is>
          <t>Thứ năm ngày 14-05-2026</t>
        </is>
      </c>
      <c r="C134" s="3" t="inlineStr">
        <is>
          <t>67294</t>
        </is>
      </c>
      <c r="D134" s="3" t="inlineStr">
        <is>
          <t>94</t>
        </is>
      </c>
      <c r="E134" s="3" t="inlineStr">
        <is>
          <t>Đầu 9</t>
        </is>
      </c>
      <c r="F134" s="3" t="inlineStr">
        <is>
          <t>Đuôi 4</t>
        </is>
      </c>
      <c r="G134" s="3" t="inlineStr">
        <is>
          <t>4, 1, 5</t>
        </is>
      </c>
      <c r="H134" s="7" t="inlineStr">
        <is>
          <t>TRƯỢT ❌</t>
        </is>
      </c>
      <c r="I134" s="3" t="inlineStr">
        <is>
          <t>7, 5, 2</t>
        </is>
      </c>
      <c r="J134" s="7" t="inlineStr">
        <is>
          <t>TRƯỢT ❌</t>
        </is>
      </c>
      <c r="K134" s="3" t="inlineStr">
        <is>
          <t>12, 15, 17, 42, 45, 47, 52, 55, 57</t>
        </is>
      </c>
      <c r="L134" s="7" t="inlineStr">
        <is>
          <t>TRƯỢT ❌</t>
        </is>
      </c>
      <c r="M134" s="7" t="inlineStr">
        <is>
          <t>TRƯỢT KHUNG ❌</t>
        </is>
      </c>
    </row>
    <row r="135">
      <c r="A135" s="2" t="n">
        <v>131</v>
      </c>
      <c r="B135" s="2" t="inlineStr">
        <is>
          <t>Thứ sáu ngày 15-05-2026</t>
        </is>
      </c>
      <c r="C135" s="3" t="inlineStr">
        <is>
          <t>19404</t>
        </is>
      </c>
      <c r="D135" s="3" t="inlineStr">
        <is>
          <t>04</t>
        </is>
      </c>
      <c r="E135" s="3" t="inlineStr">
        <is>
          <t>Đầu 0</t>
        </is>
      </c>
      <c r="F135" s="3" t="inlineStr">
        <is>
          <t>Đuôi 4</t>
        </is>
      </c>
      <c r="G135" s="3" t="inlineStr">
        <is>
          <t>4, 3, 5</t>
        </is>
      </c>
      <c r="H135" s="7" t="inlineStr">
        <is>
          <t>TRƯỢT ❌</t>
        </is>
      </c>
      <c r="I135" s="3" t="inlineStr">
        <is>
          <t>7, 5, 2</t>
        </is>
      </c>
      <c r="J135" s="7" t="inlineStr">
        <is>
          <t>TRƯỢT ❌</t>
        </is>
      </c>
      <c r="K135" s="3" t="inlineStr">
        <is>
          <t>32, 35, 37, 42, 45, 47, 52, 55, 57</t>
        </is>
      </c>
      <c r="L135" s="7" t="inlineStr">
        <is>
          <t>TRƯỢT ❌</t>
        </is>
      </c>
      <c r="M135" s="7" t="inlineStr">
        <is>
          <t>TRƯỢT KHUNG ❌</t>
        </is>
      </c>
    </row>
    <row r="136">
      <c r="A136" s="2" t="n">
        <v>132</v>
      </c>
      <c r="B136" s="2" t="inlineStr">
        <is>
          <t>Thứ bảy ngày 16-05-2026</t>
        </is>
      </c>
      <c r="C136" s="3" t="inlineStr">
        <is>
          <t>96684</t>
        </is>
      </c>
      <c r="D136" s="3" t="inlineStr">
        <is>
          <t>84</t>
        </is>
      </c>
      <c r="E136" s="3" t="inlineStr">
        <is>
          <t>Đầu 8</t>
        </is>
      </c>
      <c r="F136" s="3" t="inlineStr">
        <is>
          <t>Đuôi 4</t>
        </is>
      </c>
      <c r="G136" s="3" t="inlineStr">
        <is>
          <t>3, 4, 5</t>
        </is>
      </c>
      <c r="H136" s="7" t="inlineStr">
        <is>
          <t>TRƯỢT ❌</t>
        </is>
      </c>
      <c r="I136" s="3" t="inlineStr">
        <is>
          <t>7, 2, 3</t>
        </is>
      </c>
      <c r="J136" s="7" t="inlineStr">
        <is>
          <t>TRƯỢT ❌</t>
        </is>
      </c>
      <c r="K136" s="3" t="inlineStr">
        <is>
          <t>32, 33, 37, 42, 43, 47, 52, 53, 57</t>
        </is>
      </c>
      <c r="L136" s="7" t="inlineStr">
        <is>
          <t>TRƯỢT ❌</t>
        </is>
      </c>
      <c r="M136" s="7" t="inlineStr">
        <is>
          <t>TRƯỢT KHUNG ❌</t>
        </is>
      </c>
    </row>
    <row r="137">
      <c r="A137" s="2" t="n">
        <v>133</v>
      </c>
      <c r="B137" s="2" t="inlineStr">
        <is>
          <t>Chủ nhật ngày 17-05-2026</t>
        </is>
      </c>
      <c r="C137" s="3" t="inlineStr">
        <is>
          <t>55361</t>
        </is>
      </c>
      <c r="D137" s="3" t="inlineStr">
        <is>
          <t>61</t>
        </is>
      </c>
      <c r="E137" s="3" t="inlineStr">
        <is>
          <t>Đầu 6</t>
        </is>
      </c>
      <c r="F137" s="3" t="inlineStr">
        <is>
          <t>Đuôi 1</t>
        </is>
      </c>
      <c r="G137" s="3" t="inlineStr">
        <is>
          <t>3, 4, 1</t>
        </is>
      </c>
      <c r="H137" s="7" t="inlineStr">
        <is>
          <t>TRƯỢT ❌</t>
        </is>
      </c>
      <c r="I137" s="3" t="inlineStr">
        <is>
          <t>7, 9, 2</t>
        </is>
      </c>
      <c r="J137" s="7" t="inlineStr">
        <is>
          <t>TRƯỢT ❌</t>
        </is>
      </c>
      <c r="K137" s="3" t="inlineStr">
        <is>
          <t>12, 17, 19, 32, 37, 39, 42, 47, 49</t>
        </is>
      </c>
      <c r="L137" s="7" t="inlineStr">
        <is>
          <t>TRƯỢT ❌</t>
        </is>
      </c>
      <c r="M137" s="7" t="inlineStr">
        <is>
          <t>TRƯỢT KHUNG ❌</t>
        </is>
      </c>
    </row>
    <row r="138">
      <c r="A138" s="2" t="n">
        <v>134</v>
      </c>
      <c r="B138" s="2" t="inlineStr">
        <is>
          <t>Thứ hai ngày 18-05-2026</t>
        </is>
      </c>
      <c r="C138" s="3" t="inlineStr">
        <is>
          <t>81754</t>
        </is>
      </c>
      <c r="D138" s="3" t="inlineStr">
        <is>
          <t>54</t>
        </is>
      </c>
      <c r="E138" s="3" t="inlineStr">
        <is>
          <t>Đầu 5</t>
        </is>
      </c>
      <c r="F138" s="3" t="inlineStr">
        <is>
          <t>Đuôi 4</t>
        </is>
      </c>
      <c r="G138" s="3" t="inlineStr">
        <is>
          <t>3, 4, 1</t>
        </is>
      </c>
      <c r="H138" s="7" t="inlineStr">
        <is>
          <t>TRƯỢT ❌</t>
        </is>
      </c>
      <c r="I138" s="3" t="inlineStr">
        <is>
          <t>7, 9, 2</t>
        </is>
      </c>
      <c r="J138" s="7" t="inlineStr">
        <is>
          <t>TRƯỢT ❌</t>
        </is>
      </c>
      <c r="K138" s="3" t="inlineStr">
        <is>
          <t>12, 17, 19, 32, 37, 39, 42, 47, 49</t>
        </is>
      </c>
      <c r="L138" s="7" t="inlineStr">
        <is>
          <t>TRƯỢT ❌</t>
        </is>
      </c>
      <c r="M138" s="7" t="inlineStr">
        <is>
          <t>TRƯỢT KHUNG ❌</t>
        </is>
      </c>
    </row>
    <row r="139">
      <c r="A139" s="2" t="n">
        <v>135</v>
      </c>
      <c r="B139" s="2" t="inlineStr">
        <is>
          <t>Thứ ba ngày 19-05-2026</t>
        </is>
      </c>
      <c r="C139" s="3" t="inlineStr">
        <is>
          <t>88568</t>
        </is>
      </c>
      <c r="D139" s="3" t="inlineStr">
        <is>
          <t>68</t>
        </is>
      </c>
      <c r="E139" s="3" t="inlineStr">
        <is>
          <t>Đầu 6</t>
        </is>
      </c>
      <c r="F139" s="3" t="inlineStr">
        <is>
          <t>Đuôi 8</t>
        </is>
      </c>
      <c r="G139" s="3" t="inlineStr">
        <is>
          <t>3, 4, 1</t>
        </is>
      </c>
      <c r="H139" s="7" t="inlineStr">
        <is>
          <t>TRƯỢT ❌</t>
        </is>
      </c>
      <c r="I139" s="3" t="inlineStr">
        <is>
          <t>7, 9, 2</t>
        </is>
      </c>
      <c r="J139" s="7" t="inlineStr">
        <is>
          <t>TRƯỢT ❌</t>
        </is>
      </c>
      <c r="K139" s="3" t="inlineStr">
        <is>
          <t>12, 17, 19, 32, 37, 39, 42, 47, 49</t>
        </is>
      </c>
      <c r="L139" s="7" t="inlineStr">
        <is>
          <t>TRƯỢT ❌</t>
        </is>
      </c>
      <c r="M139" s="6" t="inlineStr">
        <is>
          <t>TRÚNG KHUNG 🎯</t>
        </is>
      </c>
    </row>
    <row r="140">
      <c r="A140" s="2" t="n">
        <v>136</v>
      </c>
      <c r="B140" s="2" t="inlineStr">
        <is>
          <t>Thứ tư ngày 20-05-2026</t>
        </is>
      </c>
      <c r="C140" s="3" t="inlineStr">
        <is>
          <t>72685</t>
        </is>
      </c>
      <c r="D140" s="3" t="inlineStr">
        <is>
          <t>85</t>
        </is>
      </c>
      <c r="E140" s="3" t="inlineStr">
        <is>
          <t>Đầu 8</t>
        </is>
      </c>
      <c r="F140" s="3" t="inlineStr">
        <is>
          <t>Đuôi 5</t>
        </is>
      </c>
      <c r="G140" s="3" t="inlineStr">
        <is>
          <t>3, 4, 1</t>
        </is>
      </c>
      <c r="H140" s="7" t="inlineStr">
        <is>
          <t>TRƯỢT ❌</t>
        </is>
      </c>
      <c r="I140" s="3" t="inlineStr">
        <is>
          <t>7, 9, 4</t>
        </is>
      </c>
      <c r="J140" s="7" t="inlineStr">
        <is>
          <t>TRƯỢT ❌</t>
        </is>
      </c>
      <c r="K140" s="3" t="inlineStr">
        <is>
          <t>14, 17, 19, 34, 37, 39, 44, 47, 49</t>
        </is>
      </c>
      <c r="L140" s="7" t="inlineStr">
        <is>
          <t>TRƯỢT ❌</t>
        </is>
      </c>
      <c r="M140" s="6" t="inlineStr">
        <is>
          <t>TRÚNG KHUNG 🎯</t>
        </is>
      </c>
    </row>
    <row r="141">
      <c r="A141" s="2" t="n">
        <v>137</v>
      </c>
      <c r="B141" s="2" t="inlineStr">
        <is>
          <t>Thứ năm ngày 21-05-2026</t>
        </is>
      </c>
      <c r="C141" s="3" t="inlineStr">
        <is>
          <t>72939</t>
        </is>
      </c>
      <c r="D141" s="3" t="inlineStr">
        <is>
          <t>39</t>
        </is>
      </c>
      <c r="E141" s="3" t="inlineStr">
        <is>
          <t>Đầu 3</t>
        </is>
      </c>
      <c r="F141" s="3" t="inlineStr">
        <is>
          <t>Đuôi 9</t>
        </is>
      </c>
      <c r="G141" s="3" t="inlineStr">
        <is>
          <t>3, 4, 1</t>
        </is>
      </c>
      <c r="H141" s="6" t="inlineStr">
        <is>
          <t>TRÚNG 🎯</t>
        </is>
      </c>
      <c r="I141" s="3" t="inlineStr">
        <is>
          <t>4, 7, 9</t>
        </is>
      </c>
      <c r="J141" s="6" t="inlineStr">
        <is>
          <t>TRÚNG 🎯</t>
        </is>
      </c>
      <c r="K141" s="3" t="inlineStr">
        <is>
          <t>14, 17, 19, 34, 37, 39, 44, 47, 49</t>
        </is>
      </c>
      <c r="L141" s="6" t="inlineStr">
        <is>
          <t>TRÚNG 🎯</t>
        </is>
      </c>
      <c r="M141" s="6" t="inlineStr">
        <is>
          <t>TRÚNG KHUNG 🎯</t>
        </is>
      </c>
    </row>
    <row r="142">
      <c r="A142" s="2" t="n">
        <v>138</v>
      </c>
      <c r="B142" s="2" t="inlineStr">
        <is>
          <t>Thứ sáu ngày 22-05-2026</t>
        </is>
      </c>
      <c r="C142" s="3" t="inlineStr">
        <is>
          <t>38021</t>
        </is>
      </c>
      <c r="D142" s="3" t="inlineStr">
        <is>
          <t>21</t>
        </is>
      </c>
      <c r="E142" s="3" t="inlineStr">
        <is>
          <t>Đầu 2</t>
        </is>
      </c>
      <c r="F142" s="3" t="inlineStr">
        <is>
          <t>Đuôi 1</t>
        </is>
      </c>
      <c r="G142" s="3" t="inlineStr">
        <is>
          <t>5, 6, 1</t>
        </is>
      </c>
      <c r="H142" s="7" t="inlineStr">
        <is>
          <t>TRƯỢT ❌</t>
        </is>
      </c>
      <c r="I142" s="3" t="inlineStr">
        <is>
          <t>4, 7, 1</t>
        </is>
      </c>
      <c r="J142" s="6" t="inlineStr">
        <is>
          <t>TRÚNG 🎯</t>
        </is>
      </c>
      <c r="K142" s="3" t="inlineStr">
        <is>
          <t>11, 14, 17, 51, 54, 57, 61, 64, 67</t>
        </is>
      </c>
      <c r="L142" s="7" t="inlineStr">
        <is>
          <t>TRƯỢT ❌</t>
        </is>
      </c>
      <c r="M142" s="7" t="inlineStr">
        <is>
          <t>TRƯỢT KHUNG ❌</t>
        </is>
      </c>
    </row>
    <row r="143">
      <c r="A143" s="2" t="n">
        <v>139</v>
      </c>
      <c r="B143" s="2" t="inlineStr">
        <is>
          <t>Thứ bảy ngày 23-05-2026</t>
        </is>
      </c>
      <c r="C143" s="3" t="inlineStr">
        <is>
          <t>20104</t>
        </is>
      </c>
      <c r="D143" s="3" t="inlineStr">
        <is>
          <t>04</t>
        </is>
      </c>
      <c r="E143" s="3" t="inlineStr">
        <is>
          <t>Đầu 0</t>
        </is>
      </c>
      <c r="F143" s="3" t="inlineStr">
        <is>
          <t>Đuôi 4</t>
        </is>
      </c>
      <c r="G143" s="3" t="inlineStr">
        <is>
          <t>6, 5, 1</t>
        </is>
      </c>
      <c r="H143" s="7" t="inlineStr">
        <is>
          <t>TRƯỢT ❌</t>
        </is>
      </c>
      <c r="I143" s="3" t="inlineStr">
        <is>
          <t>4, 7, 2</t>
        </is>
      </c>
      <c r="J143" s="6" t="inlineStr">
        <is>
          <t>TRÚNG 🎯</t>
        </is>
      </c>
      <c r="K143" s="3" t="inlineStr">
        <is>
          <t>12, 14, 17, 52, 54, 57, 62, 64, 67</t>
        </is>
      </c>
      <c r="L143" s="7" t="inlineStr">
        <is>
          <t>TRƯỢT ❌</t>
        </is>
      </c>
      <c r="M143" s="7" t="inlineStr">
        <is>
          <t>TRƯỢT KHUNG ❌</t>
        </is>
      </c>
    </row>
    <row r="144">
      <c r="A144" s="2" t="n">
        <v>140</v>
      </c>
      <c r="B144" s="2" t="inlineStr">
        <is>
          <t>Chủ nhật ngày 24-05-2026</t>
        </is>
      </c>
      <c r="C144" s="3" t="inlineStr">
        <is>
          <t>97281</t>
        </is>
      </c>
      <c r="D144" s="3" t="inlineStr">
        <is>
          <t>81</t>
        </is>
      </c>
      <c r="E144" s="3" t="inlineStr">
        <is>
          <t>Đầu 8</t>
        </is>
      </c>
      <c r="F144" s="3" t="inlineStr">
        <is>
          <t>Đuôi 1</t>
        </is>
      </c>
      <c r="G144" s="3" t="inlineStr">
        <is>
          <t>6, 5, 3</t>
        </is>
      </c>
      <c r="H144" s="7" t="inlineStr">
        <is>
          <t>TRƯỢT ❌</t>
        </is>
      </c>
      <c r="I144" s="3" t="inlineStr">
        <is>
          <t>7, 4, 2</t>
        </is>
      </c>
      <c r="J144" s="7" t="inlineStr">
        <is>
          <t>TRƯỢT ❌</t>
        </is>
      </c>
      <c r="K144" s="3" t="inlineStr">
        <is>
          <t>32, 34, 37, 52, 54, 57, 62, 64, 67</t>
        </is>
      </c>
      <c r="L144" s="7" t="inlineStr">
        <is>
          <t>TRƯỢT ❌</t>
        </is>
      </c>
      <c r="M144" s="7" t="inlineStr">
        <is>
          <t>TRƯỢT KHUNG ❌</t>
        </is>
      </c>
    </row>
    <row r="145">
      <c r="A145" s="2" t="n">
        <v>141</v>
      </c>
      <c r="B145" s="2" t="inlineStr">
        <is>
          <t>Thứ hai ngày 25-05-2026</t>
        </is>
      </c>
      <c r="C145" s="3" t="inlineStr">
        <is>
          <t>49111</t>
        </is>
      </c>
      <c r="D145" s="3" t="inlineStr">
        <is>
          <t>11</t>
        </is>
      </c>
      <c r="E145" s="3" t="inlineStr">
        <is>
          <t>Đầu 1</t>
        </is>
      </c>
      <c r="F145" s="3" t="inlineStr">
        <is>
          <t>Đuôi 1</t>
        </is>
      </c>
      <c r="G145" s="3" t="inlineStr">
        <is>
          <t>3, 6, 5</t>
        </is>
      </c>
      <c r="H145" s="7" t="inlineStr">
        <is>
          <t>TRƯỢT ❌</t>
        </is>
      </c>
      <c r="I145" s="3" t="inlineStr">
        <is>
          <t>4, 9, 7</t>
        </is>
      </c>
      <c r="J145" s="7" t="inlineStr">
        <is>
          <t>TRƯỢT ❌</t>
        </is>
      </c>
      <c r="K145" s="3" t="inlineStr">
        <is>
          <t>34, 37, 39, 54, 57, 59, 64, 67, 69</t>
        </is>
      </c>
      <c r="L145" s="7" t="inlineStr">
        <is>
          <t>TRƯỢT ❌</t>
        </is>
      </c>
      <c r="M145" s="7" t="inlineStr">
        <is>
          <t>TRƯỢT KHUNG ❌</t>
        </is>
      </c>
    </row>
    <row r="146">
      <c r="A146" s="2" t="n">
        <v>142</v>
      </c>
      <c r="B146" s="2" t="inlineStr">
        <is>
          <t>Thứ ba ngày 26-05-2026</t>
        </is>
      </c>
      <c r="C146" s="3" t="inlineStr">
        <is>
          <t>61513</t>
        </is>
      </c>
      <c r="D146" s="3" t="inlineStr">
        <is>
          <t>13</t>
        </is>
      </c>
      <c r="E146" s="3" t="inlineStr">
        <is>
          <t>Đầu 1</t>
        </is>
      </c>
      <c r="F146" s="3" t="inlineStr">
        <is>
          <t>Đuôi 3</t>
        </is>
      </c>
      <c r="G146" s="3" t="inlineStr">
        <is>
          <t>3, 6, 5</t>
        </is>
      </c>
      <c r="H146" s="7" t="inlineStr">
        <is>
          <t>TRƯỢT ❌</t>
        </is>
      </c>
      <c r="I146" s="3" t="inlineStr">
        <is>
          <t>4, 9, 7</t>
        </is>
      </c>
      <c r="J146" s="7" t="inlineStr">
        <is>
          <t>TRƯỢT ❌</t>
        </is>
      </c>
      <c r="K146" s="3" t="inlineStr">
        <is>
          <t>34, 37, 39, 54, 57, 59, 64, 67, 69</t>
        </is>
      </c>
      <c r="L146" s="7" t="inlineStr">
        <is>
          <t>TRƯỢT ❌</t>
        </is>
      </c>
      <c r="M146" s="6" t="inlineStr">
        <is>
          <t>TRÚNG KHUNG 🎯</t>
        </is>
      </c>
    </row>
    <row r="147">
      <c r="A147" s="2" t="n">
        <v>143</v>
      </c>
      <c r="B147" s="2" t="inlineStr">
        <is>
          <t>Thứ tư ngày 27-05-2026</t>
        </is>
      </c>
      <c r="C147" s="3" t="inlineStr">
        <is>
          <t>00250</t>
        </is>
      </c>
      <c r="D147" s="3" t="inlineStr">
        <is>
          <t>50</t>
        </is>
      </c>
      <c r="E147" s="3" t="inlineStr">
        <is>
          <t>Đầu 5</t>
        </is>
      </c>
      <c r="F147" s="3" t="inlineStr">
        <is>
          <t>Đuôi 0</t>
        </is>
      </c>
      <c r="G147" s="3" t="inlineStr">
        <is>
          <t>3, 6, 5</t>
        </is>
      </c>
      <c r="H147" s="6" t="inlineStr">
        <is>
          <t>TRÚNG 🎯</t>
        </is>
      </c>
      <c r="I147" s="3" t="inlineStr">
        <is>
          <t>4, 1, 9</t>
        </is>
      </c>
      <c r="J147" s="7" t="inlineStr">
        <is>
          <t>TRƯỢT ❌</t>
        </is>
      </c>
      <c r="K147" s="3" t="inlineStr">
        <is>
          <t>31, 34, 39, 51, 54, 59, 61, 64, 69</t>
        </is>
      </c>
      <c r="L147" s="7" t="inlineStr">
        <is>
          <t>TRƯỢT ❌</t>
        </is>
      </c>
      <c r="M147" s="6" t="inlineStr">
        <is>
          <t>TRÚNG KHUNG 🎯</t>
        </is>
      </c>
    </row>
    <row r="148">
      <c r="A148" s="2" t="n">
        <v>144</v>
      </c>
      <c r="B148" s="2" t="inlineStr">
        <is>
          <t>Thứ năm ngày 28-05-2026</t>
        </is>
      </c>
      <c r="C148" s="3" t="inlineStr">
        <is>
          <t>77954</t>
        </is>
      </c>
      <c r="D148" s="3" t="inlineStr">
        <is>
          <t>54</t>
        </is>
      </c>
      <c r="E148" s="3" t="inlineStr">
        <is>
          <t>Đầu 5</t>
        </is>
      </c>
      <c r="F148" s="3" t="inlineStr">
        <is>
          <t>Đuôi 4</t>
        </is>
      </c>
      <c r="G148" s="3" t="inlineStr">
        <is>
          <t>3, 6, 8</t>
        </is>
      </c>
      <c r="H148" s="7" t="inlineStr">
        <is>
          <t>TRƯỢT ❌</t>
        </is>
      </c>
      <c r="I148" s="3" t="inlineStr">
        <is>
          <t>4, 1, 9</t>
        </is>
      </c>
      <c r="J148" s="6" t="inlineStr">
        <is>
          <t>TRÚNG 🎯</t>
        </is>
      </c>
      <c r="K148" s="3" t="inlineStr">
        <is>
          <t>31, 34, 39, 61, 64, 69, 81, 84, 89</t>
        </is>
      </c>
      <c r="L148" s="7" t="inlineStr">
        <is>
          <t>TRƯỢT ❌</t>
        </is>
      </c>
      <c r="M148" s="7" t="inlineStr">
        <is>
          <t>TRƯỢT KHUNG ❌</t>
        </is>
      </c>
    </row>
    <row r="149">
      <c r="A149" s="2" t="n">
        <v>145</v>
      </c>
      <c r="B149" s="2" t="inlineStr">
        <is>
          <t>Thứ sáu ngày 29-05-2026</t>
        </is>
      </c>
      <c r="C149" s="3" t="inlineStr">
        <is>
          <t>17743</t>
        </is>
      </c>
      <c r="D149" s="3" t="inlineStr">
        <is>
          <t>43</t>
        </is>
      </c>
      <c r="E149" s="3" t="inlineStr">
        <is>
          <t>Đầu 4</t>
        </is>
      </c>
      <c r="F149" s="3" t="inlineStr">
        <is>
          <t>Đuôi 3</t>
        </is>
      </c>
      <c r="G149" s="3" t="inlineStr">
        <is>
          <t>3, 6, 8</t>
        </is>
      </c>
      <c r="H149" s="7" t="inlineStr">
        <is>
          <t>TRƯỢT ❌</t>
        </is>
      </c>
      <c r="I149" s="3" t="inlineStr">
        <is>
          <t>1, 4, 5</t>
        </is>
      </c>
      <c r="J149" s="7" t="inlineStr">
        <is>
          <t>TRƯỢT ❌</t>
        </is>
      </c>
      <c r="K149" s="3" t="inlineStr">
        <is>
          <t>31, 34, 35, 61, 64, 65, 81, 84, 85</t>
        </is>
      </c>
      <c r="L149" s="7" t="inlineStr">
        <is>
          <t>TRƯỢT ❌</t>
        </is>
      </c>
      <c r="M149" s="7" t="inlineStr">
        <is>
          <t>TRƯỢT KHUNG ❌</t>
        </is>
      </c>
    </row>
    <row r="150">
      <c r="A150" s="2" t="n">
        <v>146</v>
      </c>
      <c r="B150" s="2" t="inlineStr">
        <is>
          <t>Thứ bảy ngày 30-05-2026</t>
        </is>
      </c>
      <c r="C150" s="3" t="inlineStr">
        <is>
          <t>24042</t>
        </is>
      </c>
      <c r="D150" s="3" t="inlineStr">
        <is>
          <t>42</t>
        </is>
      </c>
      <c r="E150" s="3" t="inlineStr">
        <is>
          <t>Đầu 4</t>
        </is>
      </c>
      <c r="F150" s="3" t="inlineStr">
        <is>
          <t>Đuôi 2</t>
        </is>
      </c>
      <c r="G150" s="3" t="inlineStr">
        <is>
          <t>3, 1, 6</t>
        </is>
      </c>
      <c r="H150" s="7" t="inlineStr">
        <is>
          <t>TRƯỢT ❌</t>
        </is>
      </c>
      <c r="I150" s="3" t="inlineStr">
        <is>
          <t>1, 4, 8</t>
        </is>
      </c>
      <c r="J150" s="7" t="inlineStr">
        <is>
          <t>TRƯỢT ❌</t>
        </is>
      </c>
      <c r="K150" s="3" t="inlineStr">
        <is>
          <t>11, 14, 18, 31, 34, 38, 61, 64, 68</t>
        </is>
      </c>
      <c r="L150" s="7" t="inlineStr">
        <is>
          <t>TRƯỢT ❌</t>
        </is>
      </c>
      <c r="M150" s="7" t="inlineStr">
        <is>
          <t>TRƯỢT KHUNG ❌</t>
        </is>
      </c>
    </row>
    <row r="151">
      <c r="A151" s="2" t="n">
        <v>147</v>
      </c>
      <c r="B151" s="2" t="inlineStr">
        <is>
          <t>Chủ nhật ngày 31-05-2026</t>
        </is>
      </c>
      <c r="C151" s="3" t="inlineStr">
        <is>
          <t>90353</t>
        </is>
      </c>
      <c r="D151" s="3" t="inlineStr">
        <is>
          <t>53</t>
        </is>
      </c>
      <c r="E151" s="3" t="inlineStr">
        <is>
          <t>Đầu 5</t>
        </is>
      </c>
      <c r="F151" s="3" t="inlineStr">
        <is>
          <t>Đuôi 3</t>
        </is>
      </c>
      <c r="G151" s="3" t="inlineStr">
        <is>
          <t>1, 3, 6</t>
        </is>
      </c>
      <c r="H151" s="7" t="inlineStr">
        <is>
          <t>TRƯỢT ❌</t>
        </is>
      </c>
      <c r="I151" s="3" t="inlineStr">
        <is>
          <t>1, 4, 0</t>
        </is>
      </c>
      <c r="J151" s="7" t="inlineStr">
        <is>
          <t>TRƯỢT ❌</t>
        </is>
      </c>
      <c r="K151" s="3" t="inlineStr">
        <is>
          <t>10, 11, 14, 30, 31, 34, 60, 61, 64</t>
        </is>
      </c>
      <c r="L151" s="7" t="inlineStr">
        <is>
          <t>TRƯỢT ❌</t>
        </is>
      </c>
      <c r="M151" s="7" t="inlineStr">
        <is>
          <t>TRƯỢT KHUNG ❌</t>
        </is>
      </c>
    </row>
    <row r="152">
      <c r="A152" s="2" t="n">
        <v>148</v>
      </c>
      <c r="B152" s="2" t="inlineStr">
        <is>
          <t>Thứ hai ngày 01-06-2026</t>
        </is>
      </c>
      <c r="C152" s="3" t="inlineStr">
        <is>
          <t>73823</t>
        </is>
      </c>
      <c r="D152" s="3" t="inlineStr">
        <is>
          <t>23</t>
        </is>
      </c>
      <c r="E152" s="3" t="inlineStr">
        <is>
          <t>Đầu 2</t>
        </is>
      </c>
      <c r="F152" s="3" t="inlineStr">
        <is>
          <t>Đuôi 3</t>
        </is>
      </c>
      <c r="G152" s="3" t="inlineStr">
        <is>
          <t>1, 6, 3</t>
        </is>
      </c>
      <c r="H152" s="7" t="inlineStr">
        <is>
          <t>TRƯỢT ❌</t>
        </is>
      </c>
      <c r="I152" s="3" t="inlineStr">
        <is>
          <t>4, 1, 0</t>
        </is>
      </c>
      <c r="J152" s="7" t="inlineStr">
        <is>
          <t>TRƯỢT ❌</t>
        </is>
      </c>
      <c r="K152" s="3" t="inlineStr">
        <is>
          <t>10, 11, 14, 30, 31, 34, 60, 61, 64</t>
        </is>
      </c>
      <c r="L152" s="7" t="inlineStr">
        <is>
          <t>TRƯỢT ❌</t>
        </is>
      </c>
      <c r="M152" s="7" t="inlineStr">
        <is>
          <t>TRƯỢT KHUNG ❌</t>
        </is>
      </c>
    </row>
    <row r="153">
      <c r="A153" s="2" t="n">
        <v>149</v>
      </c>
      <c r="B153" s="2" t="inlineStr">
        <is>
          <t>Thứ ba ngày 02-06-2026</t>
        </is>
      </c>
      <c r="C153" s="3" t="inlineStr">
        <is>
          <t>02636</t>
        </is>
      </c>
      <c r="D153" s="3" t="inlineStr">
        <is>
          <t>36</t>
        </is>
      </c>
      <c r="E153" s="3" t="inlineStr">
        <is>
          <t>Đầu 3</t>
        </is>
      </c>
      <c r="F153" s="3" t="inlineStr">
        <is>
          <t>Đuôi 6</t>
        </is>
      </c>
      <c r="G153" s="3" t="inlineStr">
        <is>
          <t>1, 4, 3</t>
        </is>
      </c>
      <c r="H153" s="6" t="inlineStr">
        <is>
          <t>TRÚNG 🎯</t>
        </is>
      </c>
      <c r="I153" s="3" t="inlineStr">
        <is>
          <t>1, 4, 3</t>
        </is>
      </c>
      <c r="J153" s="7" t="inlineStr">
        <is>
          <t>TRƯỢT ❌</t>
        </is>
      </c>
      <c r="K153" s="3" t="inlineStr">
        <is>
          <t>11, 13, 14, 31, 33, 34, 41, 43, 44</t>
        </is>
      </c>
      <c r="L153" s="7" t="inlineStr">
        <is>
          <t>TRƯỢT ❌</t>
        </is>
      </c>
      <c r="M153" s="7" t="inlineStr">
        <is>
          <t>TRƯỢT KHUNG ❌</t>
        </is>
      </c>
    </row>
    <row r="154">
      <c r="A154" s="2" t="n">
        <v>150</v>
      </c>
      <c r="B154" s="2" t="inlineStr">
        <is>
          <t>Thứ tư ngày 03-06-2026</t>
        </is>
      </c>
      <c r="C154" s="3" t="inlineStr">
        <is>
          <t>05583</t>
        </is>
      </c>
      <c r="D154" s="3" t="inlineStr">
        <is>
          <t>83</t>
        </is>
      </c>
      <c r="E154" s="3" t="inlineStr">
        <is>
          <t>Đầu 8</t>
        </is>
      </c>
      <c r="F154" s="3" t="inlineStr">
        <is>
          <t>Đuôi 3</t>
        </is>
      </c>
      <c r="G154" s="3" t="inlineStr">
        <is>
          <t>4, 1, 6</t>
        </is>
      </c>
      <c r="H154" s="7" t="inlineStr">
        <is>
          <t>TRƯỢT ❌</t>
        </is>
      </c>
      <c r="I154" s="3" t="inlineStr">
        <is>
          <t>4, 1, 3</t>
        </is>
      </c>
      <c r="J154" s="6" t="inlineStr">
        <is>
          <t>TRÚNG 🎯</t>
        </is>
      </c>
      <c r="K154" s="3" t="inlineStr">
        <is>
          <t>11, 13, 14, 41, 43, 44, 61, 63, 64</t>
        </is>
      </c>
      <c r="L154" s="7" t="inlineStr">
        <is>
          <t>TRƯỢT ❌</t>
        </is>
      </c>
      <c r="M154" s="7" t="inlineStr">
        <is>
          <t>TRƯỢT KHUNG ❌</t>
        </is>
      </c>
    </row>
    <row r="155">
      <c r="A155" s="2" t="n">
        <v>151</v>
      </c>
      <c r="B155" s="2" t="inlineStr">
        <is>
          <t>Thứ năm ngày 04-06-2026</t>
        </is>
      </c>
      <c r="C155" s="3" t="inlineStr">
        <is>
          <t>74978</t>
        </is>
      </c>
      <c r="D155" s="3" t="inlineStr">
        <is>
          <t>78</t>
        </is>
      </c>
      <c r="E155" s="3" t="inlineStr">
        <is>
          <t>Đầu 7</t>
        </is>
      </c>
      <c r="F155" s="3" t="inlineStr">
        <is>
          <t>Đuôi 8</t>
        </is>
      </c>
      <c r="G155" s="3" t="inlineStr">
        <is>
          <t>4, 5, 1</t>
        </is>
      </c>
      <c r="H155" s="7" t="inlineStr">
        <is>
          <t>TRƯỢT ❌</t>
        </is>
      </c>
      <c r="I155" s="3" t="inlineStr">
        <is>
          <t>4, 1, 3</t>
        </is>
      </c>
      <c r="J155" s="7" t="inlineStr">
        <is>
          <t>TRƯỢT ❌</t>
        </is>
      </c>
      <c r="K155" s="3" t="inlineStr">
        <is>
          <t>11, 13, 14, 41, 43, 44, 51, 53, 54</t>
        </is>
      </c>
      <c r="L155" s="7" t="inlineStr">
        <is>
          <t>TRƯỢT ❌</t>
        </is>
      </c>
      <c r="M155" s="7" t="inlineStr">
        <is>
          <t>TRƯỢT KHUNG ❌</t>
        </is>
      </c>
    </row>
    <row r="156">
      <c r="A156" s="2" t="n">
        <v>152</v>
      </c>
      <c r="B156" s="2" t="inlineStr">
        <is>
          <t>Thứ sáu ngày 05-06-2026</t>
        </is>
      </c>
      <c r="C156" s="3" t="inlineStr">
        <is>
          <t>33465</t>
        </is>
      </c>
      <c r="D156" s="3" t="inlineStr">
        <is>
          <t>65</t>
        </is>
      </c>
      <c r="E156" s="3" t="inlineStr">
        <is>
          <t>Đầu 6</t>
        </is>
      </c>
      <c r="F156" s="3" t="inlineStr">
        <is>
          <t>Đuôi 5</t>
        </is>
      </c>
      <c r="G156" s="3" t="inlineStr">
        <is>
          <t>4, 5, 1</t>
        </is>
      </c>
      <c r="H156" s="7" t="inlineStr">
        <is>
          <t>TRƯỢT ❌</t>
        </is>
      </c>
      <c r="I156" s="3" t="inlineStr">
        <is>
          <t>4, 3, 1</t>
        </is>
      </c>
      <c r="J156" s="7" t="inlineStr">
        <is>
          <t>TRƯỢT ❌</t>
        </is>
      </c>
      <c r="K156" s="3" t="inlineStr">
        <is>
          <t>11, 13, 14, 41, 43, 44, 51, 53, 54</t>
        </is>
      </c>
      <c r="L156" s="7" t="inlineStr">
        <is>
          <t>TRƯỢT ❌</t>
        </is>
      </c>
      <c r="M156" s="7" t="inlineStr">
        <is>
          <t>TRƯỢT KHUNG ❌</t>
        </is>
      </c>
    </row>
    <row r="157">
      <c r="A157" s="2" t="n">
        <v>153</v>
      </c>
      <c r="B157" s="2" t="inlineStr">
        <is>
          <t>Thứ bảy ngày 06-06-2026</t>
        </is>
      </c>
      <c r="C157" s="3" t="inlineStr">
        <is>
          <t>15393</t>
        </is>
      </c>
      <c r="D157" s="3" t="inlineStr">
        <is>
          <t>93</t>
        </is>
      </c>
      <c r="E157" s="3" t="inlineStr">
        <is>
          <t>Đầu 9</t>
        </is>
      </c>
      <c r="F157" s="3" t="inlineStr">
        <is>
          <t>Đuôi 3</t>
        </is>
      </c>
      <c r="G157" s="3" t="inlineStr">
        <is>
          <t>3, 5, 1</t>
        </is>
      </c>
      <c r="H157" s="7" t="inlineStr">
        <is>
          <t>TRƯỢT ❌</t>
        </is>
      </c>
      <c r="I157" s="3" t="inlineStr">
        <is>
          <t>4, 3, 1</t>
        </is>
      </c>
      <c r="J157" s="6" t="inlineStr">
        <is>
          <t>TRÚNG 🎯</t>
        </is>
      </c>
      <c r="K157" s="3" t="inlineStr">
        <is>
          <t>11, 13, 14, 31, 33, 34, 51, 53, 54</t>
        </is>
      </c>
      <c r="L157" s="7" t="inlineStr">
        <is>
          <t>TRƯỢT ❌</t>
        </is>
      </c>
      <c r="M157" s="6" t="inlineStr">
        <is>
          <t>TRÚNG KHUNG 🎯</t>
        </is>
      </c>
    </row>
    <row r="158">
      <c r="A158" s="2" t="n">
        <v>154</v>
      </c>
      <c r="B158" s="2" t="inlineStr">
        <is>
          <t>Chủ nhật ngày 07-06-2026</t>
        </is>
      </c>
      <c r="C158" s="3" t="inlineStr">
        <is>
          <t>53505</t>
        </is>
      </c>
      <c r="D158" s="3" t="inlineStr">
        <is>
          <t>05</t>
        </is>
      </c>
      <c r="E158" s="3" t="inlineStr">
        <is>
          <t>Đầu 0</t>
        </is>
      </c>
      <c r="F158" s="3" t="inlineStr">
        <is>
          <t>Đuôi 5</t>
        </is>
      </c>
      <c r="G158" s="3" t="inlineStr">
        <is>
          <t>3, 5, 8</t>
        </is>
      </c>
      <c r="H158" s="7" t="inlineStr">
        <is>
          <t>TRƯỢT ❌</t>
        </is>
      </c>
      <c r="I158" s="3" t="inlineStr">
        <is>
          <t>4, 3, 1</t>
        </is>
      </c>
      <c r="J158" s="7" t="inlineStr">
        <is>
          <t>TRƯỢT ❌</t>
        </is>
      </c>
      <c r="K158" s="3" t="inlineStr">
        <is>
          <t>31, 33, 34, 51, 53, 54, 81, 83, 84</t>
        </is>
      </c>
      <c r="L158" s="7" t="inlineStr">
        <is>
          <t>TRƯỢT ❌</t>
        </is>
      </c>
      <c r="M158" s="6" t="inlineStr">
        <is>
          <t>TRÚNG KHUNG 🎯</t>
        </is>
      </c>
    </row>
    <row r="159">
      <c r="A159" s="2" t="n">
        <v>155</v>
      </c>
      <c r="B159" s="2" t="inlineStr">
        <is>
          <t>Thứ hai ngày 08-06-2026</t>
        </is>
      </c>
      <c r="C159" s="3" t="inlineStr">
        <is>
          <t>07251</t>
        </is>
      </c>
      <c r="D159" s="3" t="inlineStr">
        <is>
          <t>51</t>
        </is>
      </c>
      <c r="E159" s="3" t="inlineStr">
        <is>
          <t>Đầu 5</t>
        </is>
      </c>
      <c r="F159" s="3" t="inlineStr">
        <is>
          <t>Đuôi 1</t>
        </is>
      </c>
      <c r="G159" s="3" t="inlineStr">
        <is>
          <t>3, 5, 8</t>
        </is>
      </c>
      <c r="H159" s="6" t="inlineStr">
        <is>
          <t>TRÚNG 🎯</t>
        </is>
      </c>
      <c r="I159" s="3" t="inlineStr">
        <is>
          <t>4, 3, 1</t>
        </is>
      </c>
      <c r="J159" s="6" t="inlineStr">
        <is>
          <t>TRÚNG 🎯</t>
        </is>
      </c>
      <c r="K159" s="3" t="inlineStr">
        <is>
          <t>31, 33, 34, 51, 53, 54, 81, 83, 84</t>
        </is>
      </c>
      <c r="L159" s="6" t="inlineStr">
        <is>
          <t>TRÚNG 🎯</t>
        </is>
      </c>
      <c r="M159" s="6" t="inlineStr">
        <is>
          <t>TRÚNG KHUNG 🎯</t>
        </is>
      </c>
    </row>
    <row r="160">
      <c r="A160" s="2" t="n">
        <v>156</v>
      </c>
      <c r="B160" s="2" t="inlineStr">
        <is>
          <t>Thứ ba ngày 09-06-2026</t>
        </is>
      </c>
      <c r="C160" s="3" t="inlineStr">
        <is>
          <t>04308</t>
        </is>
      </c>
      <c r="D160" s="3" t="inlineStr">
        <is>
          <t>08</t>
        </is>
      </c>
      <c r="E160" s="3" t="inlineStr">
        <is>
          <t>Đầu 0</t>
        </is>
      </c>
      <c r="F160" s="3" t="inlineStr">
        <is>
          <t>Đuôi 8</t>
        </is>
      </c>
      <c r="G160" s="3" t="inlineStr">
        <is>
          <t>3, 6, 8</t>
        </is>
      </c>
      <c r="H160" s="7" t="inlineStr">
        <is>
          <t>TRƯỢT ❌</t>
        </is>
      </c>
      <c r="I160" s="3" t="inlineStr">
        <is>
          <t>4, 3, 8</t>
        </is>
      </c>
      <c r="J160" s="6" t="inlineStr">
        <is>
          <t>TRÚNG 🎯</t>
        </is>
      </c>
      <c r="K160" s="3" t="inlineStr">
        <is>
          <t>33, 34, 38, 63, 64, 68, 83, 84, 88</t>
        </is>
      </c>
      <c r="L160" s="7" t="inlineStr">
        <is>
          <t>TRƯỢT ❌</t>
        </is>
      </c>
      <c r="M160" s="6" t="inlineStr">
        <is>
          <t>TRÚNG KHUNG 🎯</t>
        </is>
      </c>
    </row>
    <row r="161">
      <c r="A161" s="2" t="n">
        <v>157</v>
      </c>
      <c r="B161" s="2" t="inlineStr">
        <is>
          <t>Thứ tư ngày 10-06-2026</t>
        </is>
      </c>
      <c r="C161" s="3" t="inlineStr">
        <is>
          <t>99983</t>
        </is>
      </c>
      <c r="D161" s="3" t="inlineStr">
        <is>
          <t>83</t>
        </is>
      </c>
      <c r="E161" s="3" t="inlineStr">
        <is>
          <t>Đầu 8</t>
        </is>
      </c>
      <c r="F161" s="3" t="inlineStr">
        <is>
          <t>Đuôi 3</t>
        </is>
      </c>
      <c r="G161" s="3" t="inlineStr">
        <is>
          <t>3, 6, 8</t>
        </is>
      </c>
      <c r="H161" s="6" t="inlineStr">
        <is>
          <t>TRÚNG 🎯</t>
        </is>
      </c>
      <c r="I161" s="3" t="inlineStr">
        <is>
          <t>3, 4, 1</t>
        </is>
      </c>
      <c r="J161" s="6" t="inlineStr">
        <is>
          <t>TRÚNG 🎯</t>
        </is>
      </c>
      <c r="K161" s="3" t="inlineStr">
        <is>
          <t>31, 33, 34, 61, 63, 64, 81, 83, 84</t>
        </is>
      </c>
      <c r="L161" s="6" t="inlineStr">
        <is>
          <t>TRÚNG 🎯</t>
        </is>
      </c>
      <c r="M161" s="6" t="inlineStr">
        <is>
          <t>TRÚNG KHUNG 🎯</t>
        </is>
      </c>
    </row>
    <row r="162">
      <c r="A162" s="2" t="n">
        <v>158</v>
      </c>
      <c r="B162" s="2" t="inlineStr">
        <is>
          <t>Thứ năm ngày 11-06-2026</t>
        </is>
      </c>
      <c r="C162" s="3" t="inlineStr">
        <is>
          <t>24889</t>
        </is>
      </c>
      <c r="D162" s="3" t="inlineStr">
        <is>
          <t>89</t>
        </is>
      </c>
      <c r="E162" s="3" t="inlineStr">
        <is>
          <t>Đầu 8</t>
        </is>
      </c>
      <c r="F162" s="3" t="inlineStr">
        <is>
          <t>Đuôi 9</t>
        </is>
      </c>
      <c r="G162" s="3" t="inlineStr">
        <is>
          <t>6, 5, 3</t>
        </is>
      </c>
      <c r="H162" s="7" t="inlineStr">
        <is>
          <t>TRƯỢT ❌</t>
        </is>
      </c>
      <c r="I162" s="3" t="inlineStr">
        <is>
          <t>4, 1, 3</t>
        </is>
      </c>
      <c r="J162" s="7" t="inlineStr">
        <is>
          <t>TRƯỢT ❌</t>
        </is>
      </c>
      <c r="K162" s="3" t="inlineStr">
        <is>
          <t>31, 33, 34, 51, 53, 54, 61, 63, 64</t>
        </is>
      </c>
      <c r="L162" s="7" t="inlineStr">
        <is>
          <t>TRƯỢT ❌</t>
        </is>
      </c>
      <c r="M162" s="7" t="inlineStr">
        <is>
          <t>TRƯỢT KHUNG ❌</t>
        </is>
      </c>
    </row>
    <row r="163">
      <c r="A163" s="2" t="n">
        <v>159</v>
      </c>
      <c r="B163" s="2" t="inlineStr">
        <is>
          <t>Thứ sáu ngày 12-06-2026</t>
        </is>
      </c>
      <c r="C163" s="3" t="inlineStr">
        <is>
          <t>60014</t>
        </is>
      </c>
      <c r="D163" s="3" t="inlineStr">
        <is>
          <t>14</t>
        </is>
      </c>
      <c r="E163" s="3" t="inlineStr">
        <is>
          <t>Đầu 1</t>
        </is>
      </c>
      <c r="F163" s="3" t="inlineStr">
        <is>
          <t>Đuôi 4</t>
        </is>
      </c>
      <c r="G163" s="3" t="inlineStr">
        <is>
          <t>5, 6, 0</t>
        </is>
      </c>
      <c r="H163" s="7" t="inlineStr">
        <is>
          <t>TRƯỢT ❌</t>
        </is>
      </c>
      <c r="I163" s="3" t="inlineStr">
        <is>
          <t>4, 1, 3</t>
        </is>
      </c>
      <c r="J163" s="6" t="inlineStr">
        <is>
          <t>TRÚNG 🎯</t>
        </is>
      </c>
      <c r="K163" s="3" t="inlineStr">
        <is>
          <t>01, 03, 04, 51, 53, 54, 61, 63, 64</t>
        </is>
      </c>
      <c r="L163" s="7" t="inlineStr">
        <is>
          <t>TRƯỢT ❌</t>
        </is>
      </c>
      <c r="M163" s="7" t="inlineStr">
        <is>
          <t>TRƯỢT KHUNG ❌</t>
        </is>
      </c>
    </row>
    <row r="164">
      <c r="A164" s="2" t="n">
        <v>160</v>
      </c>
      <c r="B164" s="2" t="inlineStr">
        <is>
          <t>Thứ bảy ngày 13-06-2026</t>
        </is>
      </c>
      <c r="C164" s="3" t="inlineStr">
        <is>
          <t>63000</t>
        </is>
      </c>
      <c r="D164" s="3" t="inlineStr">
        <is>
          <t>00</t>
        </is>
      </c>
      <c r="E164" s="3" t="inlineStr">
        <is>
          <t>Đầu 0</t>
        </is>
      </c>
      <c r="F164" s="3" t="inlineStr">
        <is>
          <t>Đuôi 0</t>
        </is>
      </c>
      <c r="G164" s="3" t="inlineStr">
        <is>
          <t>5, 0, 8</t>
        </is>
      </c>
      <c r="H164" s="6" t="inlineStr">
        <is>
          <t>TRÚNG 🎯</t>
        </is>
      </c>
      <c r="I164" s="3" t="inlineStr">
        <is>
          <t>3, 1, 4</t>
        </is>
      </c>
      <c r="J164" s="7" t="inlineStr">
        <is>
          <t>TRƯỢT ❌</t>
        </is>
      </c>
      <c r="K164" s="3" t="inlineStr">
        <is>
          <t>01, 03, 04, 51, 53, 54, 81, 83, 84</t>
        </is>
      </c>
      <c r="L164" s="7" t="inlineStr">
        <is>
          <t>TRƯỢT ❌</t>
        </is>
      </c>
      <c r="M164" s="6" t="inlineStr">
        <is>
          <t>TRÚNG KHUNG 🎯</t>
        </is>
      </c>
    </row>
    <row r="165">
      <c r="A165" s="2" t="n">
        <v>161</v>
      </c>
      <c r="B165" s="2" t="inlineStr">
        <is>
          <t>Chủ nhật ngày 14-06-2026</t>
        </is>
      </c>
      <c r="C165" s="3" t="inlineStr">
        <is>
          <t>71680</t>
        </is>
      </c>
      <c r="D165" s="3" t="inlineStr">
        <is>
          <t>80</t>
        </is>
      </c>
      <c r="E165" s="3" t="inlineStr">
        <is>
          <t>Đầu 8</t>
        </is>
      </c>
      <c r="F165" s="3" t="inlineStr">
        <is>
          <t>Đuôi 0</t>
        </is>
      </c>
      <c r="G165" s="3" t="inlineStr">
        <is>
          <t>5, 8, 6</t>
        </is>
      </c>
      <c r="H165" s="6" t="inlineStr">
        <is>
          <t>TRÚNG 🎯</t>
        </is>
      </c>
      <c r="I165" s="3" t="inlineStr">
        <is>
          <t>3, 1, 4</t>
        </is>
      </c>
      <c r="J165" s="7" t="inlineStr">
        <is>
          <t>TRƯỢT ❌</t>
        </is>
      </c>
      <c r="K165" s="3" t="inlineStr">
        <is>
          <t>51, 53, 54, 61, 63, 64, 81, 83, 84</t>
        </is>
      </c>
      <c r="L165" s="7" t="inlineStr">
        <is>
          <t>TRƯỢT ❌</t>
        </is>
      </c>
      <c r="M165" s="6" t="inlineStr">
        <is>
          <t>TRÚNG KHUNG 🎯</t>
        </is>
      </c>
    </row>
    <row r="166">
      <c r="A166" s="2" t="n">
        <v>162</v>
      </c>
      <c r="B166" s="2" t="inlineStr">
        <is>
          <t>Thứ hai ngày 15-06-2026</t>
        </is>
      </c>
      <c r="C166" s="3" t="inlineStr">
        <is>
          <t>80384</t>
        </is>
      </c>
      <c r="D166" s="3" t="inlineStr">
        <is>
          <t>84</t>
        </is>
      </c>
      <c r="E166" s="3" t="inlineStr">
        <is>
          <t>Đầu 8</t>
        </is>
      </c>
      <c r="F166" s="3" t="inlineStr">
        <is>
          <t>Đuôi 4</t>
        </is>
      </c>
      <c r="G166" s="3" t="inlineStr">
        <is>
          <t>5, 8, 6</t>
        </is>
      </c>
      <c r="H166" s="6" t="inlineStr">
        <is>
          <t>TRÚNG 🎯</t>
        </is>
      </c>
      <c r="I166" s="3" t="inlineStr">
        <is>
          <t>3, 1, 4</t>
        </is>
      </c>
      <c r="J166" s="6" t="inlineStr">
        <is>
          <t>TRÚNG 🎯</t>
        </is>
      </c>
      <c r="K166" s="3" t="inlineStr">
        <is>
          <t>51, 53, 54, 61, 63, 64, 81, 83, 84</t>
        </is>
      </c>
      <c r="L166" s="6" t="inlineStr">
        <is>
          <t>TRÚNG 🎯</t>
        </is>
      </c>
      <c r="M166" s="6" t="inlineStr">
        <is>
          <t>TRÚNG KHUNG 🎯</t>
        </is>
      </c>
    </row>
    <row r="167">
      <c r="A167" s="2" t="n">
        <v>163</v>
      </c>
      <c r="B167" s="2" t="inlineStr">
        <is>
          <t>Thứ ba ngày 16-06-2026</t>
        </is>
      </c>
      <c r="C167" s="3" t="inlineStr">
        <is>
          <t>71203</t>
        </is>
      </c>
      <c r="D167" s="3" t="inlineStr">
        <is>
          <t>03</t>
        </is>
      </c>
      <c r="E167" s="3" t="inlineStr">
        <is>
          <t>Đầu 0</t>
        </is>
      </c>
      <c r="F167" s="3" t="inlineStr">
        <is>
          <t>Đuôi 3</t>
        </is>
      </c>
      <c r="G167" s="3" t="inlineStr">
        <is>
          <t>5, 8, 1</t>
        </is>
      </c>
      <c r="H167" s="7" t="inlineStr">
        <is>
          <t>TRƯỢT ❌</t>
        </is>
      </c>
      <c r="I167" s="3" t="inlineStr">
        <is>
          <t>3, 1, 5</t>
        </is>
      </c>
      <c r="J167" s="6" t="inlineStr">
        <is>
          <t>TRÚNG 🎯</t>
        </is>
      </c>
      <c r="K167" s="3" t="inlineStr">
        <is>
          <t>11, 13, 15, 51, 53, 55, 81, 83, 85</t>
        </is>
      </c>
      <c r="L167" s="7" t="inlineStr">
        <is>
          <t>TRƯỢT ❌</t>
        </is>
      </c>
      <c r="M167" s="6" t="inlineStr">
        <is>
          <t>TRÚNG KHUNG 🎯</t>
        </is>
      </c>
    </row>
    <row r="168">
      <c r="A168" s="2" t="n">
        <v>164</v>
      </c>
      <c r="B168" s="2" t="inlineStr">
        <is>
          <t>Thứ tư ngày 17-06-2026</t>
        </is>
      </c>
      <c r="C168" s="3" t="inlineStr">
        <is>
          <t>15032</t>
        </is>
      </c>
      <c r="D168" s="3" t="inlineStr">
        <is>
          <t>32</t>
        </is>
      </c>
      <c r="E168" s="3" t="inlineStr">
        <is>
          <t>Đầu 3</t>
        </is>
      </c>
      <c r="F168" s="3" t="inlineStr">
        <is>
          <t>Đuôi 2</t>
        </is>
      </c>
      <c r="G168" s="3" t="inlineStr">
        <is>
          <t>5, 8, 1</t>
        </is>
      </c>
      <c r="H168" s="7" t="inlineStr">
        <is>
          <t>TRƯỢT ❌</t>
        </is>
      </c>
      <c r="I168" s="3" t="inlineStr">
        <is>
          <t>3, 1, 5</t>
        </is>
      </c>
      <c r="J168" s="7" t="inlineStr">
        <is>
          <t>TRƯỢT ❌</t>
        </is>
      </c>
      <c r="K168" s="3" t="inlineStr">
        <is>
          <t>11, 13, 15, 51, 53, 55, 81, 83, 85</t>
        </is>
      </c>
      <c r="L168" s="7" t="inlineStr">
        <is>
          <t>TRƯỢT ❌</t>
        </is>
      </c>
      <c r="M168" s="6" t="inlineStr">
        <is>
          <t>TRÚNG KHUNG 🎯</t>
        </is>
      </c>
    </row>
    <row r="169">
      <c r="A169" s="2" t="n">
        <v>165</v>
      </c>
      <c r="B169" s="2" t="inlineStr">
        <is>
          <t>Thứ năm ngày 18-06-2026</t>
        </is>
      </c>
      <c r="C169" s="3" t="inlineStr">
        <is>
          <t>63155</t>
        </is>
      </c>
      <c r="D169" s="3" t="inlineStr">
        <is>
          <t>55</t>
        </is>
      </c>
      <c r="E169" s="3" t="inlineStr">
        <is>
          <t>Đầu 5</t>
        </is>
      </c>
      <c r="F169" s="3" t="inlineStr">
        <is>
          <t>Đuôi 5</t>
        </is>
      </c>
      <c r="G169" s="3" t="inlineStr">
        <is>
          <t>8, 5, 1</t>
        </is>
      </c>
      <c r="H169" s="6" t="inlineStr">
        <is>
          <t>TRÚNG 🎯</t>
        </is>
      </c>
      <c r="I169" s="3" t="inlineStr">
        <is>
          <t>3, 1, 0</t>
        </is>
      </c>
      <c r="J169" s="7" t="inlineStr">
        <is>
          <t>TRƯỢT ❌</t>
        </is>
      </c>
      <c r="K169" s="3" t="inlineStr">
        <is>
          <t>10, 11, 13, 50, 51, 53, 80, 81, 83</t>
        </is>
      </c>
      <c r="L169" s="7" t="inlineStr">
        <is>
          <t>TRƯỢT ❌</t>
        </is>
      </c>
      <c r="M169" s="6" t="inlineStr">
        <is>
          <t>TRÚNG KHUNG 🎯</t>
        </is>
      </c>
    </row>
    <row r="170">
      <c r="A170" s="2" t="n">
        <v>166</v>
      </c>
      <c r="B170" s="2" t="inlineStr">
        <is>
          <t>Thứ sáu ngày 19-06-2026</t>
        </is>
      </c>
      <c r="C170" s="3" t="inlineStr">
        <is>
          <t>54860</t>
        </is>
      </c>
      <c r="D170" s="3" t="inlineStr">
        <is>
          <t>60</t>
        </is>
      </c>
      <c r="E170" s="3" t="inlineStr">
        <is>
          <t>Đầu 6</t>
        </is>
      </c>
      <c r="F170" s="3" t="inlineStr">
        <is>
          <t>Đuôi 0</t>
        </is>
      </c>
      <c r="G170" s="3" t="inlineStr">
        <is>
          <t>8, 0, 1</t>
        </is>
      </c>
      <c r="H170" s="7" t="inlineStr">
        <is>
          <t>TRƯỢT ❌</t>
        </is>
      </c>
      <c r="I170" s="3" t="inlineStr">
        <is>
          <t>3, 1, 4</t>
        </is>
      </c>
      <c r="J170" s="7" t="inlineStr">
        <is>
          <t>TRƯỢT ❌</t>
        </is>
      </c>
      <c r="K170" s="3" t="inlineStr">
        <is>
          <t>01, 03, 04, 11, 13, 14, 81, 83, 84</t>
        </is>
      </c>
      <c r="L170" s="7" t="inlineStr">
        <is>
          <t>TRƯỢT ❌</t>
        </is>
      </c>
      <c r="M170" s="6" t="inlineStr">
        <is>
          <t>TRÚNG KHUNG 🎯</t>
        </is>
      </c>
    </row>
    <row r="171">
      <c r="A171" s="2" t="n">
        <v>167</v>
      </c>
      <c r="B171" s="2" t="inlineStr">
        <is>
          <t>Thứ bảy ngày 20-06-2026</t>
        </is>
      </c>
      <c r="C171" s="3" t="inlineStr">
        <is>
          <t>28083</t>
        </is>
      </c>
      <c r="D171" s="3" t="inlineStr">
        <is>
          <t>83</t>
        </is>
      </c>
      <c r="E171" s="3" t="inlineStr">
        <is>
          <t>Đầu 8</t>
        </is>
      </c>
      <c r="F171" s="3" t="inlineStr">
        <is>
          <t>Đuôi 3</t>
        </is>
      </c>
      <c r="G171" s="3" t="inlineStr">
        <is>
          <t>8, 0, 1</t>
        </is>
      </c>
      <c r="H171" s="6" t="inlineStr">
        <is>
          <t>TRÚNG 🎯</t>
        </is>
      </c>
      <c r="I171" s="3" t="inlineStr">
        <is>
          <t>3, 1, 4</t>
        </is>
      </c>
      <c r="J171" s="6" t="inlineStr">
        <is>
          <t>TRÚNG 🎯</t>
        </is>
      </c>
      <c r="K171" s="3" t="inlineStr">
        <is>
          <t>01, 03, 04, 11, 13, 14, 81, 83, 84</t>
        </is>
      </c>
      <c r="L171" s="6" t="inlineStr">
        <is>
          <t>TRÚNG 🎯</t>
        </is>
      </c>
      <c r="M171" s="6" t="inlineStr">
        <is>
          <t>TRÚNG KHUNG 🎯</t>
        </is>
      </c>
    </row>
    <row r="172">
      <c r="A172" s="2" t="n">
        <v>168</v>
      </c>
      <c r="B172" s="2" t="inlineStr">
        <is>
          <t>Chủ nhật ngày 21-06-2026</t>
        </is>
      </c>
      <c r="C172" s="3" t="inlineStr">
        <is>
          <t>62136</t>
        </is>
      </c>
      <c r="D172" s="3" t="inlineStr">
        <is>
          <t>36</t>
        </is>
      </c>
      <c r="E172" s="3" t="inlineStr">
        <is>
          <t>Đầu 3</t>
        </is>
      </c>
      <c r="F172" s="3" t="inlineStr">
        <is>
          <t>Đuôi 6</t>
        </is>
      </c>
      <c r="G172" s="3" t="inlineStr">
        <is>
          <t>0, 5, 8</t>
        </is>
      </c>
      <c r="H172" s="7" t="inlineStr">
        <is>
          <t>TRƯỢT ❌</t>
        </is>
      </c>
      <c r="I172" s="3" t="inlineStr">
        <is>
          <t>3, 1, 4</t>
        </is>
      </c>
      <c r="J172" s="7" t="inlineStr">
        <is>
          <t>TRƯỢT ❌</t>
        </is>
      </c>
      <c r="K172" s="3" t="inlineStr">
        <is>
          <t>01, 03, 04, 51, 53, 54, 81, 83, 84</t>
        </is>
      </c>
      <c r="L172" s="7" t="inlineStr">
        <is>
          <t>TRƯỢT ❌</t>
        </is>
      </c>
      <c r="M172" s="6" t="inlineStr">
        <is>
          <t>TRÚNG KHUNG 🎯</t>
        </is>
      </c>
    </row>
    <row r="173">
      <c r="A173" s="2" t="n">
        <v>169</v>
      </c>
      <c r="B173" s="2" t="inlineStr">
        <is>
          <t>Thứ hai ngày 22-06-2026</t>
        </is>
      </c>
      <c r="C173" s="3" t="inlineStr">
        <is>
          <t>50437</t>
        </is>
      </c>
      <c r="D173" s="3" t="inlineStr">
        <is>
          <t>37</t>
        </is>
      </c>
      <c r="E173" s="3" t="inlineStr">
        <is>
          <t>Đầu 3</t>
        </is>
      </c>
      <c r="F173" s="3" t="inlineStr">
        <is>
          <t>Đuôi 7</t>
        </is>
      </c>
      <c r="G173" s="3" t="inlineStr">
        <is>
          <t>0, 5, 8</t>
        </is>
      </c>
      <c r="H173" s="7" t="inlineStr">
        <is>
          <t>TRƯỢT ❌</t>
        </is>
      </c>
      <c r="I173" s="3" t="inlineStr">
        <is>
          <t>3, 4, 1</t>
        </is>
      </c>
      <c r="J173" s="7" t="inlineStr">
        <is>
          <t>TRƯỢT ❌</t>
        </is>
      </c>
      <c r="K173" s="3" t="inlineStr">
        <is>
          <t>01, 03, 04, 51, 53, 54, 81, 83, 84</t>
        </is>
      </c>
      <c r="L173" s="7" t="inlineStr">
        <is>
          <t>TRƯỢT ❌</t>
        </is>
      </c>
      <c r="M173" s="6" t="inlineStr">
        <is>
          <t>TRÚNG KHUNG 🎯</t>
        </is>
      </c>
    </row>
    <row r="174">
      <c r="A174" s="2" t="n">
        <v>170</v>
      </c>
      <c r="B174" s="2" t="inlineStr">
        <is>
          <t>Thứ ba ngày 23-06-2026</t>
        </is>
      </c>
      <c r="C174" s="3" t="inlineStr">
        <is>
          <t>52751</t>
        </is>
      </c>
      <c r="D174" s="3" t="inlineStr">
        <is>
          <t>51</t>
        </is>
      </c>
      <c r="E174" s="3" t="inlineStr">
        <is>
          <t>Đầu 5</t>
        </is>
      </c>
      <c r="F174" s="3" t="inlineStr">
        <is>
          <t>Đuôi 1</t>
        </is>
      </c>
      <c r="G174" s="3" t="inlineStr">
        <is>
          <t>8, 5, 0</t>
        </is>
      </c>
      <c r="H174" s="6" t="inlineStr">
        <is>
          <t>TRÚNG 🎯</t>
        </is>
      </c>
      <c r="I174" s="3" t="inlineStr">
        <is>
          <t>3, 0, 1</t>
        </is>
      </c>
      <c r="J174" s="6" t="inlineStr">
        <is>
          <t>TRÚNG 🎯</t>
        </is>
      </c>
      <c r="K174" s="3" t="inlineStr">
        <is>
          <t>00, 01, 03, 50, 51, 53, 80, 81, 83</t>
        </is>
      </c>
      <c r="L174" s="6" t="inlineStr">
        <is>
          <t>TRÚNG 🎯</t>
        </is>
      </c>
      <c r="M174" s="6" t="inlineStr">
        <is>
          <t>TRÚNG KHUNG 🎯</t>
        </is>
      </c>
    </row>
    <row r="175">
      <c r="A175" s="2" t="n">
        <v>171</v>
      </c>
      <c r="B175" s="2" t="inlineStr">
        <is>
          <t>Thứ tư ngày 24-06-2026</t>
        </is>
      </c>
      <c r="C175" s="3" t="inlineStr">
        <is>
          <t>01816</t>
        </is>
      </c>
      <c r="D175" s="3" t="inlineStr">
        <is>
          <t>16</t>
        </is>
      </c>
      <c r="E175" s="3" t="inlineStr">
        <is>
          <t>Đầu 1</t>
        </is>
      </c>
      <c r="F175" s="3" t="inlineStr">
        <is>
          <t>Đuôi 6</t>
        </is>
      </c>
      <c r="G175" s="3" t="inlineStr">
        <is>
          <t>8, 0, 1</t>
        </is>
      </c>
      <c r="H175" s="6" t="inlineStr">
        <is>
          <t>TRÚNG 🎯</t>
        </is>
      </c>
      <c r="I175" s="3" t="inlineStr">
        <is>
          <t>3, 0, 4</t>
        </is>
      </c>
      <c r="J175" s="7" t="inlineStr">
        <is>
          <t>TRƯỢT ❌</t>
        </is>
      </c>
      <c r="K175" s="3" t="inlineStr">
        <is>
          <t>00, 03, 04, 10, 13, 14, 80, 83, 84</t>
        </is>
      </c>
      <c r="L175" s="7" t="inlineStr">
        <is>
          <t>TRƯỢT ❌</t>
        </is>
      </c>
      <c r="M175" s="6" t="inlineStr">
        <is>
          <t>TRÚNG KHUNG 🎯</t>
        </is>
      </c>
    </row>
    <row r="176">
      <c r="A176" s="2" t="n">
        <v>172</v>
      </c>
      <c r="B176" s="2" t="inlineStr">
        <is>
          <t>Thứ năm ngày 25-06-2026</t>
        </is>
      </c>
      <c r="C176" s="3" t="inlineStr">
        <is>
          <t>54804</t>
        </is>
      </c>
      <c r="D176" s="3" t="inlineStr">
        <is>
          <t>04</t>
        </is>
      </c>
      <c r="E176" s="3" t="inlineStr">
        <is>
          <t>Đầu 0</t>
        </is>
      </c>
      <c r="F176" s="3" t="inlineStr">
        <is>
          <t>Đuôi 4</t>
        </is>
      </c>
      <c r="G176" s="3" t="inlineStr">
        <is>
          <t>8, 0, 5</t>
        </is>
      </c>
      <c r="H176" s="6" t="inlineStr">
        <is>
          <t>TRÚNG 🎯</t>
        </is>
      </c>
      <c r="I176" s="3" t="inlineStr">
        <is>
          <t>3, 0, 4</t>
        </is>
      </c>
      <c r="J176" s="6" t="inlineStr">
        <is>
          <t>TRÚNG 🎯</t>
        </is>
      </c>
      <c r="K176" s="3" t="inlineStr">
        <is>
          <t>00, 03, 04, 50, 53, 54, 80, 83, 84</t>
        </is>
      </c>
      <c r="L176" s="6" t="inlineStr">
        <is>
          <t>TRÚNG 🎯</t>
        </is>
      </c>
      <c r="M176" s="6" t="inlineStr">
        <is>
          <t>TRÚNG KHUNG 🎯</t>
        </is>
      </c>
    </row>
    <row r="177">
      <c r="A177" s="2" t="n">
        <v>173</v>
      </c>
      <c r="B177" s="2" t="inlineStr">
        <is>
          <t>Thứ sáu ngày 26-06-2026</t>
        </is>
      </c>
      <c r="C177" s="3" t="inlineStr">
        <is>
          <t>09253</t>
        </is>
      </c>
      <c r="D177" s="3" t="inlineStr">
        <is>
          <t>53</t>
        </is>
      </c>
      <c r="E177" s="3" t="inlineStr">
        <is>
          <t>Đầu 5</t>
        </is>
      </c>
      <c r="F177" s="3" t="inlineStr">
        <is>
          <t>Đuôi 3</t>
        </is>
      </c>
      <c r="G177" s="3" t="inlineStr">
        <is>
          <t>8, 5, 3</t>
        </is>
      </c>
      <c r="H177" s="6" t="inlineStr">
        <is>
          <t>TRÚNG 🎯</t>
        </is>
      </c>
      <c r="I177" s="3" t="inlineStr">
        <is>
          <t>3, 0, 5</t>
        </is>
      </c>
      <c r="J177" s="6" t="inlineStr">
        <is>
          <t>TRÚNG 🎯</t>
        </is>
      </c>
      <c r="K177" s="3" t="inlineStr">
        <is>
          <t>30, 33, 35, 50, 53, 55, 80, 83, 85</t>
        </is>
      </c>
      <c r="L177" s="6" t="inlineStr">
        <is>
          <t>TRÚNG 🎯</t>
        </is>
      </c>
      <c r="M177" s="6" t="inlineStr">
        <is>
          <t>TRÚNG KHUNG 🎯</t>
        </is>
      </c>
    </row>
    <row r="178">
      <c r="A178" s="2" t="n">
        <v>174</v>
      </c>
      <c r="B178" s="2" t="inlineStr">
        <is>
          <t>Thứ bảy ngày 27-06-2026</t>
        </is>
      </c>
      <c r="C178" s="3" t="inlineStr">
        <is>
          <t>12452</t>
        </is>
      </c>
      <c r="D178" s="3" t="inlineStr">
        <is>
          <t>52</t>
        </is>
      </c>
      <c r="E178" s="3" t="inlineStr">
        <is>
          <t>Đầu 5</t>
        </is>
      </c>
      <c r="F178" s="3" t="inlineStr">
        <is>
          <t>Đuôi 2</t>
        </is>
      </c>
      <c r="G178" s="3" t="inlineStr">
        <is>
          <t>8, 3, 0</t>
        </is>
      </c>
      <c r="H178" s="7" t="inlineStr">
        <is>
          <t>TRƯỢT ❌</t>
        </is>
      </c>
      <c r="I178" s="3" t="inlineStr">
        <is>
          <t>3, 0, 5</t>
        </is>
      </c>
      <c r="J178" s="7" t="inlineStr">
        <is>
          <t>TRƯỢT ❌</t>
        </is>
      </c>
      <c r="K178" s="3" t="inlineStr">
        <is>
          <t>00, 03, 05, 30, 33, 35, 80, 83, 85</t>
        </is>
      </c>
      <c r="L178" s="7" t="inlineStr">
        <is>
          <t>TRƯỢT ❌</t>
        </is>
      </c>
      <c r="M178" s="7" t="inlineStr">
        <is>
          <t>TRƯỢT KHUNG ❌</t>
        </is>
      </c>
    </row>
    <row r="179">
      <c r="A179" s="2" t="n">
        <v>175</v>
      </c>
      <c r="B179" s="2" t="inlineStr">
        <is>
          <t>Chủ nhật ngày 28-06-2026</t>
        </is>
      </c>
      <c r="C179" s="3" t="inlineStr">
        <is>
          <t>37642</t>
        </is>
      </c>
      <c r="D179" s="3" t="inlineStr">
        <is>
          <t>42</t>
        </is>
      </c>
      <c r="E179" s="3" t="inlineStr">
        <is>
          <t>Đầu 4</t>
        </is>
      </c>
      <c r="F179" s="3" t="inlineStr">
        <is>
          <t>Đuôi 2</t>
        </is>
      </c>
      <c r="G179" s="3" t="inlineStr">
        <is>
          <t>8, 3, 0</t>
        </is>
      </c>
      <c r="H179" s="7" t="inlineStr">
        <is>
          <t>TRƯỢT ❌</t>
        </is>
      </c>
      <c r="I179" s="3" t="inlineStr">
        <is>
          <t>3, 0, 5</t>
        </is>
      </c>
      <c r="J179" s="7" t="inlineStr">
        <is>
          <t>TRƯỢT ❌</t>
        </is>
      </c>
      <c r="K179" s="3" t="inlineStr">
        <is>
          <t>00, 03, 05, 30, 33, 35, 80, 83, 85</t>
        </is>
      </c>
      <c r="L179" s="7" t="inlineStr">
        <is>
          <t>TRƯỢT ❌</t>
        </is>
      </c>
      <c r="M179" s="7" t="inlineStr">
        <is>
          <t>TRƯỢT KHUNG ❌</t>
        </is>
      </c>
    </row>
    <row r="180">
      <c r="A180" s="2" t="n">
        <v>176</v>
      </c>
      <c r="B180" s="2" t="inlineStr">
        <is>
          <t>Thứ hai ngày 29-06-2026</t>
        </is>
      </c>
      <c r="C180" s="3" t="inlineStr">
        <is>
          <t>60468</t>
        </is>
      </c>
      <c r="D180" s="3" t="inlineStr">
        <is>
          <t>68</t>
        </is>
      </c>
      <c r="E180" s="3" t="inlineStr">
        <is>
          <t>Đầu 6</t>
        </is>
      </c>
      <c r="F180" s="3" t="inlineStr">
        <is>
          <t>Đuôi 8</t>
        </is>
      </c>
      <c r="G180" s="3" t="inlineStr">
        <is>
          <t>8, 0, 3</t>
        </is>
      </c>
      <c r="H180" s="7" t="inlineStr">
        <is>
          <t>TRƯỢT ❌</t>
        </is>
      </c>
      <c r="I180" s="3" t="inlineStr">
        <is>
          <t>3, 0, 4</t>
        </is>
      </c>
      <c r="J180" s="7" t="inlineStr">
        <is>
          <t>TRƯỢT ❌</t>
        </is>
      </c>
      <c r="K180" s="3" t="inlineStr">
        <is>
          <t>00, 03, 04, 30, 33, 34, 80, 83, 84</t>
        </is>
      </c>
      <c r="L180" s="7" t="inlineStr">
        <is>
          <t>TRƯỢT ❌</t>
        </is>
      </c>
      <c r="M180" s="7" t="inlineStr">
        <is>
          <t>TRƯỢT KHUNG ❌</t>
        </is>
      </c>
    </row>
    <row r="181">
      <c r="A181" s="2" t="n">
        <v>177</v>
      </c>
      <c r="B181" s="2" t="inlineStr">
        <is>
          <t>Thứ ba ngày 30-06-2026</t>
        </is>
      </c>
      <c r="C181" s="3" t="inlineStr">
        <is>
          <t>31854</t>
        </is>
      </c>
      <c r="D181" s="3" t="inlineStr">
        <is>
          <t>54</t>
        </is>
      </c>
      <c r="E181" s="3" t="inlineStr">
        <is>
          <t>Đầu 5</t>
        </is>
      </c>
      <c r="F181" s="3" t="inlineStr">
        <is>
          <t>Đuôi 4</t>
        </is>
      </c>
      <c r="G181" s="3" t="inlineStr">
        <is>
          <t>8, 0, 5</t>
        </is>
      </c>
      <c r="H181" s="6" t="inlineStr">
        <is>
          <t>TRÚNG 🎯</t>
        </is>
      </c>
      <c r="I181" s="3" t="inlineStr">
        <is>
          <t>3, 0, 4</t>
        </is>
      </c>
      <c r="J181" s="6" t="inlineStr">
        <is>
          <t>TRÚNG 🎯</t>
        </is>
      </c>
      <c r="K181" s="3" t="inlineStr">
        <is>
          <t>00, 03, 04, 50, 53, 54, 80, 83, 84</t>
        </is>
      </c>
      <c r="L181" s="6" t="inlineStr">
        <is>
          <t>TRÚNG 🎯</t>
        </is>
      </c>
      <c r="M181" s="6" t="inlineStr">
        <is>
          <t>TRÚNG KHUNG 🎯</t>
        </is>
      </c>
    </row>
    <row r="182">
      <c r="A182" s="2" t="n">
        <v>178</v>
      </c>
      <c r="B182" s="2" t="inlineStr">
        <is>
          <t>Thứ tư ngày 01-07-2026</t>
        </is>
      </c>
      <c r="C182" s="3" t="inlineStr">
        <is>
          <t>51139</t>
        </is>
      </c>
      <c r="D182" s="3" t="inlineStr">
        <is>
          <t>39</t>
        </is>
      </c>
      <c r="E182" s="3" t="inlineStr">
        <is>
          <t>Đầu 3</t>
        </is>
      </c>
      <c r="F182" s="3" t="inlineStr">
        <is>
          <t>Đuôi 9</t>
        </is>
      </c>
      <c r="G182" s="3" t="inlineStr">
        <is>
          <t>8, 0, 3</t>
        </is>
      </c>
      <c r="H182" s="6" t="inlineStr">
        <is>
          <t>TRÚNG 🎯</t>
        </is>
      </c>
      <c r="I182" s="3" t="inlineStr">
        <is>
          <t>3, 0, 5</t>
        </is>
      </c>
      <c r="J182" s="7" t="inlineStr">
        <is>
          <t>TRƯỢT ❌</t>
        </is>
      </c>
      <c r="K182" s="3" t="inlineStr">
        <is>
          <t>00, 03, 05, 30, 33, 35, 80, 83, 85</t>
        </is>
      </c>
      <c r="L182" s="7" t="inlineStr">
        <is>
          <t>TRƯỢT ❌</t>
        </is>
      </c>
      <c r="M182" s="7" t="inlineStr">
        <is>
          <t>TRƯỢT KHUNG ❌</t>
        </is>
      </c>
    </row>
    <row r="183">
      <c r="A183" s="2" t="n">
        <v>179</v>
      </c>
      <c r="B183" s="2" t="inlineStr">
        <is>
          <t>Thứ năm ngày 02-07-2026</t>
        </is>
      </c>
      <c r="C183" s="3" t="inlineStr">
        <is>
          <t>18165</t>
        </is>
      </c>
      <c r="D183" s="3" t="inlineStr">
        <is>
          <t>65</t>
        </is>
      </c>
      <c r="E183" s="3" t="inlineStr">
        <is>
          <t>Đầu 6</t>
        </is>
      </c>
      <c r="F183" s="3" t="inlineStr">
        <is>
          <t>Đuôi 5</t>
        </is>
      </c>
      <c r="G183" s="3" t="inlineStr">
        <is>
          <t>8, 0, 5</t>
        </is>
      </c>
      <c r="H183" s="7" t="inlineStr">
        <is>
          <t>TRƯỢT ❌</t>
        </is>
      </c>
      <c r="I183" s="3" t="inlineStr">
        <is>
          <t>3, 0, 2</t>
        </is>
      </c>
      <c r="J183" s="7" t="inlineStr">
        <is>
          <t>TRƯỢT ❌</t>
        </is>
      </c>
      <c r="K183" s="3" t="inlineStr">
        <is>
          <t>00, 02, 03, 50, 52, 53, 80, 82, 83</t>
        </is>
      </c>
      <c r="L183" s="7" t="inlineStr">
        <is>
          <t>TRƯỢT ❌</t>
        </is>
      </c>
      <c r="M183" s="7" t="inlineStr">
        <is>
          <t>TRƯỢT KHUNG ❌</t>
        </is>
      </c>
    </row>
    <row r="184">
      <c r="A184" s="2" t="n">
        <v>180</v>
      </c>
      <c r="B184" s="2" t="inlineStr">
        <is>
          <t>Thứ sáu ngày 03-07-2026</t>
        </is>
      </c>
      <c r="C184" s="3" t="inlineStr">
        <is>
          <t>14887</t>
        </is>
      </c>
      <c r="D184" s="3" t="inlineStr">
        <is>
          <t>87</t>
        </is>
      </c>
      <c r="E184" s="3" t="inlineStr">
        <is>
          <t>Đầu 8</t>
        </is>
      </c>
      <c r="F184" s="3" t="inlineStr">
        <is>
          <t>Đuôi 7</t>
        </is>
      </c>
      <c r="G184" s="3" t="inlineStr">
        <is>
          <t>8, 0, 5</t>
        </is>
      </c>
      <c r="H184" s="6" t="inlineStr">
        <is>
          <t>TRÚNG 🎯</t>
        </is>
      </c>
      <c r="I184" s="3" t="inlineStr">
        <is>
          <t>3, 0, 2</t>
        </is>
      </c>
      <c r="J184" s="7" t="inlineStr">
        <is>
          <t>TRƯỢT ❌</t>
        </is>
      </c>
      <c r="K184" s="3" t="inlineStr">
        <is>
          <t>00, 02, 03, 50, 52, 53, 80, 82, 83</t>
        </is>
      </c>
      <c r="L184" s="7" t="inlineStr">
        <is>
          <t>TRƯỢT ❌</t>
        </is>
      </c>
      <c r="M184" s="7" t="inlineStr">
        <is>
          <t>TRƯỢT KHUNG ❌</t>
        </is>
      </c>
    </row>
    <row r="185">
      <c r="A185" s="2" t="n">
        <v>181</v>
      </c>
      <c r="B185" s="2" t="inlineStr">
        <is>
          <t>Thứ bảy ngày 04-07-2026</t>
        </is>
      </c>
      <c r="C185" s="3" t="inlineStr">
        <is>
          <t>66771</t>
        </is>
      </c>
      <c r="D185" s="3" t="inlineStr">
        <is>
          <t>71</t>
        </is>
      </c>
      <c r="E185" s="3" t="inlineStr">
        <is>
          <t>Đầu 7</t>
        </is>
      </c>
      <c r="F185" s="3" t="inlineStr">
        <is>
          <t>Đuôi 1</t>
        </is>
      </c>
      <c r="G185" s="3" t="inlineStr">
        <is>
          <t>5, 0, 3</t>
        </is>
      </c>
      <c r="H185" s="7" t="inlineStr">
        <is>
          <t>TRƯỢT ❌</t>
        </is>
      </c>
      <c r="I185" s="3" t="inlineStr">
        <is>
          <t>3, 4, 0</t>
        </is>
      </c>
      <c r="J185" s="7" t="inlineStr">
        <is>
          <t>TRƯỢT ❌</t>
        </is>
      </c>
      <c r="K185" s="3" t="inlineStr">
        <is>
          <t>00, 03, 04, 30, 33, 34, 50, 53, 54</t>
        </is>
      </c>
      <c r="L185" s="7" t="inlineStr">
        <is>
          <t>TRƯỢT ❌</t>
        </is>
      </c>
      <c r="M185" s="7" t="inlineStr">
        <is>
          <t>TRƯỢT KHUNG ❌</t>
        </is>
      </c>
    </row>
    <row r="186">
      <c r="A186" s="2" t="n">
        <v>182</v>
      </c>
      <c r="B186" s="2" t="inlineStr">
        <is>
          <t>Chủ nhật ngày 05-07-2026</t>
        </is>
      </c>
      <c r="C186" s="3" t="inlineStr">
        <is>
          <t>43497</t>
        </is>
      </c>
      <c r="D186" s="3" t="inlineStr">
        <is>
          <t>97</t>
        </is>
      </c>
      <c r="E186" s="3" t="inlineStr">
        <is>
          <t>Đầu 9</t>
        </is>
      </c>
      <c r="F186" s="3" t="inlineStr">
        <is>
          <t>Đuôi 7</t>
        </is>
      </c>
      <c r="G186" s="3" t="inlineStr">
        <is>
          <t>5, 0, 3</t>
        </is>
      </c>
      <c r="H186" s="7" t="inlineStr">
        <is>
          <t>TRƯỢT ❌</t>
        </is>
      </c>
      <c r="I186" s="3" t="inlineStr">
        <is>
          <t>3, 4, 0</t>
        </is>
      </c>
      <c r="J186" s="7" t="inlineStr">
        <is>
          <t>TRƯỢT ❌</t>
        </is>
      </c>
      <c r="K186" s="3" t="inlineStr">
        <is>
          <t>00, 03, 04, 30, 33, 34, 50, 53, 54</t>
        </is>
      </c>
      <c r="L186" s="7" t="inlineStr">
        <is>
          <t>TRƯỢT ❌</t>
        </is>
      </c>
      <c r="M186" s="7" t="inlineStr">
        <is>
          <t>TRƯỢT KHUNG ❌</t>
        </is>
      </c>
    </row>
    <row r="187">
      <c r="A187" s="2" t="n">
        <v>183</v>
      </c>
      <c r="B187" s="2" t="inlineStr">
        <is>
          <t>Thứ hai ngày 06-07-2026</t>
        </is>
      </c>
      <c r="C187" s="3" t="inlineStr">
        <is>
          <t>92579</t>
        </is>
      </c>
      <c r="D187" s="3" t="inlineStr">
        <is>
          <t>79</t>
        </is>
      </c>
      <c r="E187" s="3" t="inlineStr">
        <is>
          <t>Đầu 7</t>
        </is>
      </c>
      <c r="F187" s="3" t="inlineStr">
        <is>
          <t>Đuôi 9</t>
        </is>
      </c>
      <c r="G187" s="3" t="inlineStr">
        <is>
          <t>5, 0, 8</t>
        </is>
      </c>
      <c r="H187" s="7" t="inlineStr">
        <is>
          <t>TRƯỢT ❌</t>
        </is>
      </c>
      <c r="I187" s="3" t="inlineStr">
        <is>
          <t>3, 4, 2</t>
        </is>
      </c>
      <c r="J187" s="7" t="inlineStr">
        <is>
          <t>TRƯỢT ❌</t>
        </is>
      </c>
      <c r="K187" s="3" t="inlineStr">
        <is>
          <t>02, 03, 04, 52, 53, 54, 82, 83, 84</t>
        </is>
      </c>
      <c r="L187" s="7" t="inlineStr">
        <is>
          <t>TRƯỢT ❌</t>
        </is>
      </c>
      <c r="M187" s="7" t="inlineStr">
        <is>
          <t>TRƯỢT KHUNG ❌</t>
        </is>
      </c>
    </row>
    <row r="188">
      <c r="A188" s="2" t="n">
        <v>184</v>
      </c>
      <c r="B188" s="2" t="inlineStr">
        <is>
          <t>Thứ ba ngày 07-07-2026</t>
        </is>
      </c>
      <c r="C188" s="3" t="inlineStr">
        <is>
          <t>95089</t>
        </is>
      </c>
      <c r="D188" s="3" t="inlineStr">
        <is>
          <t>89</t>
        </is>
      </c>
      <c r="E188" s="3" t="inlineStr">
        <is>
          <t>Đầu 8</t>
        </is>
      </c>
      <c r="F188" s="3" t="inlineStr">
        <is>
          <t>Đuôi 9</t>
        </is>
      </c>
      <c r="G188" s="3" t="inlineStr">
        <is>
          <t>5, 8, 0</t>
        </is>
      </c>
      <c r="H188" s="6" t="inlineStr">
        <is>
          <t>TRÚNG 🎯</t>
        </is>
      </c>
      <c r="I188" s="3" t="inlineStr">
        <is>
          <t>3, 4, 2</t>
        </is>
      </c>
      <c r="J188" s="7" t="inlineStr">
        <is>
          <t>TRƯỢT ❌</t>
        </is>
      </c>
      <c r="K188" s="3" t="inlineStr">
        <is>
          <t>02, 03, 04, 52, 53, 54, 82, 83, 84</t>
        </is>
      </c>
      <c r="L188" s="7" t="inlineStr">
        <is>
          <t>TRƯỢT ❌</t>
        </is>
      </c>
      <c r="M188" s="7" t="inlineStr">
        <is>
          <t>TRƯỢT KHUNG ❌</t>
        </is>
      </c>
    </row>
    <row r="189">
      <c r="A189" s="2" t="n">
        <v>185</v>
      </c>
      <c r="B189" s="2" t="inlineStr">
        <is>
          <t>Thứ tư ngày 08-07-2026</t>
        </is>
      </c>
      <c r="C189" s="3" t="inlineStr">
        <is>
          <t>69185</t>
        </is>
      </c>
      <c r="D189" s="3" t="inlineStr">
        <is>
          <t>85</t>
        </is>
      </c>
      <c r="E189" s="3" t="inlineStr">
        <is>
          <t>Đầu 8</t>
        </is>
      </c>
      <c r="F189" s="3" t="inlineStr">
        <is>
          <t>Đuôi 5</t>
        </is>
      </c>
      <c r="G189" s="3" t="inlineStr">
        <is>
          <t>5, 0, 3</t>
        </is>
      </c>
      <c r="H189" s="7" t="inlineStr">
        <is>
          <t>TRƯỢT ❌</t>
        </is>
      </c>
      <c r="I189" s="3" t="inlineStr">
        <is>
          <t>3, 4, 1</t>
        </is>
      </c>
      <c r="J189" s="7" t="inlineStr">
        <is>
          <t>TRƯỢT ❌</t>
        </is>
      </c>
      <c r="K189" s="3" t="inlineStr">
        <is>
          <t>01, 03, 04, 31, 33, 34, 51, 53, 54</t>
        </is>
      </c>
      <c r="L189" s="7" t="inlineStr">
        <is>
          <t>TRƯỢT ❌</t>
        </is>
      </c>
      <c r="M189" s="6" t="inlineStr">
        <is>
          <t>TRÚNG KHUNG 🎯</t>
        </is>
      </c>
    </row>
    <row r="190">
      <c r="A190" s="2" t="n">
        <v>186</v>
      </c>
      <c r="B190" s="2" t="inlineStr">
        <is>
          <t>Thứ năm ngày 09-07-2026</t>
        </is>
      </c>
      <c r="C190" s="3" t="inlineStr">
        <is>
          <t>72767</t>
        </is>
      </c>
      <c r="D190" s="3" t="inlineStr">
        <is>
          <t>67</t>
        </is>
      </c>
      <c r="E190" s="3" t="inlineStr">
        <is>
          <t>Đầu 6</t>
        </is>
      </c>
      <c r="F190" s="3" t="inlineStr">
        <is>
          <t>Đuôi 7</t>
        </is>
      </c>
      <c r="G190" s="3" t="inlineStr">
        <is>
          <t>5, 8, 0</t>
        </is>
      </c>
      <c r="H190" s="7" t="inlineStr">
        <is>
          <t>TRƯỢT ❌</t>
        </is>
      </c>
      <c r="I190" s="3" t="inlineStr">
        <is>
          <t>3, 4, 2</t>
        </is>
      </c>
      <c r="J190" s="7" t="inlineStr">
        <is>
          <t>TRƯỢT ❌</t>
        </is>
      </c>
      <c r="K190" s="3" t="inlineStr">
        <is>
          <t>02, 03, 04, 52, 53, 54, 82, 83, 84</t>
        </is>
      </c>
      <c r="L190" s="7" t="inlineStr">
        <is>
          <t>TRƯỢT ❌</t>
        </is>
      </c>
      <c r="M190" s="7" t="inlineStr">
        <is>
          <t>TRƯỢT KHUNG ❌</t>
        </is>
      </c>
    </row>
    <row r="191">
      <c r="A191" s="2" t="n">
        <v>187</v>
      </c>
      <c r="B191" s="2" t="inlineStr">
        <is>
          <t>Thứ sáu ngày 10-07-2026</t>
        </is>
      </c>
      <c r="C191" s="3" t="inlineStr">
        <is>
          <t>09401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8, 5, 3</t>
        </is>
      </c>
      <c r="H191" s="7" t="inlineStr">
        <is>
          <t>TRƯỢT ❌</t>
        </is>
      </c>
      <c r="I191" s="3" t="inlineStr">
        <is>
          <t>3, 4, 2</t>
        </is>
      </c>
      <c r="J191" s="7" t="inlineStr">
        <is>
          <t>TRƯỢT ❌</t>
        </is>
      </c>
      <c r="K191" s="3" t="inlineStr">
        <is>
          <t>32, 33, 34, 52, 53, 54, 82, 83, 84</t>
        </is>
      </c>
      <c r="L191" s="7" t="inlineStr">
        <is>
          <t>TRƯỢT ❌</t>
        </is>
      </c>
      <c r="M191" s="7" t="inlineStr">
        <is>
          <t>TRƯỢT KHUNG ❌</t>
        </is>
      </c>
    </row>
    <row r="192">
      <c r="A192" s="2" t="n">
        <v>188</v>
      </c>
      <c r="B192" s="2" t="inlineStr">
        <is>
          <t>Thứ bảy ngày 11-07-2026</t>
        </is>
      </c>
      <c r="C192" s="3" t="inlineStr">
        <is>
          <t>10494</t>
        </is>
      </c>
      <c r="D192" s="3" t="inlineStr">
        <is>
          <t>94</t>
        </is>
      </c>
      <c r="E192" s="3" t="inlineStr">
        <is>
          <t>Đầu 9</t>
        </is>
      </c>
      <c r="F192" s="3" t="inlineStr">
        <is>
          <t>Đuôi 4</t>
        </is>
      </c>
      <c r="G192" s="3" t="inlineStr">
        <is>
          <t>8, 5, 3</t>
        </is>
      </c>
      <c r="H192" s="7" t="inlineStr">
        <is>
          <t>TRƯỢT ❌</t>
        </is>
      </c>
      <c r="I192" s="3" t="inlineStr">
        <is>
          <t>4, 9, 2</t>
        </is>
      </c>
      <c r="J192" s="6" t="inlineStr">
        <is>
          <t>TRÚNG 🎯</t>
        </is>
      </c>
      <c r="K192" s="3" t="inlineStr">
        <is>
          <t>32, 34, 39, 52, 54, 59, 82, 84, 89</t>
        </is>
      </c>
      <c r="L192" s="7" t="inlineStr">
        <is>
          <t>TRƯỢT ❌</t>
        </is>
      </c>
      <c r="M192" s="7" t="inlineStr">
        <is>
          <t>TRƯỢT KHUNG ❌</t>
        </is>
      </c>
    </row>
    <row r="193">
      <c r="A193" s="2" t="n">
        <v>189</v>
      </c>
      <c r="B193" s="2" t="inlineStr">
        <is>
          <t>Chủ nhật ngày 12-07-2026</t>
        </is>
      </c>
      <c r="C193" s="3" t="inlineStr">
        <is>
          <t>74299</t>
        </is>
      </c>
      <c r="D193" s="3" t="inlineStr">
        <is>
          <t>99</t>
        </is>
      </c>
      <c r="E193" s="3" t="inlineStr">
        <is>
          <t>Đầu 9</t>
        </is>
      </c>
      <c r="F193" s="3" t="inlineStr">
        <is>
          <t>Đuôi 9</t>
        </is>
      </c>
      <c r="G193" s="3" t="inlineStr">
        <is>
          <t>8, 5, 3</t>
        </is>
      </c>
      <c r="H193" s="7" t="inlineStr">
        <is>
          <t>TRƯỢT ❌</t>
        </is>
      </c>
      <c r="I193" s="3" t="inlineStr">
        <is>
          <t>2, 3, 5</t>
        </is>
      </c>
      <c r="J193" s="7" t="inlineStr">
        <is>
          <t>TRƯỢT ❌</t>
        </is>
      </c>
      <c r="K193" s="3" t="inlineStr">
        <is>
          <t>32, 33, 35, 52, 53, 55, 82, 83, 85</t>
        </is>
      </c>
      <c r="L193" s="7" t="inlineStr">
        <is>
          <t>TRƯỢT ❌</t>
        </is>
      </c>
      <c r="M193" s="7" t="inlineStr">
        <is>
          <t>TRƯỢT KHUNG ❌</t>
        </is>
      </c>
    </row>
    <row r="194">
      <c r="A194" s="2" t="n">
        <v>190</v>
      </c>
      <c r="B194" s="2" t="inlineStr">
        <is>
          <t>Thứ hai ngày 13-07-2026</t>
        </is>
      </c>
      <c r="C194" s="3" t="inlineStr">
        <is>
          <t>59147</t>
        </is>
      </c>
      <c r="D194" s="3" t="inlineStr">
        <is>
          <t>47</t>
        </is>
      </c>
      <c r="E194" s="3" t="inlineStr">
        <is>
          <t>Đầu 4</t>
        </is>
      </c>
      <c r="F194" s="3" t="inlineStr">
        <is>
          <t>Đuôi 7</t>
        </is>
      </c>
      <c r="G194" s="3" t="inlineStr">
        <is>
          <t>8, 5, 3</t>
        </is>
      </c>
      <c r="H194" s="7" t="inlineStr">
        <is>
          <t>TRƯỢT ❌</t>
        </is>
      </c>
      <c r="I194" s="3" t="inlineStr">
        <is>
          <t>7, 2, 5</t>
        </is>
      </c>
      <c r="J194" s="6" t="inlineStr">
        <is>
          <t>TRÚNG 🎯</t>
        </is>
      </c>
      <c r="K194" s="3" t="inlineStr">
        <is>
          <t>32, 35, 37, 52, 55, 57, 82, 85, 87</t>
        </is>
      </c>
      <c r="L194" s="7" t="inlineStr">
        <is>
          <t>TRƯỢT ❌</t>
        </is>
      </c>
      <c r="M194" s="7" t="inlineStr">
        <is>
          <t>TRƯỢT KHUNG ❌</t>
        </is>
      </c>
    </row>
    <row r="195">
      <c r="A195" s="2" t="n">
        <v>191</v>
      </c>
      <c r="B195" s="2" t="inlineStr">
        <is>
          <t>Thứ ba ngày 14-07-2026</t>
        </is>
      </c>
      <c r="C195" s="3" t="inlineStr">
        <is>
          <t>36119</t>
        </is>
      </c>
      <c r="D195" s="3" t="inlineStr">
        <is>
          <t>19</t>
        </is>
      </c>
      <c r="E195" s="3" t="inlineStr">
        <is>
          <t>Đầu 1</t>
        </is>
      </c>
      <c r="F195" s="3" t="inlineStr">
        <is>
          <t>Đuôi 9</t>
        </is>
      </c>
      <c r="G195" s="3" t="inlineStr">
        <is>
          <t>8, 5, 3</t>
        </is>
      </c>
      <c r="H195" s="7" t="inlineStr">
        <is>
          <t>TRƯỢT ❌</t>
        </is>
      </c>
      <c r="I195" s="3" t="inlineStr">
        <is>
          <t>1, 2, 5</t>
        </is>
      </c>
      <c r="J195" s="7" t="inlineStr">
        <is>
          <t>TRƯỢT ❌</t>
        </is>
      </c>
      <c r="K195" s="3" t="inlineStr">
        <is>
          <t>31, 32, 35, 51, 52, 55, 81, 82, 85</t>
        </is>
      </c>
      <c r="L195" s="7" t="inlineStr">
        <is>
          <t>TRƯỢT ❌</t>
        </is>
      </c>
      <c r="M195" s="7" t="inlineStr">
        <is>
          <t>TRƯỢT KHUNG ❌</t>
        </is>
      </c>
    </row>
    <row r="196">
      <c r="A196" s="2" t="n">
        <v>192</v>
      </c>
      <c r="B196" s="2" t="inlineStr">
        <is>
          <t>Thứ tư ngày 15-07-2026</t>
        </is>
      </c>
      <c r="C196" s="3" t="inlineStr">
        <is>
          <t>96763</t>
        </is>
      </c>
      <c r="D196" s="3" t="inlineStr">
        <is>
          <t>63</t>
        </is>
      </c>
      <c r="E196" s="3" t="inlineStr">
        <is>
          <t>Đầu 6</t>
        </is>
      </c>
      <c r="F196" s="3" t="inlineStr">
        <is>
          <t>Đuôi 3</t>
        </is>
      </c>
      <c r="G196" s="3" t="inlineStr">
        <is>
          <t>5, 8, 3</t>
        </is>
      </c>
      <c r="H196" s="7" t="inlineStr">
        <is>
          <t>TRƯỢT ❌</t>
        </is>
      </c>
      <c r="I196" s="3" t="inlineStr">
        <is>
          <t>4, 1, 5</t>
        </is>
      </c>
      <c r="J196" s="7" t="inlineStr">
        <is>
          <t>TRƯỢT ❌</t>
        </is>
      </c>
      <c r="K196" s="3" t="inlineStr">
        <is>
          <t>31, 34, 35, 51, 54, 55, 81, 84, 85</t>
        </is>
      </c>
      <c r="L196" s="7" t="inlineStr">
        <is>
          <t>TRƯỢT ❌</t>
        </is>
      </c>
      <c r="M196" s="7" t="inlineStr">
        <is>
          <t>TRƯỢT KHUNG ❌</t>
        </is>
      </c>
    </row>
    <row r="197">
      <c r="A197" s="2" t="n">
        <v>193</v>
      </c>
      <c r="B197" s="2" t="inlineStr">
        <is>
          <t>Thứ năm ngày 16-07-2026</t>
        </is>
      </c>
      <c r="C197" s="3" t="inlineStr">
        <is>
          <t>45739</t>
        </is>
      </c>
      <c r="D197" s="3" t="inlineStr">
        <is>
          <t>39</t>
        </is>
      </c>
      <c r="E197" s="3" t="inlineStr">
        <is>
          <t>Đầu 3</t>
        </is>
      </c>
      <c r="F197" s="3" t="inlineStr">
        <is>
          <t>Đuôi 9</t>
        </is>
      </c>
      <c r="G197" s="3" t="inlineStr">
        <is>
          <t>5, 3, 8</t>
        </is>
      </c>
      <c r="H197" s="6" t="inlineStr">
        <is>
          <t>TRÚNG 🎯</t>
        </is>
      </c>
      <c r="I197" s="3" t="inlineStr">
        <is>
          <t>7, 1, 4</t>
        </is>
      </c>
      <c r="J197" s="7" t="inlineStr">
        <is>
          <t>TRƯỢT ❌</t>
        </is>
      </c>
      <c r="K197" s="3" t="inlineStr">
        <is>
          <t>31, 34, 37, 51, 54, 57, 81, 84, 87</t>
        </is>
      </c>
      <c r="L197" s="7" t="inlineStr">
        <is>
          <t>TRƯỢT ❌</t>
        </is>
      </c>
      <c r="M197" s="7" t="inlineStr">
        <is>
          <t>TRƯỢT KHUNG ❌</t>
        </is>
      </c>
    </row>
    <row r="198">
      <c r="A198" s="2" t="n">
        <v>194</v>
      </c>
      <c r="B198" s="2" t="inlineStr">
        <is>
          <t>Thứ sáu ngày 17-07-2026</t>
        </is>
      </c>
      <c r="C198" s="3" t="inlineStr">
        <is>
          <t>26890</t>
        </is>
      </c>
      <c r="D198" s="3" t="inlineStr">
        <is>
          <t>90</t>
        </is>
      </c>
      <c r="E198" s="3" t="inlineStr">
        <is>
          <t>Đầu 9</t>
        </is>
      </c>
      <c r="F198" s="3" t="inlineStr">
        <is>
          <t>Đuôi 0</t>
        </is>
      </c>
      <c r="G198" s="3" t="inlineStr">
        <is>
          <t>8, 5, 9</t>
        </is>
      </c>
      <c r="H198" s="6" t="inlineStr">
        <is>
          <t>TRÚNG 🎯</t>
        </is>
      </c>
      <c r="I198" s="3" t="inlineStr">
        <is>
          <t>7, 1, 4</t>
        </is>
      </c>
      <c r="J198" s="7" t="inlineStr">
        <is>
          <t>TRƯỢT ❌</t>
        </is>
      </c>
      <c r="K198" s="3" t="inlineStr">
        <is>
          <t>51, 54, 57, 81, 84, 87, 91, 94, 97</t>
        </is>
      </c>
      <c r="L198" s="7" t="inlineStr">
        <is>
          <t>TRƯỢT ❌</t>
        </is>
      </c>
      <c r="M198" s="7" t="inlineStr">
        <is>
          <t>TRƯỢT KHUNG ❌</t>
        </is>
      </c>
    </row>
    <row r="199">
      <c r="A199" s="2" t="n">
        <v>195</v>
      </c>
      <c r="B199" s="2" t="inlineStr">
        <is>
          <t>Thứ bảy ngày 18-07-2026</t>
        </is>
      </c>
      <c r="C199" s="3" t="inlineStr">
        <is>
          <t>46438</t>
        </is>
      </c>
      <c r="D199" s="3" t="inlineStr">
        <is>
          <t>38</t>
        </is>
      </c>
      <c r="E199" s="3" t="inlineStr">
        <is>
          <t>Đầu 3</t>
        </is>
      </c>
      <c r="F199" s="3" t="inlineStr">
        <is>
          <t>Đuôi 8</t>
        </is>
      </c>
      <c r="G199" s="3" t="inlineStr">
        <is>
          <t>8, 5, 6</t>
        </is>
      </c>
      <c r="H199" s="7" t="inlineStr">
        <is>
          <t>TRƯỢT ❌</t>
        </is>
      </c>
      <c r="I199" s="3" t="inlineStr">
        <is>
          <t>7, 9, 1</t>
        </is>
      </c>
      <c r="J199" s="7" t="inlineStr">
        <is>
          <t>TRƯỢT ❌</t>
        </is>
      </c>
      <c r="K199" s="3" t="inlineStr">
        <is>
          <t>51, 57, 59, 61, 67, 69, 81, 87, 89</t>
        </is>
      </c>
      <c r="L199" s="7" t="inlineStr">
        <is>
          <t>TRƯỢT ❌</t>
        </is>
      </c>
      <c r="M199" s="7" t="inlineStr">
        <is>
          <t>TRƯỢT KHUNG ❌</t>
        </is>
      </c>
    </row>
    <row r="200">
      <c r="A200" s="2" t="n">
        <v>196</v>
      </c>
      <c r="B200" s="2" t="inlineStr">
        <is>
          <t>Chủ nhật ngày 19-07-2026</t>
        </is>
      </c>
      <c r="C200" s="3" t="inlineStr">
        <is>
          <t>39128</t>
        </is>
      </c>
      <c r="D200" s="3" t="inlineStr">
        <is>
          <t>28</t>
        </is>
      </c>
      <c r="E200" s="3" t="inlineStr">
        <is>
          <t>Đầu 2</t>
        </is>
      </c>
      <c r="F200" s="3" t="inlineStr">
        <is>
          <t>Đuôi 8</t>
        </is>
      </c>
      <c r="G200" s="3" t="inlineStr">
        <is>
          <t>6, 8, 5</t>
        </is>
      </c>
      <c r="H200" s="7" t="inlineStr">
        <is>
          <t>TRƯỢT ❌</t>
        </is>
      </c>
      <c r="I200" s="3" t="inlineStr">
        <is>
          <t>7, 9, 1</t>
        </is>
      </c>
      <c r="J200" s="7" t="inlineStr">
        <is>
          <t>TRƯỢT ❌</t>
        </is>
      </c>
      <c r="K200" s="3" t="inlineStr">
        <is>
          <t>51, 57, 59, 61, 67, 69, 81, 87, 89</t>
        </is>
      </c>
      <c r="L200" s="7" t="inlineStr">
        <is>
          <t>TRƯỢT ❌</t>
        </is>
      </c>
      <c r="M200" s="7" t="inlineStr">
        <is>
          <t>TRƯỢT KHUNG ❌</t>
        </is>
      </c>
    </row>
    <row r="201">
      <c r="A201" s="2" t="n">
        <v>197</v>
      </c>
      <c r="B201" s="2" t="inlineStr">
        <is>
          <t>Thứ hai ngày 20-07-2026</t>
        </is>
      </c>
      <c r="C201" s="3" t="inlineStr">
        <is>
          <t>73070</t>
        </is>
      </c>
      <c r="D201" s="3" t="inlineStr">
        <is>
          <t>70</t>
        </is>
      </c>
      <c r="E201" s="3" t="inlineStr">
        <is>
          <t>Đầu 7</t>
        </is>
      </c>
      <c r="F201" s="3" t="inlineStr">
        <is>
          <t>Đuôi 0</t>
        </is>
      </c>
      <c r="G201" s="3" t="inlineStr">
        <is>
          <t>6, 8, 3</t>
        </is>
      </c>
      <c r="H201" s="7" t="inlineStr">
        <is>
          <t>TRƯỢT ❌</t>
        </is>
      </c>
      <c r="I201" s="3" t="inlineStr">
        <is>
          <t>9, 7, 1</t>
        </is>
      </c>
      <c r="J201" s="7" t="inlineStr">
        <is>
          <t>TRƯỢT ❌</t>
        </is>
      </c>
      <c r="K201" s="3" t="inlineStr">
        <is>
          <t>31, 37, 39, 61, 67, 69, 81, 87, 89</t>
        </is>
      </c>
      <c r="L201" s="7" t="inlineStr">
        <is>
          <t>TRƯỢT ❌</t>
        </is>
      </c>
      <c r="M201" s="7" t="inlineStr">
        <is>
          <t>TRƯỢT KHUNG ❌</t>
        </is>
      </c>
    </row>
    <row r="202">
      <c r="A202" s="2" t="n">
        <v>198</v>
      </c>
      <c r="B202" s="2" t="inlineStr">
        <is>
          <t>Thứ ba ngày 21-07-2026</t>
        </is>
      </c>
      <c r="C202" s="3" t="inlineStr">
        <is>
          <t>92154</t>
        </is>
      </c>
      <c r="D202" s="3" t="inlineStr">
        <is>
          <t>54</t>
        </is>
      </c>
      <c r="E202" s="3" t="inlineStr">
        <is>
          <t>Đầu 5</t>
        </is>
      </c>
      <c r="F202" s="3" t="inlineStr">
        <is>
          <t>Đuôi 4</t>
        </is>
      </c>
      <c r="G202" s="3" t="inlineStr">
        <is>
          <t>6, 9, 3</t>
        </is>
      </c>
      <c r="H202" s="7" t="inlineStr">
        <is>
          <t>TRƯỢT ❌</t>
        </is>
      </c>
      <c r="I202" s="3" t="inlineStr">
        <is>
          <t>9, 7, 1</t>
        </is>
      </c>
      <c r="J202" s="7" t="inlineStr">
        <is>
          <t>TRƯỢT ❌</t>
        </is>
      </c>
      <c r="K202" s="3" t="inlineStr">
        <is>
          <t>31, 37, 39, 61, 67, 69, 91, 97, 99</t>
        </is>
      </c>
      <c r="L202" s="7" t="inlineStr">
        <is>
          <t>TRƯỢT ❌</t>
        </is>
      </c>
      <c r="M202" s="7" t="inlineStr">
        <is>
          <t>TRƯỢT KHUNG ❌</t>
        </is>
      </c>
    </row>
    <row r="203">
      <c r="A203" s="2" t="n">
        <v>199</v>
      </c>
      <c r="B203" s="2" t="inlineStr">
        <is>
          <t>Thứ tư ngày 22-07-2026</t>
        </is>
      </c>
      <c r="C203" s="3" t="inlineStr">
        <is>
          <t>78754</t>
        </is>
      </c>
      <c r="D203" s="3" t="inlineStr">
        <is>
          <t>54</t>
        </is>
      </c>
      <c r="E203" s="3" t="inlineStr">
        <is>
          <t>Đầu 5</t>
        </is>
      </c>
      <c r="F203" s="3" t="inlineStr">
        <is>
          <t>Đuôi 4</t>
        </is>
      </c>
      <c r="G203" s="3" t="inlineStr">
        <is>
          <t>3, 6, 9</t>
        </is>
      </c>
      <c r="H203" s="7" t="inlineStr">
        <is>
          <t>TRƯỢT ❌</t>
        </is>
      </c>
      <c r="I203" s="3" t="inlineStr">
        <is>
          <t>9, 7, 1</t>
        </is>
      </c>
      <c r="J203" s="7" t="inlineStr">
        <is>
          <t>TRƯỢT ❌</t>
        </is>
      </c>
      <c r="K203" s="3" t="inlineStr">
        <is>
          <t>31, 37, 39, 61, 67, 69, 91, 97, 99</t>
        </is>
      </c>
      <c r="L203" s="7" t="inlineStr">
        <is>
          <t>TRƯỢT ❌</t>
        </is>
      </c>
      <c r="M203" s="7" t="inlineStr">
        <is>
          <t>TRƯỢT KHUNG ❌</t>
        </is>
      </c>
    </row>
    <row r="204">
      <c r="A204" s="2" t="n">
        <v>200</v>
      </c>
      <c r="B204" s="2" t="inlineStr">
        <is>
          <t>Thứ năm ngày 23-07-2026</t>
        </is>
      </c>
      <c r="C204" s="3" t="inlineStr">
        <is>
          <t>94738</t>
        </is>
      </c>
      <c r="D204" s="3" t="inlineStr">
        <is>
          <t>38</t>
        </is>
      </c>
      <c r="E204" s="3" t="inlineStr">
        <is>
          <t>Đầu 3</t>
        </is>
      </c>
      <c r="F204" s="3" t="inlineStr">
        <is>
          <t>Đuôi 8</t>
        </is>
      </c>
      <c r="G204" s="3" t="inlineStr">
        <is>
          <t>6, 9, 3</t>
        </is>
      </c>
      <c r="H204" s="6" t="inlineStr">
        <is>
          <t>TRÚNG 🎯</t>
        </is>
      </c>
      <c r="I204" s="3" t="inlineStr">
        <is>
          <t>9, 7, 1</t>
        </is>
      </c>
      <c r="J204" s="7" t="inlineStr">
        <is>
          <t>TRƯỢT ❌</t>
        </is>
      </c>
      <c r="K204" s="3" t="inlineStr">
        <is>
          <t>31, 37, 39, 61, 67, 69, 91, 97, 99</t>
        </is>
      </c>
      <c r="L204" s="7" t="inlineStr">
        <is>
          <t>TRƯỢT ❌</t>
        </is>
      </c>
      <c r="M204" s="7" t="inlineStr">
        <is>
          <t>TRƯỢT KHUNG ❌</t>
        </is>
      </c>
    </row>
    <row r="205">
      <c r="A205" s="2" t="n">
        <v>201</v>
      </c>
      <c r="B205" s="2" t="inlineStr">
        <is>
          <t>Thứ sáu ngày 24-07-2026</t>
        </is>
      </c>
      <c r="C205" s="3" t="inlineStr">
        <is>
          <t>89228</t>
        </is>
      </c>
      <c r="D205" s="3" t="inlineStr">
        <is>
          <t>28</t>
        </is>
      </c>
      <c r="E205" s="3" t="inlineStr">
        <is>
          <t>Đầu 2</t>
        </is>
      </c>
      <c r="F205" s="3" t="inlineStr">
        <is>
          <t>Đuôi 8</t>
        </is>
      </c>
      <c r="G205" s="3" t="inlineStr">
        <is>
          <t>6, 9, 7</t>
        </is>
      </c>
      <c r="H205" s="7" t="inlineStr">
        <is>
          <t>TRƯỢT ❌</t>
        </is>
      </c>
      <c r="I205" s="3" t="inlineStr">
        <is>
          <t>9, 7, 4</t>
        </is>
      </c>
      <c r="J205" s="7" t="inlineStr">
        <is>
          <t>TRƯỢT ❌</t>
        </is>
      </c>
      <c r="K205" s="3" t="inlineStr">
        <is>
          <t>64, 67, 69, 74, 77, 79, 94, 97, 99</t>
        </is>
      </c>
      <c r="L205" s="7" t="inlineStr">
        <is>
          <t>TRƯỢT ❌</t>
        </is>
      </c>
      <c r="M205" s="7" t="inlineStr">
        <is>
          <t>TRƯỢT KHUNG ❌</t>
        </is>
      </c>
    </row>
    <row r="206">
      <c r="A206" s="2" t="n">
        <v>202</v>
      </c>
      <c r="B206" s="2" t="inlineStr">
        <is>
          <t>Thứ bảy ngày 25-07-2026</t>
        </is>
      </c>
      <c r="C206" s="3" t="inlineStr">
        <is>
          <t>42916</t>
        </is>
      </c>
      <c r="D206" s="3" t="inlineStr">
        <is>
          <t>16</t>
        </is>
      </c>
      <c r="E206" s="3" t="inlineStr">
        <is>
          <t>Đầu 1</t>
        </is>
      </c>
      <c r="F206" s="3" t="inlineStr">
        <is>
          <t>Đuôi 6</t>
        </is>
      </c>
      <c r="G206" s="3" t="inlineStr">
        <is>
          <t>6, 9, 5</t>
        </is>
      </c>
      <c r="H206" s="7" t="inlineStr">
        <is>
          <t>TRƯỢT ❌</t>
        </is>
      </c>
      <c r="I206" s="3" t="inlineStr">
        <is>
          <t>9, 7, 4</t>
        </is>
      </c>
      <c r="J206" s="7" t="inlineStr">
        <is>
          <t>TRƯỢT ❌</t>
        </is>
      </c>
      <c r="K206" s="3" t="inlineStr">
        <is>
          <t>54, 57, 59, 64, 67, 69, 94, 97, 99</t>
        </is>
      </c>
      <c r="L206" s="7" t="inlineStr">
        <is>
          <t>TRƯỢT ❌</t>
        </is>
      </c>
      <c r="M206" s="7" t="inlineStr">
        <is>
          <t>TRƯỢT KHUNG ❌</t>
        </is>
      </c>
    </row>
    <row r="207">
      <c r="A207" s="2" t="n">
        <v>203</v>
      </c>
      <c r="B207" s="2" t="inlineStr">
        <is>
          <t>Chủ nhật ngày 26-07-2026</t>
        </is>
      </c>
      <c r="C207" s="3" t="inlineStr">
        <is>
          <t>54796</t>
        </is>
      </c>
      <c r="D207" s="3" t="inlineStr">
        <is>
          <t>96</t>
        </is>
      </c>
      <c r="E207" s="3" t="inlineStr">
        <is>
          <t>Đầu 9</t>
        </is>
      </c>
      <c r="F207" s="3" t="inlineStr">
        <is>
          <t>Đuôi 6</t>
        </is>
      </c>
      <c r="G207" s="3" t="inlineStr">
        <is>
          <t>5, 6, 9</t>
        </is>
      </c>
      <c r="H207" s="6" t="inlineStr">
        <is>
          <t>TRÚNG 🎯</t>
        </is>
      </c>
      <c r="I207" s="3" t="inlineStr">
        <is>
          <t>9, 4, 7</t>
        </is>
      </c>
      <c r="J207" s="7" t="inlineStr">
        <is>
          <t>TRƯỢT ❌</t>
        </is>
      </c>
      <c r="K207" s="3" t="inlineStr">
        <is>
          <t>54, 57, 59, 64, 67, 69, 94, 97, 99</t>
        </is>
      </c>
      <c r="L207" s="7" t="inlineStr">
        <is>
          <t>TRƯỢT ❌</t>
        </is>
      </c>
      <c r="M207" s="7" t="inlineStr">
        <is>
          <t>TRƯỢT KHUNG ❌</t>
        </is>
      </c>
    </row>
    <row r="208">
      <c r="A208" s="2" t="n">
        <v>204</v>
      </c>
      <c r="B208" s="2" t="inlineStr">
        <is>
          <t>Thứ hai ngày 27-07-2026</t>
        </is>
      </c>
      <c r="C208" s="3" t="inlineStr">
        <is>
          <t>65000</t>
        </is>
      </c>
      <c r="D208" s="3" t="inlineStr">
        <is>
          <t>00</t>
        </is>
      </c>
      <c r="E208" s="3" t="inlineStr">
        <is>
          <t>Đầu 0</t>
        </is>
      </c>
      <c r="F208" s="3" t="inlineStr">
        <is>
          <t>Đuôi 0</t>
        </is>
      </c>
      <c r="G208" s="3" t="inlineStr">
        <is>
          <t>3, 5, 6</t>
        </is>
      </c>
      <c r="H208" s="7" t="inlineStr">
        <is>
          <t>TRƯỢT ❌</t>
        </is>
      </c>
      <c r="I208" s="3" t="inlineStr">
        <is>
          <t>9, 4, 7</t>
        </is>
      </c>
      <c r="J208" s="7" t="inlineStr">
        <is>
          <t>TRƯỢT ❌</t>
        </is>
      </c>
      <c r="K208" s="3" t="inlineStr">
        <is>
          <t>34, 37, 39, 54, 57, 59, 64, 67, 69</t>
        </is>
      </c>
      <c r="L208" s="7" t="inlineStr">
        <is>
          <t>TRƯỢT ❌</t>
        </is>
      </c>
      <c r="M208" s="6" t="inlineStr">
        <is>
          <t>TRÚNG KHUNG 🎯</t>
        </is>
      </c>
    </row>
    <row r="209">
      <c r="A209" s="2" t="n">
        <v>205</v>
      </c>
      <c r="B209" s="2" t="inlineStr">
        <is>
          <t>Thứ ba ngày 28-07-2026</t>
        </is>
      </c>
      <c r="C209" s="3" t="inlineStr">
        <is>
          <t>39983</t>
        </is>
      </c>
      <c r="D209" s="3" t="inlineStr">
        <is>
          <t>83</t>
        </is>
      </c>
      <c r="E209" s="3" t="inlineStr">
        <is>
          <t>Đầu 8</t>
        </is>
      </c>
      <c r="F209" s="3" t="inlineStr">
        <is>
          <t>Đuôi 3</t>
        </is>
      </c>
      <c r="G209" s="3" t="inlineStr">
        <is>
          <t>3, 6, 5</t>
        </is>
      </c>
      <c r="H209" s="7" t="inlineStr">
        <is>
          <t>TRƯỢT ❌</t>
        </is>
      </c>
      <c r="I209" s="3" t="inlineStr">
        <is>
          <t>9, 8, 4</t>
        </is>
      </c>
      <c r="J209" s="7" t="inlineStr">
        <is>
          <t>TRƯỢT ❌</t>
        </is>
      </c>
      <c r="K209" s="3" t="inlineStr">
        <is>
          <t>34, 38, 39, 54, 58, 59, 64, 68, 69</t>
        </is>
      </c>
      <c r="L209" s="7" t="inlineStr">
        <is>
          <t>TRƯỢT ❌</t>
        </is>
      </c>
      <c r="M209" s="6" t="inlineStr">
        <is>
          <t>TRÚNG KHUNG 🎯</t>
        </is>
      </c>
    </row>
    <row r="210">
      <c r="A210" s="2" t="n">
        <v>206</v>
      </c>
      <c r="B210" s="2" t="inlineStr">
        <is>
          <t>Thứ tư ngày 29-07-2026</t>
        </is>
      </c>
      <c r="C210" s="3" t="inlineStr">
        <is>
          <t>50834</t>
        </is>
      </c>
      <c r="D210" s="3" t="inlineStr">
        <is>
          <t>34</t>
        </is>
      </c>
      <c r="E210" s="3" t="inlineStr">
        <is>
          <t>Đầu 3</t>
        </is>
      </c>
      <c r="F210" s="3" t="inlineStr">
        <is>
          <t>Đuôi 4</t>
        </is>
      </c>
      <c r="G210" s="3" t="inlineStr">
        <is>
          <t>3, 6, 9</t>
        </is>
      </c>
      <c r="H210" s="6" t="inlineStr">
        <is>
          <t>TRÚNG 🎯</t>
        </is>
      </c>
      <c r="I210" s="3" t="inlineStr">
        <is>
          <t>9, 8, 4</t>
        </is>
      </c>
      <c r="J210" s="6" t="inlineStr">
        <is>
          <t>TRÚNG 🎯</t>
        </is>
      </c>
      <c r="K210" s="3" t="inlineStr">
        <is>
          <t>34, 38, 39, 64, 68, 69, 94, 98, 99</t>
        </is>
      </c>
      <c r="L210" s="6" t="inlineStr">
        <is>
          <t>TRÚNG 🎯</t>
        </is>
      </c>
      <c r="M210" s="6" t="inlineStr">
        <is>
          <t>TRÚNG KHUNG 🎯</t>
        </is>
      </c>
    </row>
    <row r="211">
      <c r="A211" s="2" t="n">
        <v>207</v>
      </c>
      <c r="B211" s="2" t="inlineStr">
        <is>
          <t>Thứ năm ngày 30-07-2026</t>
        </is>
      </c>
      <c r="C211" s="3" t="inlineStr">
        <is>
          <t>41710</t>
        </is>
      </c>
      <c r="D211" s="3" t="inlineStr">
        <is>
          <t>10</t>
        </is>
      </c>
      <c r="E211" s="3" t="inlineStr">
        <is>
          <t>Đầu 1</t>
        </is>
      </c>
      <c r="F211" s="3" t="inlineStr">
        <is>
          <t>Đuôi 0</t>
        </is>
      </c>
      <c r="G211" s="3" t="inlineStr">
        <is>
          <t>9, 5, 6</t>
        </is>
      </c>
      <c r="H211" s="7" t="inlineStr">
        <is>
          <t>TRƯỢT ❌</t>
        </is>
      </c>
      <c r="I211" s="3" t="inlineStr">
        <is>
          <t>9, 8, 7</t>
        </is>
      </c>
      <c r="J211" s="7" t="inlineStr">
        <is>
          <t>TRƯỢT ❌</t>
        </is>
      </c>
      <c r="K211" s="3" t="inlineStr">
        <is>
          <t>57, 58, 59, 67, 68, 69, 97, 98, 99</t>
        </is>
      </c>
      <c r="L211" s="7" t="inlineStr">
        <is>
          <t>TRƯỢT ❌</t>
        </is>
      </c>
      <c r="M211" s="7" t="inlineStr">
        <is>
          <t>TRƯỢT KHUNG ❌</t>
        </is>
      </c>
    </row>
    <row r="212">
      <c r="A212" s="2" t="n">
        <v>208</v>
      </c>
      <c r="B212" s="2" t="inlineStr">
        <is>
          <t>Thứ sáu ngày 31-07-2026</t>
        </is>
      </c>
      <c r="C212" s="3" t="inlineStr">
        <is>
          <t>44823</t>
        </is>
      </c>
      <c r="D212" s="3" t="inlineStr">
        <is>
          <t>23</t>
        </is>
      </c>
      <c r="E212" s="3" t="inlineStr">
        <is>
          <t>Đầu 2</t>
        </is>
      </c>
      <c r="F212" s="3" t="inlineStr">
        <is>
          <t>Đuôi 3</t>
        </is>
      </c>
      <c r="G212" s="3" t="inlineStr">
        <is>
          <t>9, 6, 7</t>
        </is>
      </c>
      <c r="H212" s="7" t="inlineStr">
        <is>
          <t>TRƯỢT ❌</t>
        </is>
      </c>
      <c r="I212" s="3" t="inlineStr">
        <is>
          <t>9, 8, 7</t>
        </is>
      </c>
      <c r="J212" s="7" t="inlineStr">
        <is>
          <t>TRƯỢT ❌</t>
        </is>
      </c>
      <c r="K212" s="3" t="inlineStr">
        <is>
          <t>67, 68, 69, 77, 78, 79, 97, 98, 99</t>
        </is>
      </c>
      <c r="L212" s="7" t="inlineStr">
        <is>
          <t>TRƯỢT ❌</t>
        </is>
      </c>
      <c r="M212" s="7" t="inlineStr">
        <is>
          <t>TRƯỢT KHUNG ❌</t>
        </is>
      </c>
    </row>
    <row r="213">
      <c r="A213" s="2" t="n">
        <v>209</v>
      </c>
      <c r="B213" s="2" t="inlineStr">
        <is>
          <t>Thứ bảy ngày 01-08-2026</t>
        </is>
      </c>
      <c r="C213" s="3" t="inlineStr">
        <is>
          <t>11909</t>
        </is>
      </c>
      <c r="D213" s="3" t="inlineStr">
        <is>
          <t>09</t>
        </is>
      </c>
      <c r="E213" s="3" t="inlineStr">
        <is>
          <t>Đầu 0</t>
        </is>
      </c>
      <c r="F213" s="3" t="inlineStr">
        <is>
          <t>Đuôi 9</t>
        </is>
      </c>
      <c r="G213" s="3" t="inlineStr">
        <is>
          <t>9, 8, 7</t>
        </is>
      </c>
      <c r="H213" s="7" t="inlineStr">
        <is>
          <t>TRƯỢT ❌</t>
        </is>
      </c>
      <c r="I213" s="3" t="inlineStr">
        <is>
          <t>9, 8, 4</t>
        </is>
      </c>
      <c r="J213" s="6" t="inlineStr">
        <is>
          <t>TRÚNG 🎯</t>
        </is>
      </c>
      <c r="K213" s="3" t="inlineStr">
        <is>
          <t>74, 78, 79, 84, 88, 89, 94, 98, 99</t>
        </is>
      </c>
      <c r="L213" s="7" t="inlineStr">
        <is>
          <t>TRƯỢT ❌</t>
        </is>
      </c>
      <c r="M213" s="7" t="inlineStr">
        <is>
          <t>TRƯỢT KHUNG ❌</t>
        </is>
      </c>
    </row>
    <row r="214">
      <c r="A214" s="2" t="n">
        <v>210</v>
      </c>
      <c r="B214" s="2" t="inlineStr">
        <is>
          <t>Chủ nhật ngày 02-08-2026</t>
        </is>
      </c>
      <c r="C214" s="3" t="inlineStr">
        <is>
          <t>79247</t>
        </is>
      </c>
      <c r="D214" s="3" t="inlineStr">
        <is>
          <t>47</t>
        </is>
      </c>
      <c r="E214" s="3" t="inlineStr">
        <is>
          <t>Đầu 4</t>
        </is>
      </c>
      <c r="F214" s="3" t="inlineStr">
        <is>
          <t>Đuôi 7</t>
        </is>
      </c>
      <c r="G214" s="3" t="inlineStr">
        <is>
          <t>9, 3, 8</t>
        </is>
      </c>
      <c r="H214" s="7" t="inlineStr">
        <is>
          <t>TRƯỢT ❌</t>
        </is>
      </c>
      <c r="I214" s="3" t="inlineStr">
        <is>
          <t>4, 8, 0</t>
        </is>
      </c>
      <c r="J214" s="7" t="inlineStr">
        <is>
          <t>TRƯỢT ❌</t>
        </is>
      </c>
      <c r="K214" s="3" t="inlineStr">
        <is>
          <t>30, 34, 38, 80, 84, 88, 90, 94, 98</t>
        </is>
      </c>
      <c r="L214" s="7" t="inlineStr">
        <is>
          <t>TRƯỢT ❌</t>
        </is>
      </c>
      <c r="M214" s="7" t="inlineStr">
        <is>
          <t>TRƯỢT KHUNG ❌</t>
        </is>
      </c>
    </row>
    <row r="215">
      <c r="A215" s="2" t="n">
        <v>211</v>
      </c>
      <c r="B215" s="2" t="inlineStr">
        <is>
          <t>Thứ hai ngày 03-08-2026</t>
        </is>
      </c>
      <c r="C215" s="3" t="inlineStr">
        <is>
          <t>51125</t>
        </is>
      </c>
      <c r="D215" s="3" t="inlineStr">
        <is>
          <t>25</t>
        </is>
      </c>
      <c r="E215" s="3" t="inlineStr">
        <is>
          <t>Đầu 2</t>
        </is>
      </c>
      <c r="F215" s="3" t="inlineStr">
        <is>
          <t>Đuôi 5</t>
        </is>
      </c>
      <c r="G215" s="3" t="inlineStr">
        <is>
          <t>9, 3, 1</t>
        </is>
      </c>
      <c r="H215" s="7" t="inlineStr">
        <is>
          <t>TRƯỢT ❌</t>
        </is>
      </c>
      <c r="I215" s="3" t="inlineStr">
        <is>
          <t>0, 4, 8</t>
        </is>
      </c>
      <c r="J215" s="7" t="inlineStr">
        <is>
          <t>TRƯỢT ❌</t>
        </is>
      </c>
      <c r="K215" s="3" t="inlineStr">
        <is>
          <t>10, 14, 18, 30, 34, 38, 90, 94, 98</t>
        </is>
      </c>
      <c r="L215" s="7" t="inlineStr">
        <is>
          <t>TRƯỢT ❌</t>
        </is>
      </c>
      <c r="M215" s="7" t="inlineStr">
        <is>
          <t>TRƯỢT KHUNG ❌</t>
        </is>
      </c>
    </row>
    <row r="216">
      <c r="A216" s="2" t="n">
        <v>212</v>
      </c>
      <c r="B216" s="2" t="inlineStr">
        <is>
          <t>Thứ ba ngày 04-08-2026</t>
        </is>
      </c>
      <c r="C216" s="3" t="inlineStr">
        <is>
          <t>59760</t>
        </is>
      </c>
      <c r="D216" s="3" t="inlineStr">
        <is>
          <t>60</t>
        </is>
      </c>
      <c r="E216" s="3" t="inlineStr">
        <is>
          <t>Đầu 6</t>
        </is>
      </c>
      <c r="F216" s="3" t="inlineStr">
        <is>
          <t>Đuôi 0</t>
        </is>
      </c>
      <c r="G216" s="3" t="inlineStr">
        <is>
          <t>9, 3, 1</t>
        </is>
      </c>
      <c r="H216" s="7" t="inlineStr">
        <is>
          <t>TRƯỢT ❌</t>
        </is>
      </c>
      <c r="I216" s="3" t="inlineStr">
        <is>
          <t>9, 0, 4</t>
        </is>
      </c>
      <c r="J216" s="6" t="inlineStr">
        <is>
          <t>TRÚNG 🎯</t>
        </is>
      </c>
      <c r="K216" s="3" t="inlineStr">
        <is>
          <t>10, 14, 19, 30, 34, 39, 90, 94, 99</t>
        </is>
      </c>
      <c r="L216" s="7" t="inlineStr">
        <is>
          <t>TRƯỢT ❌</t>
        </is>
      </c>
      <c r="M216" s="7" t="inlineStr">
        <is>
          <t>TRƯỢT KHUNG ❌</t>
        </is>
      </c>
    </row>
    <row r="217">
      <c r="A217" s="2" t="n">
        <v>213</v>
      </c>
      <c r="B217" s="2" t="inlineStr">
        <is>
          <t>Thứ tư ngày 05-08-2026</t>
        </is>
      </c>
      <c r="C217" s="3" t="inlineStr">
        <is>
          <t>26167</t>
        </is>
      </c>
      <c r="D217" s="3" t="inlineStr">
        <is>
          <t>67</t>
        </is>
      </c>
      <c r="E217" s="3" t="inlineStr">
        <is>
          <t>Đầu 6</t>
        </is>
      </c>
      <c r="F217" s="3" t="inlineStr">
        <is>
          <t>Đuôi 7</t>
        </is>
      </c>
      <c r="G217" s="3" t="inlineStr">
        <is>
          <t>3, 9, 0</t>
        </is>
      </c>
      <c r="H217" s="7" t="inlineStr">
        <is>
          <t>TRƯỢT ❌</t>
        </is>
      </c>
      <c r="I217" s="3" t="inlineStr">
        <is>
          <t>9, 4, 8</t>
        </is>
      </c>
      <c r="J217" s="7" t="inlineStr">
        <is>
          <t>TRƯỢT ❌</t>
        </is>
      </c>
      <c r="K217" s="3" t="inlineStr">
        <is>
          <t>04, 08, 09, 34, 38, 39, 94, 98, 99</t>
        </is>
      </c>
      <c r="L217" s="7" t="inlineStr">
        <is>
          <t>TRƯỢT ❌</t>
        </is>
      </c>
      <c r="M217" s="7" t="inlineStr">
        <is>
          <t>TRƯỢT KHUNG ❌</t>
        </is>
      </c>
    </row>
    <row r="218">
      <c r="A218" s="2" t="n">
        <v>214</v>
      </c>
      <c r="B218" s="2" t="inlineStr">
        <is>
          <t>Thứ năm ngày 06-08-2026</t>
        </is>
      </c>
      <c r="C218" s="3" t="inlineStr">
        <is>
          <t>16479</t>
        </is>
      </c>
      <c r="D218" s="3" t="inlineStr">
        <is>
          <t>79</t>
        </is>
      </c>
      <c r="E218" s="3" t="inlineStr">
        <is>
          <t>Đầu 7</t>
        </is>
      </c>
      <c r="F218" s="3" t="inlineStr">
        <is>
          <t>Đuôi 9</t>
        </is>
      </c>
      <c r="G218" s="3" t="inlineStr">
        <is>
          <t>3, 9, 0</t>
        </is>
      </c>
      <c r="H218" s="7" t="inlineStr">
        <is>
          <t>TRƯỢT ❌</t>
        </is>
      </c>
      <c r="I218" s="3" t="inlineStr">
        <is>
          <t>9, 4, 8</t>
        </is>
      </c>
      <c r="J218" s="6" t="inlineStr">
        <is>
          <t>TRÚNG 🎯</t>
        </is>
      </c>
      <c r="K218" s="3" t="inlineStr">
        <is>
          <t>04, 08, 09, 34, 38, 39, 94, 98, 99</t>
        </is>
      </c>
      <c r="L218" s="7" t="inlineStr">
        <is>
          <t>TRƯỢT ❌</t>
        </is>
      </c>
      <c r="M218" s="7" t="inlineStr">
        <is>
          <t>TRƯỢT KHUNG ❌</t>
        </is>
      </c>
    </row>
    <row r="219">
      <c r="A219" s="2" t="n">
        <v>215</v>
      </c>
      <c r="B219" s="2" t="inlineStr">
        <is>
          <t>Thứ sáu ngày 07-08-2026</t>
        </is>
      </c>
      <c r="C219" s="3" t="inlineStr">
        <is>
          <t>04922</t>
        </is>
      </c>
      <c r="D219" s="3" t="inlineStr">
        <is>
          <t>22</t>
        </is>
      </c>
      <c r="E219" s="3" t="inlineStr">
        <is>
          <t>Đầu 2</t>
        </is>
      </c>
      <c r="F219" s="3" t="inlineStr">
        <is>
          <t>Đuôi 2</t>
        </is>
      </c>
      <c r="G219" s="3" t="inlineStr">
        <is>
          <t>2, 3, 9</t>
        </is>
      </c>
      <c r="H219" s="6" t="inlineStr">
        <is>
          <t>TRÚNG 🎯</t>
        </is>
      </c>
      <c r="I219" s="3" t="inlineStr">
        <is>
          <t>4, 8, 0</t>
        </is>
      </c>
      <c r="J219" s="7" t="inlineStr">
        <is>
          <t>TRƯỢT ❌</t>
        </is>
      </c>
      <c r="K219" s="3" t="inlineStr">
        <is>
          <t>20, 24, 28, 30, 34, 38, 90, 94, 98</t>
        </is>
      </c>
      <c r="L219" s="7" t="inlineStr">
        <is>
          <t>TRƯỢT ❌</t>
        </is>
      </c>
      <c r="M219" s="7" t="inlineStr">
        <is>
          <t>TRƯỢT KHUNG ❌</t>
        </is>
      </c>
    </row>
    <row r="220">
      <c r="A220" s="2" t="n">
        <v>216</v>
      </c>
      <c r="B220" s="2" t="inlineStr">
        <is>
          <t>Thứ bảy ngày 08-08-2026</t>
        </is>
      </c>
      <c r="C220" s="3" t="inlineStr">
        <is>
          <t>12221</t>
        </is>
      </c>
      <c r="D220" s="3" t="inlineStr">
        <is>
          <t>21</t>
        </is>
      </c>
      <c r="E220" s="3" t="inlineStr">
        <is>
          <t>Đầu 2</t>
        </is>
      </c>
      <c r="F220" s="3" t="inlineStr">
        <is>
          <t>Đuôi 1</t>
        </is>
      </c>
      <c r="G220" s="3" t="inlineStr">
        <is>
          <t>3, 9, 0</t>
        </is>
      </c>
      <c r="H220" s="7" t="inlineStr">
        <is>
          <t>TRƯỢT ❌</t>
        </is>
      </c>
      <c r="I220" s="3" t="inlineStr">
        <is>
          <t>0, 4, 8</t>
        </is>
      </c>
      <c r="J220" s="7" t="inlineStr">
        <is>
          <t>TRƯỢT ❌</t>
        </is>
      </c>
      <c r="K220" s="3" t="inlineStr">
        <is>
          <t>00, 04, 08, 30, 34, 38, 90, 94, 98</t>
        </is>
      </c>
      <c r="L220" s="7" t="inlineStr">
        <is>
          <t>TRƯỢT ❌</t>
        </is>
      </c>
      <c r="M220" s="7" t="inlineStr">
        <is>
          <t>TRƯỢT KHUNG ❌</t>
        </is>
      </c>
    </row>
    <row r="221">
      <c r="A221" s="2" t="n">
        <v>217</v>
      </c>
      <c r="B221" s="2" t="inlineStr">
        <is>
          <t>Chủ nhật ngày 09-08-2026</t>
        </is>
      </c>
      <c r="C221" s="3" t="inlineStr">
        <is>
          <t>92957</t>
        </is>
      </c>
      <c r="D221" s="3" t="inlineStr">
        <is>
          <t>57</t>
        </is>
      </c>
      <c r="E221" s="3" t="inlineStr">
        <is>
          <t>Đầu 5</t>
        </is>
      </c>
      <c r="F221" s="3" t="inlineStr">
        <is>
          <t>Đuôi 7</t>
        </is>
      </c>
      <c r="G221" s="3" t="inlineStr">
        <is>
          <t>3, 9, 0</t>
        </is>
      </c>
      <c r="H221" s="7" t="inlineStr">
        <is>
          <t>TRƯỢT ❌</t>
        </is>
      </c>
      <c r="I221" s="3" t="inlineStr">
        <is>
          <t>0, 4, 8</t>
        </is>
      </c>
      <c r="J221" s="7" t="inlineStr">
        <is>
          <t>TRƯỢT ❌</t>
        </is>
      </c>
      <c r="K221" s="3" t="inlineStr">
        <is>
          <t>00, 04, 08, 30, 34, 38, 90, 94, 98</t>
        </is>
      </c>
      <c r="L221" s="7" t="inlineStr">
        <is>
          <t>TRƯỢT ❌</t>
        </is>
      </c>
      <c r="M221" s="7" t="inlineStr">
        <is>
          <t>TRƯỢT KHUNG ❌</t>
        </is>
      </c>
    </row>
    <row r="222">
      <c r="A222" s="2" t="n">
        <v>218</v>
      </c>
      <c r="B222" s="2" t="inlineStr">
        <is>
          <t>Thứ hai ngày 10-08-2026</t>
        </is>
      </c>
      <c r="C222" s="3" t="inlineStr">
        <is>
          <t>92191</t>
        </is>
      </c>
      <c r="D222" s="3" t="inlineStr">
        <is>
          <t>91</t>
        </is>
      </c>
      <c r="E222" s="3" t="inlineStr">
        <is>
          <t>Đầu 9</t>
        </is>
      </c>
      <c r="F222" s="3" t="inlineStr">
        <is>
          <t>Đuôi 1</t>
        </is>
      </c>
      <c r="G222" s="3" t="inlineStr">
        <is>
          <t>3, 9, 2</t>
        </is>
      </c>
      <c r="H222" s="6" t="inlineStr">
        <is>
          <t>TRÚNG 🎯</t>
        </is>
      </c>
      <c r="I222" s="3" t="inlineStr">
        <is>
          <t>0, 9, 4</t>
        </is>
      </c>
      <c r="J222" s="7" t="inlineStr">
        <is>
          <t>TRƯỢT ❌</t>
        </is>
      </c>
      <c r="K222" s="3" t="inlineStr">
        <is>
          <t>20, 24, 29, 30, 34, 39, 90, 94, 99</t>
        </is>
      </c>
      <c r="L222" s="7" t="inlineStr">
        <is>
          <t>TRƯỢT ❌</t>
        </is>
      </c>
      <c r="M222" s="7" t="inlineStr">
        <is>
          <t>TRƯỢT KHUNG ❌</t>
        </is>
      </c>
    </row>
    <row r="223">
      <c r="A223" s="2" t="n">
        <v>219</v>
      </c>
      <c r="B223" s="2" t="inlineStr">
        <is>
          <t>Thứ ba ngày 11-08-2026</t>
        </is>
      </c>
      <c r="C223" s="3" t="inlineStr">
        <is>
          <t>82326</t>
        </is>
      </c>
      <c r="D223" s="3" t="inlineStr">
        <is>
          <t>26</t>
        </is>
      </c>
      <c r="E223" s="3" t="inlineStr">
        <is>
          <t>Đầu 2</t>
        </is>
      </c>
      <c r="F223" s="3" t="inlineStr">
        <is>
          <t>Đuôi 6</t>
        </is>
      </c>
      <c r="G223" s="3" t="inlineStr">
        <is>
          <t>2, 3, 1</t>
        </is>
      </c>
      <c r="H223" s="6" t="inlineStr">
        <is>
          <t>TRÚNG 🎯</t>
        </is>
      </c>
      <c r="I223" s="3" t="inlineStr">
        <is>
          <t>0, 9, 3</t>
        </is>
      </c>
      <c r="J223" s="7" t="inlineStr">
        <is>
          <t>TRƯỢT ❌</t>
        </is>
      </c>
      <c r="K223" s="3" t="inlineStr">
        <is>
          <t>10, 13, 19, 20, 23, 29, 30, 33, 39</t>
        </is>
      </c>
      <c r="L223" s="7" t="inlineStr">
        <is>
          <t>TRƯỢT ❌</t>
        </is>
      </c>
      <c r="M223" s="7" t="inlineStr">
        <is>
          <t>TRƯỢT KHUNG ❌</t>
        </is>
      </c>
    </row>
    <row r="224">
      <c r="A224" s="2" t="n">
        <v>220</v>
      </c>
      <c r="B224" s="2" t="inlineStr">
        <is>
          <t>Thứ tư ngày 12-08-2026</t>
        </is>
      </c>
      <c r="C224" s="3" t="inlineStr">
        <is>
          <t>79344</t>
        </is>
      </c>
      <c r="D224" s="3" t="inlineStr">
        <is>
          <t>44</t>
        </is>
      </c>
      <c r="E224" s="3" t="inlineStr">
        <is>
          <t>Đầu 4</t>
        </is>
      </c>
      <c r="F224" s="3" t="inlineStr">
        <is>
          <t>Đuôi 4</t>
        </is>
      </c>
      <c r="G224" s="3" t="inlineStr">
        <is>
          <t>3, 2, 1</t>
        </is>
      </c>
      <c r="H224" s="7" t="inlineStr">
        <is>
          <t>TRƯỢT ❌</t>
        </is>
      </c>
      <c r="I224" s="3" t="inlineStr">
        <is>
          <t>0, 9, 3</t>
        </is>
      </c>
      <c r="J224" s="7" t="inlineStr">
        <is>
          <t>TRƯỢT ❌</t>
        </is>
      </c>
      <c r="K224" s="3" t="inlineStr">
        <is>
          <t>10, 13, 19, 20, 23, 29, 30, 33, 39</t>
        </is>
      </c>
      <c r="L224" s="7" t="inlineStr">
        <is>
          <t>TRƯỢT ❌</t>
        </is>
      </c>
      <c r="M224" s="7" t="inlineStr">
        <is>
          <t>TRƯỢT KHUNG ❌</t>
        </is>
      </c>
    </row>
    <row r="225">
      <c r="A225" s="2" t="n">
        <v>221</v>
      </c>
      <c r="B225" s="2" t="inlineStr">
        <is>
          <t>Thứ năm ngày 13-08-2026</t>
        </is>
      </c>
      <c r="C225" s="3" t="inlineStr">
        <is>
          <t>80018</t>
        </is>
      </c>
      <c r="D225" s="3" t="inlineStr">
        <is>
          <t>18</t>
        </is>
      </c>
      <c r="E225" s="3" t="inlineStr">
        <is>
          <t>Đầu 1</t>
        </is>
      </c>
      <c r="F225" s="3" t="inlineStr">
        <is>
          <t>Đuôi 8</t>
        </is>
      </c>
      <c r="G225" s="3" t="inlineStr">
        <is>
          <t>2, 3, 1</t>
        </is>
      </c>
      <c r="H225" s="6" t="inlineStr">
        <is>
          <t>TRÚNG 🎯</t>
        </is>
      </c>
      <c r="I225" s="3" t="inlineStr">
        <is>
          <t>0, 9, 3</t>
        </is>
      </c>
      <c r="J225" s="7" t="inlineStr">
        <is>
          <t>TRƯỢT ❌</t>
        </is>
      </c>
      <c r="K225" s="3" t="inlineStr">
        <is>
          <t>10, 13, 19, 20, 23, 29, 30, 33, 39</t>
        </is>
      </c>
      <c r="L225" s="7" t="inlineStr">
        <is>
          <t>TRƯỢT ❌</t>
        </is>
      </c>
      <c r="M225" s="7" t="inlineStr">
        <is>
          <t>TRƯỢT KHUNG ❌</t>
        </is>
      </c>
    </row>
    <row r="226">
      <c r="A226" s="2" t="n">
        <v>222</v>
      </c>
      <c r="B226" s="2" t="inlineStr">
        <is>
          <t>Thứ sáu ngày 14-08-2026</t>
        </is>
      </c>
      <c r="C226" s="3" t="inlineStr">
        <is>
          <t>80278</t>
        </is>
      </c>
      <c r="D226" s="3" t="inlineStr">
        <is>
          <t>78</t>
        </is>
      </c>
      <c r="E226" s="3" t="inlineStr">
        <is>
          <t>Đầu 7</t>
        </is>
      </c>
      <c r="F226" s="3" t="inlineStr">
        <is>
          <t>Đuôi 8</t>
        </is>
      </c>
      <c r="G226" s="3" t="inlineStr">
        <is>
          <t>2, 3, 5</t>
        </is>
      </c>
      <c r="H226" s="7" t="inlineStr">
        <is>
          <t>TRƯỢT ❌</t>
        </is>
      </c>
      <c r="I226" s="3" t="inlineStr">
        <is>
          <t>0, 3, 7</t>
        </is>
      </c>
      <c r="J226" s="7" t="inlineStr">
        <is>
          <t>TRƯỢT ❌</t>
        </is>
      </c>
      <c r="K226" s="3" t="inlineStr">
        <is>
          <t>20, 23, 27, 30, 33, 37, 50, 53, 57</t>
        </is>
      </c>
      <c r="L226" s="7" t="inlineStr">
        <is>
          <t>TRƯỢT ❌</t>
        </is>
      </c>
      <c r="M226" s="7" t="inlineStr">
        <is>
          <t>TRƯỢT KHUNG ❌</t>
        </is>
      </c>
    </row>
    <row r="227">
      <c r="A227" s="2" t="n">
        <v>223</v>
      </c>
      <c r="B227" s="2" t="inlineStr">
        <is>
          <t>Thứ bảy ngày 15-08-2026</t>
        </is>
      </c>
      <c r="C227" s="3" t="inlineStr">
        <is>
          <t>14696</t>
        </is>
      </c>
      <c r="D227" s="3" t="inlineStr">
        <is>
          <t>96</t>
        </is>
      </c>
      <c r="E227" s="3" t="inlineStr">
        <is>
          <t>Đầu 9</t>
        </is>
      </c>
      <c r="F227" s="3" t="inlineStr">
        <is>
          <t>Đuôi 6</t>
        </is>
      </c>
      <c r="G227" s="3" t="inlineStr">
        <is>
          <t>2, 5, 9</t>
        </is>
      </c>
      <c r="H227" s="6" t="inlineStr">
        <is>
          <t>TRÚNG 🎯</t>
        </is>
      </c>
      <c r="I227" s="3" t="inlineStr">
        <is>
          <t>0, 6, 7</t>
        </is>
      </c>
      <c r="J227" s="6" t="inlineStr">
        <is>
          <t>TRÚNG 🎯</t>
        </is>
      </c>
      <c r="K227" s="3" t="inlineStr">
        <is>
          <t>20, 26, 27, 50, 56, 57, 90, 96, 97</t>
        </is>
      </c>
      <c r="L227" s="6" t="inlineStr">
        <is>
          <t>TRÚNG 🎯</t>
        </is>
      </c>
      <c r="M227" s="6" t="inlineStr">
        <is>
          <t>TRÚNG KHUNG 🎯</t>
        </is>
      </c>
    </row>
    <row r="228">
      <c r="A228" s="2" t="n">
        <v>224</v>
      </c>
      <c r="B228" s="2" t="inlineStr">
        <is>
          <t>Chủ nhật ngày 16-08-2026</t>
        </is>
      </c>
      <c r="C228" s="3" t="inlineStr">
        <is>
          <t>01939</t>
        </is>
      </c>
      <c r="D228" s="3" t="inlineStr">
        <is>
          <t>39</t>
        </is>
      </c>
      <c r="E228" s="3" t="inlineStr">
        <is>
          <t>Đầu 3</t>
        </is>
      </c>
      <c r="F228" s="3" t="inlineStr">
        <is>
          <t>Đuôi 9</t>
        </is>
      </c>
      <c r="G228" s="3" t="inlineStr">
        <is>
          <t>2, 5, 0</t>
        </is>
      </c>
      <c r="H228" s="7" t="inlineStr">
        <is>
          <t>TRƯỢT ❌</t>
        </is>
      </c>
      <c r="I228" s="3" t="inlineStr">
        <is>
          <t>0, 4, 8</t>
        </is>
      </c>
      <c r="J228" s="7" t="inlineStr">
        <is>
          <t>TRƯỢT ❌</t>
        </is>
      </c>
      <c r="K228" s="3" t="inlineStr">
        <is>
          <t>00, 04, 08, 20, 24, 28, 50, 54, 58</t>
        </is>
      </c>
      <c r="L228" s="7" t="inlineStr">
        <is>
          <t>TRƯỢT ❌</t>
        </is>
      </c>
      <c r="M228" s="7" t="inlineStr">
        <is>
          <t>TRƯỢT KHUNG ❌</t>
        </is>
      </c>
    </row>
    <row r="229">
      <c r="A229" s="2" t="n">
        <v>225</v>
      </c>
      <c r="B229" s="2" t="inlineStr">
        <is>
          <t>Thứ hai ngày 17-08-2026</t>
        </is>
      </c>
      <c r="C229" s="3" t="inlineStr">
        <is>
          <t>29183</t>
        </is>
      </c>
      <c r="D229" s="3" t="inlineStr">
        <is>
          <t>83</t>
        </is>
      </c>
      <c r="E229" s="3" t="inlineStr">
        <is>
          <t>Đầu 8</t>
        </is>
      </c>
      <c r="F229" s="3" t="inlineStr">
        <is>
          <t>Đuôi 3</t>
        </is>
      </c>
      <c r="G229" s="3" t="inlineStr">
        <is>
          <t>2, 1, 5</t>
        </is>
      </c>
      <c r="H229" s="7" t="inlineStr">
        <is>
          <t>TRƯỢT ❌</t>
        </is>
      </c>
      <c r="I229" s="3" t="inlineStr">
        <is>
          <t>8, 0, 4</t>
        </is>
      </c>
      <c r="J229" s="7" t="inlineStr">
        <is>
          <t>TRƯỢT ❌</t>
        </is>
      </c>
      <c r="K229" s="3" t="inlineStr">
        <is>
          <t>10, 14, 18, 20, 24, 28, 50, 54, 58</t>
        </is>
      </c>
      <c r="L229" s="7" t="inlineStr">
        <is>
          <t>TRƯỢT ❌</t>
        </is>
      </c>
      <c r="M229" s="7" t="inlineStr">
        <is>
          <t>TRƯỢT KHUNG ❌</t>
        </is>
      </c>
    </row>
    <row r="230">
      <c r="A230" s="2" t="n">
        <v>226</v>
      </c>
      <c r="B230" s="2" t="inlineStr">
        <is>
          <t>Thứ ba ngày 18-08-2026</t>
        </is>
      </c>
      <c r="C230" s="3" t="inlineStr">
        <is>
          <t>13643</t>
        </is>
      </c>
      <c r="D230" s="3" t="inlineStr">
        <is>
          <t>43</t>
        </is>
      </c>
      <c r="E230" s="3" t="inlineStr">
        <is>
          <t>Đầu 4</t>
        </is>
      </c>
      <c r="F230" s="3" t="inlineStr">
        <is>
          <t>Đuôi 3</t>
        </is>
      </c>
      <c r="G230" s="3" t="inlineStr">
        <is>
          <t>2, 1, 5</t>
        </is>
      </c>
      <c r="H230" s="7" t="inlineStr">
        <is>
          <t>TRƯỢT ❌</t>
        </is>
      </c>
      <c r="I230" s="3" t="inlineStr">
        <is>
          <t>8, 0, 4</t>
        </is>
      </c>
      <c r="J230" s="7" t="inlineStr">
        <is>
          <t>TRƯỢT ❌</t>
        </is>
      </c>
      <c r="K230" s="3" t="inlineStr">
        <is>
          <t>10, 14, 18, 20, 24, 28, 50, 54, 58</t>
        </is>
      </c>
      <c r="L230" s="7" t="inlineStr">
        <is>
          <t>TRƯỢT ❌</t>
        </is>
      </c>
      <c r="M230" s="7" t="inlineStr">
        <is>
          <t>TRƯỢT KHUNG ❌</t>
        </is>
      </c>
    </row>
    <row r="231">
      <c r="A231" s="2" t="n">
        <v>227</v>
      </c>
      <c r="B231" s="2" t="inlineStr">
        <is>
          <t>Thứ tư ngày 19-08-2026</t>
        </is>
      </c>
      <c r="C231" s="3" t="inlineStr">
        <is>
          <t>07523</t>
        </is>
      </c>
      <c r="D231" s="3" t="inlineStr">
        <is>
          <t>23</t>
        </is>
      </c>
      <c r="E231" s="3" t="inlineStr">
        <is>
          <t>Đầu 2</t>
        </is>
      </c>
      <c r="F231" s="3" t="inlineStr">
        <is>
          <t>Đuôi 3</t>
        </is>
      </c>
      <c r="G231" s="3" t="inlineStr">
        <is>
          <t>2, 1, 5</t>
        </is>
      </c>
      <c r="H231" s="6" t="inlineStr">
        <is>
          <t>TRÚNG 🎯</t>
        </is>
      </c>
      <c r="I231" s="3" t="inlineStr">
        <is>
          <t>0, 4, 6</t>
        </is>
      </c>
      <c r="J231" s="7" t="inlineStr">
        <is>
          <t>TRƯỢT ❌</t>
        </is>
      </c>
      <c r="K231" s="3" t="inlineStr">
        <is>
          <t>10, 14, 16, 20, 24, 26, 50, 54, 56</t>
        </is>
      </c>
      <c r="L231" s="7" t="inlineStr">
        <is>
          <t>TRƯỢT ❌</t>
        </is>
      </c>
      <c r="M231" s="7" t="inlineStr">
        <is>
          <t>TRƯỢT KHUNG ❌</t>
        </is>
      </c>
    </row>
    <row r="232">
      <c r="A232" s="2" t="n">
        <v>228</v>
      </c>
      <c r="B232" s="2" t="inlineStr">
        <is>
          <t>Thứ năm ngày 20-08-2026</t>
        </is>
      </c>
      <c r="C232" s="3" t="inlineStr">
        <is>
          <t>94533</t>
        </is>
      </c>
      <c r="D232" s="3" t="inlineStr">
        <is>
          <t>33</t>
        </is>
      </c>
      <c r="E232" s="3" t="inlineStr">
        <is>
          <t>Đầu 3</t>
        </is>
      </c>
      <c r="F232" s="3" t="inlineStr">
        <is>
          <t>Đuôi 3</t>
        </is>
      </c>
      <c r="G232" s="3" t="inlineStr">
        <is>
          <t>2, 1, 3</t>
        </is>
      </c>
      <c r="H232" s="6" t="inlineStr">
        <is>
          <t>TRÚNG 🎯</t>
        </is>
      </c>
      <c r="I232" s="3" t="inlineStr">
        <is>
          <t>4, 6, 8</t>
        </is>
      </c>
      <c r="J232" s="7" t="inlineStr">
        <is>
          <t>TRƯỢT ❌</t>
        </is>
      </c>
      <c r="K232" s="3" t="inlineStr">
        <is>
          <t>14, 16, 18, 24, 26, 28, 34, 36, 38</t>
        </is>
      </c>
      <c r="L232" s="7" t="inlineStr">
        <is>
          <t>TRƯỢT ❌</t>
        </is>
      </c>
      <c r="M232" s="6" t="inlineStr">
        <is>
          <t>TRÚNG KHUNG 🎯</t>
        </is>
      </c>
    </row>
    <row r="233">
      <c r="A233" s="2" t="n">
        <v>229</v>
      </c>
      <c r="B233" s="2" t="inlineStr">
        <is>
          <t>Thứ sáu ngày 21-08-2026</t>
        </is>
      </c>
      <c r="C233" s="3" t="inlineStr">
        <is>
          <t>60213</t>
        </is>
      </c>
      <c r="D233" s="3" t="inlineStr">
        <is>
          <t>13</t>
        </is>
      </c>
      <c r="E233" s="3" t="inlineStr">
        <is>
          <t>Đầu 1</t>
        </is>
      </c>
      <c r="F233" s="3" t="inlineStr">
        <is>
          <t>Đuôi 3</t>
        </is>
      </c>
      <c r="G233" s="3" t="inlineStr">
        <is>
          <t>2, 1, 9</t>
        </is>
      </c>
      <c r="H233" s="6" t="inlineStr">
        <is>
          <t>TRÚNG 🎯</t>
        </is>
      </c>
      <c r="I233" s="3" t="inlineStr">
        <is>
          <t>6, 8, 4</t>
        </is>
      </c>
      <c r="J233" s="7" t="inlineStr">
        <is>
          <t>TRƯỢT ❌</t>
        </is>
      </c>
      <c r="K233" s="3" t="inlineStr">
        <is>
          <t>14, 16, 18, 24, 26, 28, 94, 96, 98</t>
        </is>
      </c>
      <c r="L233" s="7" t="inlineStr">
        <is>
          <t>TRƯỢT ❌</t>
        </is>
      </c>
      <c r="M233" s="7" t="inlineStr">
        <is>
          <t>TRƯỢT KHUNG ❌</t>
        </is>
      </c>
    </row>
    <row r="234">
      <c r="A234" s="2" t="n">
        <v>230</v>
      </c>
      <c r="B234" s="2" t="inlineStr">
        <is>
          <t>Thứ bảy ngày 22-08-2026</t>
        </is>
      </c>
      <c r="C234" s="3" t="inlineStr">
        <is>
          <t>37938</t>
        </is>
      </c>
      <c r="D234" s="3" t="inlineStr">
        <is>
          <t>38</t>
        </is>
      </c>
      <c r="E234" s="3" t="inlineStr">
        <is>
          <t>Đầu 3</t>
        </is>
      </c>
      <c r="F234" s="3" t="inlineStr">
        <is>
          <t>Đuôi 8</t>
        </is>
      </c>
      <c r="G234" s="3" t="inlineStr">
        <is>
          <t>2, 4, 9</t>
        </is>
      </c>
      <c r="H234" s="7" t="inlineStr">
        <is>
          <t>TRƯỢT ❌</t>
        </is>
      </c>
      <c r="I234" s="3" t="inlineStr">
        <is>
          <t>6, 8, 3</t>
        </is>
      </c>
      <c r="J234" s="6" t="inlineStr">
        <is>
          <t>TRÚNG 🎯</t>
        </is>
      </c>
      <c r="K234" s="3" t="inlineStr">
        <is>
          <t>23, 26, 28, 43, 46, 48, 93, 96, 98</t>
        </is>
      </c>
      <c r="L234" s="7" t="inlineStr">
        <is>
          <t>TRƯỢT ❌</t>
        </is>
      </c>
      <c r="M234" s="7" t="inlineStr">
        <is>
          <t>TRƯỢT KHUNG ❌</t>
        </is>
      </c>
    </row>
    <row r="235">
      <c r="A235" s="2" t="n">
        <v>231</v>
      </c>
      <c r="B235" s="2" t="inlineStr">
        <is>
          <t>Chủ nhật ngày 23-08-2026</t>
        </is>
      </c>
      <c r="C235" s="3" t="inlineStr">
        <is>
          <t>36917</t>
        </is>
      </c>
      <c r="D235" s="3" t="inlineStr">
        <is>
          <t>17</t>
        </is>
      </c>
      <c r="E235" s="3" t="inlineStr">
        <is>
          <t>Đầu 1</t>
        </is>
      </c>
      <c r="F235" s="3" t="inlineStr">
        <is>
          <t>Đuôi 7</t>
        </is>
      </c>
      <c r="G235" s="3" t="inlineStr">
        <is>
          <t>2, 4, 9</t>
        </is>
      </c>
      <c r="H235" s="7" t="inlineStr">
        <is>
          <t>TRƯỢT ❌</t>
        </is>
      </c>
      <c r="I235" s="3" t="inlineStr">
        <is>
          <t>3, 6, 7</t>
        </is>
      </c>
      <c r="J235" s="6" t="inlineStr">
        <is>
          <t>TRÚNG 🎯</t>
        </is>
      </c>
      <c r="K235" s="3" t="inlineStr">
        <is>
          <t>23, 26, 27, 43, 46, 47, 93, 96, 97</t>
        </is>
      </c>
      <c r="L235" s="7" t="inlineStr">
        <is>
          <t>TRƯỢT ❌</t>
        </is>
      </c>
      <c r="M235" s="7" t="inlineStr">
        <is>
          <t>TRƯỢT KHUNG ❌</t>
        </is>
      </c>
    </row>
    <row r="236">
      <c r="A236" s="2" t="n">
        <v>232</v>
      </c>
      <c r="B236" s="2" t="inlineStr">
        <is>
          <t>Thứ hai ngày 24-08-2026</t>
        </is>
      </c>
      <c r="C236" s="3" t="inlineStr">
        <is>
          <t>85080</t>
        </is>
      </c>
      <c r="D236" s="3" t="inlineStr">
        <is>
          <t>80</t>
        </is>
      </c>
      <c r="E236" s="3" t="inlineStr">
        <is>
          <t>Đầu 8</t>
        </is>
      </c>
      <c r="F236" s="3" t="inlineStr">
        <is>
          <t>Đuôi 0</t>
        </is>
      </c>
      <c r="G236" s="3" t="inlineStr">
        <is>
          <t>2, 4, 9</t>
        </is>
      </c>
      <c r="H236" s="7" t="inlineStr">
        <is>
          <t>TRƯỢT ❌</t>
        </is>
      </c>
      <c r="I236" s="3" t="inlineStr">
        <is>
          <t>3, 6, 9</t>
        </is>
      </c>
      <c r="J236" s="7" t="inlineStr">
        <is>
          <t>TRƯỢT ❌</t>
        </is>
      </c>
      <c r="K236" s="3" t="inlineStr">
        <is>
          <t>23, 26, 29, 43, 46, 49, 93, 96, 99</t>
        </is>
      </c>
      <c r="L236" s="7" t="inlineStr">
        <is>
          <t>TRƯỢT ❌</t>
        </is>
      </c>
      <c r="M236" s="7" t="inlineStr">
        <is>
          <t>TRƯỢT KHUNG ❌</t>
        </is>
      </c>
    </row>
    <row r="237">
      <c r="A237" s="2" t="n">
        <v>233</v>
      </c>
      <c r="B237" s="2" t="inlineStr">
        <is>
          <t>Thứ ba ngày 25-08-2026</t>
        </is>
      </c>
      <c r="C237" s="3" t="inlineStr">
        <is>
          <t>85361</t>
        </is>
      </c>
      <c r="D237" s="3" t="inlineStr">
        <is>
          <t>61</t>
        </is>
      </c>
      <c r="E237" s="3" t="inlineStr">
        <is>
          <t>Đầu 6</t>
        </is>
      </c>
      <c r="F237" s="3" t="inlineStr">
        <is>
          <t>Đuôi 1</t>
        </is>
      </c>
      <c r="G237" s="3" t="inlineStr">
        <is>
          <t>2, 4, 9</t>
        </is>
      </c>
      <c r="H237" s="7" t="inlineStr">
        <is>
          <t>TRƯỢT ❌</t>
        </is>
      </c>
      <c r="I237" s="3" t="inlineStr">
        <is>
          <t>3, 6, 9</t>
        </is>
      </c>
      <c r="J237" s="7" t="inlineStr">
        <is>
          <t>TRƯỢT ❌</t>
        </is>
      </c>
      <c r="K237" s="3" t="inlineStr">
        <is>
          <t>23, 26, 29, 43, 46, 49, 93, 96, 99</t>
        </is>
      </c>
      <c r="L237" s="7" t="inlineStr">
        <is>
          <t>TRƯỢT ❌</t>
        </is>
      </c>
      <c r="M237" s="7" t="inlineStr">
        <is>
          <t>TRƯỢT KHUNG ❌</t>
        </is>
      </c>
    </row>
    <row r="238">
      <c r="A238" s="2" t="n">
        <v>234</v>
      </c>
      <c r="B238" s="2" t="inlineStr">
        <is>
          <t>Thứ tư ngày 26-08-2026</t>
        </is>
      </c>
      <c r="C238" s="3" t="inlineStr">
        <is>
          <t>82645</t>
        </is>
      </c>
      <c r="D238" s="3" t="inlineStr">
        <is>
          <t>45</t>
        </is>
      </c>
      <c r="E238" s="3" t="inlineStr">
        <is>
          <t>Đầu 4</t>
        </is>
      </c>
      <c r="F238" s="3" t="inlineStr">
        <is>
          <t>Đuôi 5</t>
        </is>
      </c>
      <c r="G238" s="3" t="inlineStr">
        <is>
          <t>2, 3, 4</t>
        </is>
      </c>
      <c r="H238" s="6" t="inlineStr">
        <is>
          <t>TRÚNG 🎯</t>
        </is>
      </c>
      <c r="I238" s="3" t="inlineStr">
        <is>
          <t>3, 8, 9</t>
        </is>
      </c>
      <c r="J238" s="7" t="inlineStr">
        <is>
          <t>TRƯỢT ❌</t>
        </is>
      </c>
      <c r="K238" s="3" t="inlineStr">
        <is>
          <t>23, 28, 29, 33, 38, 39, 43, 48, 49</t>
        </is>
      </c>
      <c r="L238" s="7" t="inlineStr">
        <is>
          <t>TRƯỢT ❌</t>
        </is>
      </c>
      <c r="M238" s="7" t="inlineStr">
        <is>
          <t>TRƯỢT KHUNG ❌</t>
        </is>
      </c>
    </row>
    <row r="239">
      <c r="A239" s="4" t="inlineStr">
        <is>
          <t>BẢNG PHÂN TÍCH CHUYÊN SÂU</t>
        </is>
      </c>
      <c r="B239" s="4" t="inlineStr">
        <is>
          <t>TỪNG ĐẦU DỰ ĐOÁN (0-9)</t>
        </is>
      </c>
      <c r="C239" s="5" t="inlineStr">
        <is>
          <t>Số Lần Dự Đoán</t>
        </is>
      </c>
      <c r="D239" s="6" t="inlineStr">
        <is>
          <t>Số Lần TRÚNG Thực Tế</t>
        </is>
      </c>
      <c r="E239" s="5" t="inlineStr">
        <is>
          <t>Tỷ Lệ Trúng %</t>
        </is>
      </c>
      <c r="F239" s="5" t="inlineStr">
        <is>
          <t>---</t>
        </is>
      </c>
      <c r="G239" s="5" t="inlineStr">
        <is>
          <t>---</t>
        </is>
      </c>
      <c r="H239" s="5" t="inlineStr">
        <is>
          <t>---</t>
        </is>
      </c>
      <c r="I239" s="5" t="inlineStr">
        <is>
          <t>---</t>
        </is>
      </c>
      <c r="J239" s="5" t="inlineStr">
        <is>
          <t>---</t>
        </is>
      </c>
      <c r="K239" s="5" t="inlineStr">
        <is>
          <t>---</t>
        </is>
      </c>
      <c r="L239" s="5" t="inlineStr">
        <is>
          <t>---</t>
        </is>
      </c>
      <c r="M239" s="5" t="inlineStr">
        <is>
          <t>---</t>
        </is>
      </c>
    </row>
    <row r="240">
      <c r="A240" s="2" t="inlineStr">
        <is>
          <t>ĐẦU CHI TIẾT</t>
        </is>
      </c>
      <c r="B240" s="2" t="inlineStr">
        <is>
          <t>Đầu 0</t>
        </is>
      </c>
      <c r="C240" s="3" t="inlineStr">
        <is>
          <t>56 lần</t>
        </is>
      </c>
      <c r="D240" s="3" t="inlineStr">
        <is>
          <t>3 lần</t>
        </is>
      </c>
      <c r="E240" s="3" t="inlineStr">
        <is>
          <t>5.36%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ĐẦU CHI TIẾT</t>
        </is>
      </c>
      <c r="B241" s="2" t="inlineStr">
        <is>
          <t>Đầu 1</t>
        </is>
      </c>
      <c r="C241" s="3" t="inlineStr">
        <is>
          <t>59 lần</t>
        </is>
      </c>
      <c r="D241" s="3" t="inlineStr">
        <is>
          <t>6 lần</t>
        </is>
      </c>
      <c r="E241" s="3" t="inlineStr">
        <is>
          <t>10.17%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2" t="inlineStr">
        <is>
          <t>ĐẦU CHI TIẾT</t>
        </is>
      </c>
      <c r="B242" s="2" t="inlineStr">
        <is>
          <t>Đầu 2</t>
        </is>
      </c>
      <c r="C242" s="3" t="inlineStr">
        <is>
          <t>78 lần</t>
        </is>
      </c>
      <c r="D242" s="3" t="inlineStr">
        <is>
          <t>9 lần</t>
        </is>
      </c>
      <c r="E242" s="3" t="inlineStr">
        <is>
          <t>11.54%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ĐẦU CHI TIẾT</t>
        </is>
      </c>
      <c r="B243" s="2" t="inlineStr">
        <is>
          <t>Đầu 3</t>
        </is>
      </c>
      <c r="C243" s="3" t="inlineStr">
        <is>
          <t>93 lần</t>
        </is>
      </c>
      <c r="D243" s="3" t="inlineStr">
        <is>
          <t>10 lần</t>
        </is>
      </c>
      <c r="E243" s="3" t="inlineStr">
        <is>
          <t>10.75%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ĐẦU CHI TIẾT</t>
        </is>
      </c>
      <c r="B244" s="2" t="inlineStr">
        <is>
          <t>Đầu 4</t>
        </is>
      </c>
      <c r="C244" s="3" t="inlineStr">
        <is>
          <t>67 lần</t>
        </is>
      </c>
      <c r="D244" s="3" t="inlineStr">
        <is>
          <t>4 lần</t>
        </is>
      </c>
      <c r="E244" s="3" t="inlineStr">
        <is>
          <t>5.97%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ĐẦU CHI TIẾT</t>
        </is>
      </c>
      <c r="B245" s="2" t="inlineStr">
        <is>
          <t>Đầu 5</t>
        </is>
      </c>
      <c r="C245" s="3" t="inlineStr">
        <is>
          <t>92 lần</t>
        </is>
      </c>
      <c r="D245" s="3" t="inlineStr">
        <is>
          <t>9 lần</t>
        </is>
      </c>
      <c r="E245" s="3" t="inlineStr">
        <is>
          <t>9.78%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ĐẦU CHI TIẾT</t>
        </is>
      </c>
      <c r="B246" s="2" t="inlineStr">
        <is>
          <t>Đầu 6</t>
        </is>
      </c>
      <c r="C246" s="3" t="inlineStr">
        <is>
          <t>86 lần</t>
        </is>
      </c>
      <c r="D246" s="3" t="inlineStr">
        <is>
          <t>4 lần</t>
        </is>
      </c>
      <c r="E246" s="3" t="inlineStr">
        <is>
          <t>4.65%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ĐẦU CHI TIẾT</t>
        </is>
      </c>
      <c r="B247" s="2" t="inlineStr">
        <is>
          <t>Đầu 7</t>
        </is>
      </c>
      <c r="C247" s="3" t="inlineStr">
        <is>
          <t>32 lần</t>
        </is>
      </c>
      <c r="D247" s="3" t="inlineStr">
        <is>
          <t>3 lần</t>
        </is>
      </c>
      <c r="E247" s="3" t="inlineStr">
        <is>
          <t>9.38%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ĐẦU CHI TIẾT</t>
        </is>
      </c>
      <c r="B248" s="2" t="inlineStr">
        <is>
          <t>Đầu 8</t>
        </is>
      </c>
      <c r="C248" s="3" t="inlineStr">
        <is>
          <t>84 lần</t>
        </is>
      </c>
      <c r="D248" s="3" t="inlineStr">
        <is>
          <t>12 lần</t>
        </is>
      </c>
      <c r="E248" s="3" t="inlineStr">
        <is>
          <t>14.29%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ĐẦU CHI TIẾT</t>
        </is>
      </c>
      <c r="B249" s="2" t="inlineStr">
        <is>
          <t>Đầu 9</t>
        </is>
      </c>
      <c r="C249" s="3" t="inlineStr">
        <is>
          <t>55 lần</t>
        </is>
      </c>
      <c r="D249" s="3" t="inlineStr">
        <is>
          <t>7 lần</t>
        </is>
      </c>
      <c r="E249" s="3" t="inlineStr">
        <is>
          <t>12.73%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4" t="inlineStr">
        <is>
          <t>BẢNG PHÂN TÍCH CHUYÊN SÂU</t>
        </is>
      </c>
      <c r="B250" s="4" t="inlineStr">
        <is>
          <t>TỪNG ĐUÔI DỰ ĐOÁN (0-9)</t>
        </is>
      </c>
      <c r="C250" s="5" t="inlineStr">
        <is>
          <t>Số Lần Dự Đoán</t>
        </is>
      </c>
      <c r="D250" s="6" t="inlineStr">
        <is>
          <t>Số Lần TRÚNG Thực Tế</t>
        </is>
      </c>
      <c r="E250" s="5" t="inlineStr">
        <is>
          <t>Tỷ Lệ Trúng %</t>
        </is>
      </c>
      <c r="F250" s="5" t="inlineStr">
        <is>
          <t>---</t>
        </is>
      </c>
      <c r="G250" s="5" t="inlineStr">
        <is>
          <t>---</t>
        </is>
      </c>
      <c r="H250" s="5" t="inlineStr">
        <is>
          <t>---</t>
        </is>
      </c>
      <c r="I250" s="5" t="inlineStr">
        <is>
          <t>---</t>
        </is>
      </c>
      <c r="J250" s="5" t="inlineStr">
        <is>
          <t>---</t>
        </is>
      </c>
      <c r="K250" s="5" t="inlineStr">
        <is>
          <t>---</t>
        </is>
      </c>
      <c r="L250" s="5" t="inlineStr">
        <is>
          <t>---</t>
        </is>
      </c>
      <c r="M250" s="5" t="inlineStr">
        <is>
          <t>---</t>
        </is>
      </c>
    </row>
    <row r="251">
      <c r="A251" s="2" t="inlineStr">
        <is>
          <t>ĐUÔI CHI TIẾT</t>
        </is>
      </c>
      <c r="B251" s="2" t="inlineStr">
        <is>
          <t>Đuôi 0</t>
        </is>
      </c>
      <c r="C251" s="3" t="inlineStr">
        <is>
          <t>60 lần</t>
        </is>
      </c>
      <c r="D251" s="3" t="inlineStr">
        <is>
          <t>2 lần</t>
        </is>
      </c>
      <c r="E251" s="3" t="inlineStr">
        <is>
          <t>3.33%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  <row r="252">
      <c r="A252" s="2" t="inlineStr">
        <is>
          <t>ĐUÔI CHI TIẾT</t>
        </is>
      </c>
      <c r="B252" s="2" t="inlineStr">
        <is>
          <t>Đuôi 1</t>
        </is>
      </c>
      <c r="C252" s="3" t="inlineStr">
        <is>
          <t>72 lần</t>
        </is>
      </c>
      <c r="D252" s="3" t="inlineStr">
        <is>
          <t>7 lần</t>
        </is>
      </c>
      <c r="E252" s="3" t="inlineStr">
        <is>
          <t>9.72%</t>
        </is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2" t="inlineStr">
        <is>
          <t>ĐUÔI CHI TIẾT</t>
        </is>
      </c>
      <c r="B253" s="2" t="inlineStr">
        <is>
          <t>Đuôi 2</t>
        </is>
      </c>
      <c r="C253" s="3" t="inlineStr">
        <is>
          <t>66 lần</t>
        </is>
      </c>
      <c r="D253" s="3" t="inlineStr">
        <is>
          <t>4 lần</t>
        </is>
      </c>
      <c r="E253" s="3" t="inlineStr">
        <is>
          <t>6.06%</t>
        </is>
      </c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2" t="inlineStr">
        <is>
          <t>ĐUÔI CHI TIẾT</t>
        </is>
      </c>
      <c r="B254" s="2" t="inlineStr">
        <is>
          <t>Đuôi 3</t>
        </is>
      </c>
      <c r="C254" s="3" t="inlineStr">
        <is>
          <t>74 lần</t>
        </is>
      </c>
      <c r="D254" s="3" t="inlineStr">
        <is>
          <t>7 lần</t>
        </is>
      </c>
      <c r="E254" s="3" t="inlineStr">
        <is>
          <t>9.46%</t>
        </is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2" t="inlineStr">
        <is>
          <t>ĐUÔI CHI TIẾT</t>
        </is>
      </c>
      <c r="B255" s="2" t="inlineStr">
        <is>
          <t>Đuôi 4</t>
        </is>
      </c>
      <c r="C255" s="3" t="inlineStr">
        <is>
          <t>121 lần</t>
        </is>
      </c>
      <c r="D255" s="3" t="inlineStr">
        <is>
          <t>14 lần</t>
        </is>
      </c>
      <c r="E255" s="3" t="inlineStr">
        <is>
          <t>11.57%</t>
        </is>
      </c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2" t="inlineStr">
        <is>
          <t>ĐUÔI CHI TIẾT</t>
        </is>
      </c>
      <c r="B256" s="2" t="inlineStr">
        <is>
          <t>Đuôi 5</t>
        </is>
      </c>
      <c r="C256" s="3" t="inlineStr">
        <is>
          <t>49 lần</t>
        </is>
      </c>
      <c r="D256" s="3" t="inlineStr">
        <is>
          <t>1 lần</t>
        </is>
      </c>
      <c r="E256" s="3" t="inlineStr">
        <is>
          <t>2.04%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2" t="inlineStr">
        <is>
          <t>ĐUÔI CHI TIẾT</t>
        </is>
      </c>
      <c r="B257" s="2" t="inlineStr">
        <is>
          <t>Đuôi 6</t>
        </is>
      </c>
      <c r="C257" s="3" t="inlineStr">
        <is>
          <t>20 lần</t>
        </is>
      </c>
      <c r="D257" s="3" t="inlineStr">
        <is>
          <t>1 lần</t>
        </is>
      </c>
      <c r="E257" s="3" t="inlineStr">
        <is>
          <t>5.0%</t>
        </is>
      </c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</row>
    <row r="258">
      <c r="A258" s="2" t="inlineStr">
        <is>
          <t>ĐUÔI CHI TIẾT</t>
        </is>
      </c>
      <c r="B258" s="2" t="inlineStr">
        <is>
          <t>Đuôi 7</t>
        </is>
      </c>
      <c r="C258" s="3" t="inlineStr">
        <is>
          <t>89 lần</t>
        </is>
      </c>
      <c r="D258" s="3" t="inlineStr">
        <is>
          <t>11 lần</t>
        </is>
      </c>
      <c r="E258" s="3" t="inlineStr">
        <is>
          <t>12.36%</t>
        </is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</row>
    <row r="259">
      <c r="A259" s="2" t="inlineStr">
        <is>
          <t>ĐUÔI CHI TIẾT</t>
        </is>
      </c>
      <c r="B259" s="2" t="inlineStr">
        <is>
          <t>Đuôi 8</t>
        </is>
      </c>
      <c r="C259" s="3" t="inlineStr">
        <is>
          <t>87 lần</t>
        </is>
      </c>
      <c r="D259" s="3" t="inlineStr">
        <is>
          <t>7 lần</t>
        </is>
      </c>
      <c r="E259" s="3" t="inlineStr">
        <is>
          <t>8.05%</t>
        </is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2" t="inlineStr">
        <is>
          <t>ĐUÔI CHI TIẾT</t>
        </is>
      </c>
      <c r="B260" s="2" t="inlineStr">
        <is>
          <t>Đuôi 9</t>
        </is>
      </c>
      <c r="C260" s="3" t="inlineStr">
        <is>
          <t>64 lần</t>
        </is>
      </c>
      <c r="D260" s="3" t="inlineStr">
        <is>
          <t>6 lần</t>
        </is>
      </c>
      <c r="E260" s="3" t="inlineStr">
        <is>
          <t>9.38%</t>
        </is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23" customWidth="1" min="5" max="5"/>
    <col width="43" customWidth="1" min="6" max="6"/>
    <col width="34" customWidth="1" min="7" max="7"/>
    <col width="33" customWidth="1" min="8" max="8"/>
    <col width="65" customWidth="1" min="9" max="9"/>
    <col width="65" customWidth="1" min="10" max="10"/>
    <col width="65" customWidth="1" min="11" max="11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(Gốc 60 số)</t>
        </is>
      </c>
      <c r="D1" s="1" t="inlineStr">
        <is>
          <t>N2 (Siêu Lọc 28 số)</t>
        </is>
      </c>
      <c r="E1" s="1" t="inlineStr">
        <is>
          <t>N3 (Siêu Lọc 28 số)</t>
        </is>
      </c>
      <c r="F1" s="1" t="inlineStr">
        <is>
          <t>Tỷ Lệ Trúng N2/N3 (Khi N1 Trượt)</t>
        </is>
      </c>
      <c r="G1" s="1" t="inlineStr">
        <is>
          <t>Song Thủ Lô Rơi (N2/N3)</t>
        </is>
      </c>
      <c r="H1" s="1" t="inlineStr">
        <is>
          <t>Kết Quả Khung 3 Ngày</t>
        </is>
      </c>
      <c r="I1" s="1" t="inlineStr">
        <is>
          <t>Dàn N1 (60 Số)</t>
        </is>
      </c>
      <c r="J1" s="1" t="inlineStr">
        <is>
          <t>Dàn Siêu Lọc N2 (28 Số)</t>
        </is>
      </c>
      <c r="K1" s="1" t="inlineStr">
        <is>
          <t>Dàn Siêu Lọc N3 (28 Số)</t>
        </is>
      </c>
    </row>
    <row r="2">
      <c r="A2" s="2" t="inlineStr">
        <is>
          <t>TỔNG KẾT KHUNG 3 NGÀY</t>
        </is>
      </c>
      <c r="B2" s="2" t="inlineStr">
        <is>
          <t>Tổng Khung: 232 Khung</t>
        </is>
      </c>
      <c r="C2" s="3" t="inlineStr">
        <is>
          <t>Trúng N1: 104 Khung</t>
        </is>
      </c>
      <c r="D2" s="3" t="inlineStr">
        <is>
          <t>Trúng N2: 34 Khung</t>
        </is>
      </c>
      <c r="E2" s="3" t="inlineStr">
        <is>
          <t>Trúng N3: 23 Khung</t>
        </is>
      </c>
      <c r="F2" s="3" t="inlineStr">
        <is>
          <t>Trúng N2/N3 Siêu Lọc: 57 Khung (44.53%)</t>
        </is>
      </c>
      <c r="G2" s="3" t="inlineStr">
        <is>
          <t>Trúng STL Rơi: 13 Khung (5.6%)</t>
        </is>
      </c>
      <c r="H2" s="6" t="inlineStr">
        <is>
          <t>TỔNG TRÚNG: 161 Khung (69.4%)</t>
        </is>
      </c>
      <c r="I2" s="3" t="inlineStr">
        <is>
          <t>---</t>
        </is>
      </c>
      <c r="J2" s="3" t="inlineStr">
        <is>
          <t>---</t>
        </is>
      </c>
      <c r="K2" s="3" t="inlineStr">
        <is>
          <t>---</t>
        </is>
      </c>
    </row>
    <row r="3">
      <c r="A3" s="2" t="n">
        <v>1</v>
      </c>
      <c r="B3" s="2" t="inlineStr">
        <is>
          <t>Thứ năm ngày 01-01-2026</t>
        </is>
      </c>
      <c r="C3" s="3" t="inlineStr">
        <is>
          <t>48 (Trúng)</t>
        </is>
      </c>
      <c r="D3" s="3" t="inlineStr">
        <is>
          <t>49 (Không)</t>
        </is>
      </c>
      <c r="E3" s="3" t="inlineStr">
        <is>
          <t>97 (Không)</t>
        </is>
      </c>
      <c r="F3" s="3" t="inlineStr">
        <is>
          <t>---</t>
        </is>
      </c>
      <c r="G3" s="7" t="inlineStr">
        <is>
          <t>25, 69 (TRƯỢT ❌)</t>
        </is>
      </c>
      <c r="H3" s="6" t="inlineStr">
        <is>
          <t>TRÚNG N1 🎯</t>
        </is>
      </c>
      <c r="I3" s="3" t="inlineStr">
        <is>
          <t>00, 02, 05, 07, 11, 14, 16, 19, 20, 23, 25, 28, 32, 34, 37, 39, 41, 43, 46, 48, 50, 52, 55, 57, 61, 64, 66, 69, 70, 73, 75, 78, 82, 84, 87, 89, 91, 93, 96, 98 (40 số)</t>
        </is>
      </c>
      <c r="J3" s="3" t="inlineStr">
        <is>
          <t>50, 52, 55, 57, 61, 64, 66, 69, 70, 73, 75, 78, 82, 84, 87, 89, 91, 93, 96, 98 (20 số)</t>
        </is>
      </c>
      <c r="K3" s="3" t="inlineStr">
        <is>
          <t>50, 52, 55, 57, 61, 64, 66, 69, 70, 73, 75, 78, 82, 84, 87, 89, 91, 93, 96, 98 (20 số)</t>
        </is>
      </c>
    </row>
    <row r="4">
      <c r="A4" s="2" t="n">
        <v>2</v>
      </c>
      <c r="B4" s="2" t="inlineStr">
        <is>
          <t>Thứ sáu ngày 02-01-2026</t>
        </is>
      </c>
      <c r="C4" s="3" t="inlineStr">
        <is>
          <t>49 (Không)</t>
        </is>
      </c>
      <c r="D4" s="3" t="inlineStr">
        <is>
          <t>97 (Trúng)</t>
        </is>
      </c>
      <c r="E4" s="3" t="inlineStr">
        <is>
          <t>05 (Không)</t>
        </is>
      </c>
      <c r="F4" s="3" t="inlineStr">
        <is>
          <t>---</t>
        </is>
      </c>
      <c r="G4" s="7" t="inlineStr">
        <is>
          <t>24, 29 (TRƯỢT ❌)</t>
        </is>
      </c>
      <c r="H4" s="6" t="inlineStr">
        <is>
          <t>TRÚNG N2 (Siêu Lọc 🎯)</t>
        </is>
      </c>
      <c r="I4" s="3" t="inlineStr">
        <is>
          <t>01, 06, 10, 15, 24, 29, 33, 38, 42, 47, 51, 56, 60, 65, 74, 79, 83, 88, 92, 97 (20 số)</t>
        </is>
      </c>
      <c r="J4" s="3" t="inlineStr">
        <is>
          <t>51, 56, 60, 65, 74, 79, 83, 88, 92, 97 (10 số)</t>
        </is>
      </c>
      <c r="K4" s="3" t="inlineStr">
        <is>
          <t>51, 56, 60, 65, 74, 79, 83, 88, 92, 97 (10 số)</t>
        </is>
      </c>
    </row>
    <row r="5">
      <c r="A5" s="2" t="n">
        <v>3</v>
      </c>
      <c r="B5" s="2" t="inlineStr">
        <is>
          <t>Thứ bảy ngày 03-01-2026</t>
        </is>
      </c>
      <c r="C5" s="3" t="inlineStr">
        <is>
          <t>97 (Trúng)</t>
        </is>
      </c>
      <c r="D5" s="3" t="inlineStr">
        <is>
          <t>05 (Trúng)</t>
        </is>
      </c>
      <c r="E5" s="3" t="inlineStr">
        <is>
          <t>47 (Trúng)</t>
        </is>
      </c>
      <c r="F5" s="3" t="inlineStr">
        <is>
          <t>---</t>
        </is>
      </c>
      <c r="G5" s="7" t="inlineStr">
        <is>
          <t>33, 46 (TRƯỢT ❌)</t>
        </is>
      </c>
      <c r="H5" s="6" t="inlineStr">
        <is>
          <t>TRÚNG N1 🎯</t>
        </is>
      </c>
      <c r="I5" s="3" t="inlineStr">
        <is>
          <t>00, 01, 05, 06, 10, 14, 15, 19, 23, 24, 28, 29, 32, 33, 37, 38, 41, 42, 46, 47, 50, 51, 55, 56, 60, 64, 65, 69, 73, 74, 78, 79, 82, 83, 87, 88, 91, 92, 96, 97 (40 số)</t>
        </is>
      </c>
      <c r="J5" s="3" t="inlineStr">
        <is>
          <t>00, 01, 05, 06, 10, 14, 15, 19, 23, 24, 28, 29, 32, 33, 37, 38, 41, 42, 46, 47 (20 số)</t>
        </is>
      </c>
      <c r="K5" s="3" t="inlineStr">
        <is>
          <t>00, 01, 05, 06, 10, 14, 15, 19, 23, 24, 28, 29, 32, 33, 37, 38, 41, 42, 46, 47 (20 số)</t>
        </is>
      </c>
    </row>
    <row r="6">
      <c r="A6" s="2" t="n">
        <v>4</v>
      </c>
      <c r="B6" s="2" t="inlineStr">
        <is>
          <t>Chủ nhật ngày 04-01-2026</t>
        </is>
      </c>
      <c r="C6" s="3" t="inlineStr">
        <is>
          <t>05 (Không)</t>
        </is>
      </c>
      <c r="D6" s="3" t="inlineStr">
        <is>
          <t>47 (Không)</t>
        </is>
      </c>
      <c r="E6" s="3" t="inlineStr">
        <is>
          <t>89 (Trúng)</t>
        </is>
      </c>
      <c r="F6" s="3" t="inlineStr">
        <is>
          <t>---</t>
        </is>
      </c>
      <c r="G6" s="7" t="inlineStr">
        <is>
          <t>25, 34 (TRƯỢT ❌)</t>
        </is>
      </c>
      <c r="H6" s="6" t="inlineStr">
        <is>
          <t>TRÚNG N3 (Siêu Lọc 🎯)</t>
        </is>
      </c>
      <c r="I6" s="3" t="inlineStr">
        <is>
          <t>02, 04, 07, 09, 11, 13, 16, 18, 20, 22, 25, 27, 31, 34, 36, 39, 40, 43, 45, 48, 52, 54, 57, 59, 61, 63, 66, 68, 70, 72, 75, 77, 81, 84, 86, 89, 90, 93, 95, 98 (40 số)</t>
        </is>
      </c>
      <c r="J6" s="3" t="inlineStr">
        <is>
          <t>52, 54, 57, 59, 61, 63, 66, 68, 70, 72, 75, 77, 81, 84, 86, 89, 90, 93, 95, 98 (20 số)</t>
        </is>
      </c>
      <c r="K6" s="3" t="inlineStr">
        <is>
          <t>52, 54, 57, 59, 61, 63, 66, 68, 70, 72, 75, 77, 81, 84, 86, 89, 90, 93, 95, 98 (20 số)</t>
        </is>
      </c>
    </row>
    <row r="7">
      <c r="A7" s="2" t="n">
        <v>5</v>
      </c>
      <c r="B7" s="2" t="inlineStr">
        <is>
          <t>Thứ hai ngày 05-01-2026</t>
        </is>
      </c>
      <c r="C7" s="3" t="inlineStr">
        <is>
          <t>47 (Trúng)</t>
        </is>
      </c>
      <c r="D7" s="3" t="inlineStr">
        <is>
          <t>89 (Trúng)</t>
        </is>
      </c>
      <c r="E7" s="3" t="inlineStr">
        <is>
          <t>62 (Không)</t>
        </is>
      </c>
      <c r="F7" s="3" t="inlineStr">
        <is>
          <t>---</t>
        </is>
      </c>
      <c r="G7" s="6" t="inlineStr">
        <is>
          <t>43, 47 (TRÚNG 🎯)</t>
        </is>
      </c>
      <c r="H7" s="6" t="inlineStr">
        <is>
          <t>TRÚNG N1 🎯</t>
        </is>
      </c>
      <c r="I7" s="3" t="inlineStr">
        <is>
          <t>01, 02, 06, 07, 10, 11, 15, 16, 20, 24, 25, 29, 33, 34, 38, 39, 42, 43, 47, 48, 51, 52, 56, 57, 60, 61, 65, 66, 70, 74, 75, 79, 83, 84, 88, 89, 92, 93, 97, 98 (40 số)</t>
        </is>
      </c>
      <c r="J7" s="3" t="inlineStr">
        <is>
          <t>51, 52, 56, 57, 60, 61, 65, 66, 70, 74, 75, 79, 83, 84, 88, 89, 92, 93, 97, 98 (20 số)</t>
        </is>
      </c>
      <c r="K7" s="3" t="inlineStr">
        <is>
          <t>51, 52, 56, 57, 60, 61, 65, 66, 70, 74, 75, 79, 83, 84, 88, 89, 92, 93, 97, 98 (20 số)</t>
        </is>
      </c>
    </row>
    <row r="8">
      <c r="A8" s="2" t="n">
        <v>6</v>
      </c>
      <c r="B8" s="2" t="inlineStr">
        <is>
          <t>Thứ ba ngày 06-01-2026</t>
        </is>
      </c>
      <c r="C8" s="3" t="inlineStr">
        <is>
          <t>89 (Không)</t>
        </is>
      </c>
      <c r="D8" s="3" t="inlineStr">
        <is>
          <t>62 (Không)</t>
        </is>
      </c>
      <c r="E8" s="3" t="inlineStr">
        <is>
          <t>23 (Trúng)</t>
        </is>
      </c>
      <c r="F8" s="3" t="inlineStr">
        <is>
          <t>---</t>
        </is>
      </c>
      <c r="G8" s="7" t="inlineStr">
        <is>
          <t>10, 47 (TRƯỢT ❌)</t>
        </is>
      </c>
      <c r="H8" s="6" t="inlineStr">
        <is>
          <t>TRÚNG N3 (Siêu Lọc 🎯)</t>
        </is>
      </c>
      <c r="I8" s="3" t="inlineStr">
        <is>
          <t>00, 01, 05, 06, 10, 14, 15, 19, 23, 24, 28, 29, 32, 33, 37, 38, 41, 42, 46, 47, 50, 51, 55, 56, 60, 64, 65, 69, 73, 74, 78, 79, 82, 83, 87, 88, 91, 92, 96, 97 (40 số)</t>
        </is>
      </c>
      <c r="J8" s="3" t="inlineStr">
        <is>
          <t>00, 01, 05, 06, 10, 14, 15, 19, 23, 24, 28, 29, 32, 33, 37, 38, 41, 42, 46, 47 (20 số)</t>
        </is>
      </c>
      <c r="K8" s="3" t="inlineStr">
        <is>
          <t>00, 01, 05, 06, 10, 14, 15, 19, 23, 24, 28, 29, 32, 33, 37, 38, 41, 42, 46, 47 (20 số)</t>
        </is>
      </c>
    </row>
    <row r="9">
      <c r="A9" s="2" t="n">
        <v>7</v>
      </c>
      <c r="B9" s="2" t="inlineStr">
        <is>
          <t>Thứ tư ngày 07-01-2026</t>
        </is>
      </c>
      <c r="C9" s="3" t="inlineStr">
        <is>
          <t>62 (Không)</t>
        </is>
      </c>
      <c r="D9" s="3" t="inlineStr">
        <is>
          <t>23 (Trúng)</t>
        </is>
      </c>
      <c r="E9" s="3" t="inlineStr">
        <is>
          <t>93 (Không)</t>
        </is>
      </c>
      <c r="F9" s="3" t="inlineStr">
        <is>
          <t>---</t>
        </is>
      </c>
      <c r="G9" s="7" t="inlineStr">
        <is>
          <t>24, 39 (TRƯỢT ❌)</t>
        </is>
      </c>
      <c r="H9" s="6" t="inlineStr">
        <is>
          <t>TRÚNG N2 (Siêu Lọc 🎯)</t>
        </is>
      </c>
      <c r="I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" s="3" t="inlineStr">
        <is>
          <t>00, 01, 02, 07, 10, 11, 14, 15, 16, 19, 20, 23, 24, 25, 28, 29, 32, 33, 34, 37, 38, 39, 41, 42, 43, 46, 47, 48 (28 số)</t>
        </is>
      </c>
      <c r="K9" s="3" t="inlineStr">
        <is>
          <t>00, 01, 02, 07, 10, 11, 14, 15, 16, 19, 20, 23, 24, 25, 28, 29, 32, 33, 34, 37, 38, 39, 41, 42, 43, 46, 47, 48 (28 số)</t>
        </is>
      </c>
    </row>
    <row r="10">
      <c r="A10" s="2" t="n">
        <v>8</v>
      </c>
      <c r="B10" s="2" t="inlineStr">
        <is>
          <t>Thứ năm ngày 08-01-2026</t>
        </is>
      </c>
      <c r="C10" s="3" t="inlineStr">
        <is>
          <t>23 (Trúng)</t>
        </is>
      </c>
      <c r="D10" s="3" t="inlineStr">
        <is>
          <t>93 (Không)</t>
        </is>
      </c>
      <c r="E10" s="3" t="inlineStr">
        <is>
          <t>38 (Không)</t>
        </is>
      </c>
      <c r="F10" s="3" t="inlineStr">
        <is>
          <t>---</t>
        </is>
      </c>
      <c r="G10" s="7" t="inlineStr">
        <is>
          <t>13, 54 (TRƯỢT ❌)</t>
        </is>
      </c>
      <c r="H10" s="6" t="inlineStr">
        <is>
          <t>TRÚNG N1 🎯</t>
        </is>
      </c>
      <c r="I1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" s="3" t="inlineStr">
        <is>
          <t>50, 51, 54, 56, 59, 60, 63, 64, 65, 68, 69, 72, 73, 74, 77, 78, 79, 81, 82, 83, 86, 87, 88, 90, 91, 95, 96, 97 (28 số)</t>
        </is>
      </c>
      <c r="K10" s="3" t="inlineStr">
        <is>
          <t>50, 51, 54, 56, 59, 60, 63, 64, 65, 68, 69, 72, 73, 74, 77, 78, 79, 81, 82, 83, 86, 87, 88, 90, 91, 95, 96, 97 (28 số)</t>
        </is>
      </c>
    </row>
    <row r="11">
      <c r="A11" s="2" t="n">
        <v>9</v>
      </c>
      <c r="B11" s="2" t="inlineStr">
        <is>
          <t>Thứ sáu ngày 09-01-2026</t>
        </is>
      </c>
      <c r="C11" s="3" t="inlineStr">
        <is>
          <t>93 (Trúng)</t>
        </is>
      </c>
      <c r="D11" s="3" t="inlineStr">
        <is>
          <t>38 (Trúng)</t>
        </is>
      </c>
      <c r="E11" s="3" t="inlineStr">
        <is>
          <t>94 (Không)</t>
        </is>
      </c>
      <c r="F11" s="3" t="inlineStr">
        <is>
          <t>---</t>
        </is>
      </c>
      <c r="G11" s="7" t="inlineStr">
        <is>
          <t>23, 46 (TRƯỢT ❌)</t>
        </is>
      </c>
      <c r="H11" s="6" t="inlineStr">
        <is>
          <t>TRÚNG N1 🎯</t>
        </is>
      </c>
      <c r="I1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1" s="3" t="inlineStr">
        <is>
          <t>00, 01, 02, 07, 10, 11, 14, 15, 16, 19, 20, 23, 24, 25, 28, 29, 32, 33, 34, 37, 38, 39, 41, 42, 43, 46, 47, 48 (28 số)</t>
        </is>
      </c>
      <c r="K11" s="3" t="inlineStr">
        <is>
          <t>00, 01, 02, 07, 10, 11, 14, 15, 16, 19, 20, 23, 24, 25, 28, 29, 32, 33, 34, 37, 38, 39, 41, 42, 43, 46, 47, 48 (28 số)</t>
        </is>
      </c>
    </row>
    <row r="12">
      <c r="A12" s="2" t="n">
        <v>10</v>
      </c>
      <c r="B12" s="2" t="inlineStr">
        <is>
          <t>Thứ bảy ngày 10-01-2026</t>
        </is>
      </c>
      <c r="C12" s="3" t="inlineStr">
        <is>
          <t>38 (Không)</t>
        </is>
      </c>
      <c r="D12" s="3" t="inlineStr">
        <is>
          <t>94 (Không)</t>
        </is>
      </c>
      <c r="E12" s="3" t="inlineStr">
        <is>
          <t>27 (Không)</t>
        </is>
      </c>
      <c r="F12" s="3" t="inlineStr">
        <is>
          <t>---</t>
        </is>
      </c>
      <c r="G12" s="7" t="inlineStr">
        <is>
          <t>13, 14 (TRƯỢT ❌)</t>
        </is>
      </c>
      <c r="H12" s="7" t="inlineStr">
        <is>
          <t>TRƯỢT KHUNG ❌</t>
        </is>
      </c>
      <c r="I1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2" s="3" t="inlineStr">
        <is>
          <t>50, 52, 54, 57, 59, 61, 63, 64, 66, 68, 69, 70, 72, 73, 75, 77, 78, 81, 84, 86, 87, 89, 90, 91, 93, 95, 96, 98 (28 số)</t>
        </is>
      </c>
      <c r="K12" s="3" t="inlineStr">
        <is>
          <t>50, 52, 54, 57, 59, 61, 63, 64, 66, 68, 69, 70, 72, 73, 75, 77, 78, 81, 84, 86, 87, 89, 90, 91, 93, 95, 96, 98 (28 số)</t>
        </is>
      </c>
    </row>
    <row r="13">
      <c r="A13" s="2" t="n">
        <v>11</v>
      </c>
      <c r="B13" s="2" t="inlineStr">
        <is>
          <t>Chủ nhật ngày 11-01-2026</t>
        </is>
      </c>
      <c r="C13" s="3" t="inlineStr">
        <is>
          <t>94 (Không)</t>
        </is>
      </c>
      <c r="D13" s="3" t="inlineStr">
        <is>
          <t>27 (Trúng)</t>
        </is>
      </c>
      <c r="E13" s="3" t="inlineStr">
        <is>
          <t>17 (Không)</t>
        </is>
      </c>
      <c r="F13" s="3" t="inlineStr">
        <is>
          <t>---</t>
        </is>
      </c>
      <c r="G13" s="7" t="inlineStr">
        <is>
          <t>10, 38 (TRƯỢT ❌)</t>
        </is>
      </c>
      <c r="H13" s="6" t="inlineStr">
        <is>
          <t>TRÚNG N2 (Siêu Lọc 🎯)</t>
        </is>
      </c>
      <c r="I1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" s="3" t="inlineStr">
        <is>
          <t>01, 02, 04, 07, 09, 10, 11, 13, 16, 18, 20, 22, 24, 25, 27, 29, 31, 33, 34, 36, 38, 39, 40, 42, 43, 45, 47, 48 (28 số)</t>
        </is>
      </c>
      <c r="K13" s="3" t="inlineStr">
        <is>
          <t>01, 02, 04, 07, 09, 10, 11, 13, 16, 18, 20, 22, 24, 25, 27, 29, 31, 33, 34, 36, 38, 39, 40, 42, 43, 45, 47, 48 (28 số)</t>
        </is>
      </c>
    </row>
    <row r="14">
      <c r="A14" s="2" t="n">
        <v>12</v>
      </c>
      <c r="B14" s="2" t="inlineStr">
        <is>
          <t>Thứ hai ngày 12-01-2026</t>
        </is>
      </c>
      <c r="C14" s="3" t="inlineStr">
        <is>
          <t>27 (Trúng)</t>
        </is>
      </c>
      <c r="D14" s="3" t="inlineStr">
        <is>
          <t>17 (Không)</t>
        </is>
      </c>
      <c r="E14" s="3" t="inlineStr">
        <is>
          <t>22 (Không)</t>
        </is>
      </c>
      <c r="F14" s="3" t="inlineStr">
        <is>
          <t>---</t>
        </is>
      </c>
      <c r="G14" s="7" t="inlineStr">
        <is>
          <t>20, 31 (TRƯỢT ❌)</t>
        </is>
      </c>
      <c r="H14" s="6" t="inlineStr">
        <is>
          <t>TRÚNG N1 🎯</t>
        </is>
      </c>
      <c r="I14" s="3" t="inlineStr">
        <is>
          <t>02, 04, 07, 09, 11, 13, 16, 18, 20, 22, 25, 27, 31, 34, 36, 39, 40, 43, 45, 48, 52, 54, 57, 59, 61, 63, 66, 68, 70, 72, 75, 77, 81, 84, 86, 89, 90, 93, 95, 98 (40 số)</t>
        </is>
      </c>
      <c r="J14" s="3" t="inlineStr">
        <is>
          <t>52, 54, 57, 59, 61, 63, 66, 68, 70, 72, 75, 77, 81, 84, 86, 89, 90, 93, 95, 98 (20 số)</t>
        </is>
      </c>
      <c r="K14" s="3" t="inlineStr">
        <is>
          <t>52, 54, 57, 59, 61, 63, 66, 68, 70, 72, 75, 77, 81, 84, 86, 89, 90, 93, 95, 98 (20 số)</t>
        </is>
      </c>
    </row>
    <row r="15">
      <c r="A15" s="2" t="n">
        <v>13</v>
      </c>
      <c r="B15" s="2" t="inlineStr">
        <is>
          <t>Thứ ba ngày 13-01-2026</t>
        </is>
      </c>
      <c r="C15" s="3" t="inlineStr">
        <is>
          <t>17 (Không)</t>
        </is>
      </c>
      <c r="D15" s="3" t="inlineStr">
        <is>
          <t>22 (Không)</t>
        </is>
      </c>
      <c r="E15" s="3" t="inlineStr">
        <is>
          <t>28 (Không)</t>
        </is>
      </c>
      <c r="F15" s="3" t="inlineStr">
        <is>
          <t>---</t>
        </is>
      </c>
      <c r="G15" s="7" t="inlineStr">
        <is>
          <t>16, 24 (TRƯỢT ❌)</t>
        </is>
      </c>
      <c r="H15" s="7" t="inlineStr">
        <is>
          <t>TRƯỢT KHUNG ❌</t>
        </is>
      </c>
      <c r="I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5" s="3" t="inlineStr">
        <is>
          <t>50, 51, 52, 56, 57, 60, 61, 64, 65, 66, 69, 70, 73, 74, 75, 78, 79, 82, 83, 84, 87, 88, 89, 91, 93, 96, 97, 98 (28 số)</t>
        </is>
      </c>
      <c r="K15" s="3" t="inlineStr">
        <is>
          <t>50, 51, 52, 56, 57, 60, 61, 64, 65, 66, 69, 70, 73, 74, 75, 78, 79, 82, 83, 84, 87, 88, 89, 91, 93, 96, 97, 98 (28 số)</t>
        </is>
      </c>
    </row>
    <row r="16">
      <c r="A16" s="2" t="n">
        <v>14</v>
      </c>
      <c r="B16" s="2" t="inlineStr">
        <is>
          <t>Thứ tư ngày 14-01-2026</t>
        </is>
      </c>
      <c r="C16" s="3" t="inlineStr">
        <is>
          <t>22 (Không)</t>
        </is>
      </c>
      <c r="D16" s="3" t="inlineStr">
        <is>
          <t>28 (Không)</t>
        </is>
      </c>
      <c r="E16" s="3" t="inlineStr">
        <is>
          <t>24 (Không)</t>
        </is>
      </c>
      <c r="F16" s="3" t="inlineStr">
        <is>
          <t>---</t>
        </is>
      </c>
      <c r="G16" s="7" t="inlineStr">
        <is>
          <t>15, 17 (TRƯỢT ❌)</t>
        </is>
      </c>
      <c r="H16" s="7" t="inlineStr">
        <is>
          <t>TRƯỢT KHUNG ❌</t>
        </is>
      </c>
      <c r="I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" s="3" t="inlineStr">
        <is>
          <t>51, 52, 53, 56, 57, 58, 60, 61, 62, 66, 67, 70, 71, 74, 75, 76, 79, 80, 83, 84, 85, 88, 89, 93, 94, 97, 98, 99 (28 số)</t>
        </is>
      </c>
      <c r="K16" s="3" t="inlineStr">
        <is>
          <t>51, 52, 53, 56, 57, 58, 60, 61, 62, 66, 67, 70, 71, 74, 75, 76, 79, 80, 83, 84, 85, 88, 89, 93, 94, 97, 98, 99 (28 số)</t>
        </is>
      </c>
    </row>
    <row r="17">
      <c r="A17" s="2" t="n">
        <v>15</v>
      </c>
      <c r="B17" s="2" t="inlineStr">
        <is>
          <t>Thứ năm ngày 15-01-2026</t>
        </is>
      </c>
      <c r="C17" s="3" t="inlineStr">
        <is>
          <t>28 (Trúng)</t>
        </is>
      </c>
      <c r="D17" s="3" t="inlineStr">
        <is>
          <t>24 (Không)</t>
        </is>
      </c>
      <c r="E17" s="3" t="inlineStr">
        <is>
          <t>51 (Không)</t>
        </is>
      </c>
      <c r="F17" s="3" t="inlineStr">
        <is>
          <t>---</t>
        </is>
      </c>
      <c r="G17" s="7" t="inlineStr">
        <is>
          <t>00, 14 (TRƯỢT ❌)</t>
        </is>
      </c>
      <c r="H17" s="6" t="inlineStr">
        <is>
          <t>TRÚNG N1 🎯</t>
        </is>
      </c>
      <c r="I17" s="3" t="inlineStr">
        <is>
          <t>00, 03, 05, 08, 12, 14, 17, 19, 21, 23, 26, 28, 30, 32, 35, 37, 41, 44, 46, 49, 50, 53, 55, 58, 62, 64, 67, 69, 71, 73, 76, 78, 80, 82, 85, 87, 91, 94, 96, 99 (40 số)</t>
        </is>
      </c>
      <c r="J17" s="3" t="inlineStr">
        <is>
          <t>50, 53, 55, 58, 62, 64, 67, 69, 71, 73, 76, 78, 80, 82, 85, 87, 91, 94, 96, 99 (20 số)</t>
        </is>
      </c>
      <c r="K17" s="3" t="inlineStr">
        <is>
          <t>50, 53, 55, 58, 62, 64, 67, 69, 71, 73, 76, 78, 80, 82, 85, 87, 91, 94, 96, 99 (20 số)</t>
        </is>
      </c>
    </row>
    <row r="18">
      <c r="A18" s="2" t="n">
        <v>16</v>
      </c>
      <c r="B18" s="2" t="inlineStr">
        <is>
          <t>Thứ sáu ngày 16-01-2026</t>
        </is>
      </c>
      <c r="C18" s="3" t="inlineStr">
        <is>
          <t>24 (Trúng)</t>
        </is>
      </c>
      <c r="D18" s="3" t="inlineStr">
        <is>
          <t>51 (Trúng)</t>
        </is>
      </c>
      <c r="E18" s="3" t="inlineStr">
        <is>
          <t>86 (Không)</t>
        </is>
      </c>
      <c r="F18" s="3" t="inlineStr">
        <is>
          <t>---</t>
        </is>
      </c>
      <c r="G18" s="7" t="inlineStr">
        <is>
          <t>33, 79 (TRƯỢT ❌)</t>
        </is>
      </c>
      <c r="H18" s="6" t="inlineStr">
        <is>
          <t>TRÚNG N1 🎯</t>
        </is>
      </c>
      <c r="I18" s="3" t="inlineStr">
        <is>
          <t>01, 03, 06, 08, 10, 12, 15, 17, 21, 24, 26, 29, 30, 33, 35, 38, 42, 44, 47, 49, 51, 53, 56, 58, 60, 62, 65, 67, 71, 74, 76, 79, 80, 83, 85, 88, 92, 94, 97, 99 (40 số)</t>
        </is>
      </c>
      <c r="J18" s="3" t="inlineStr">
        <is>
          <t>51, 53, 56, 58, 60, 62, 65, 67, 71, 74, 76, 79, 80, 83, 85, 88, 92, 94, 97, 99 (20 số)</t>
        </is>
      </c>
      <c r="K18" s="3" t="inlineStr">
        <is>
          <t>51, 53, 56, 58, 60, 62, 65, 67, 71, 74, 76, 79, 80, 83, 85, 88, 92, 94, 97, 99 (20 số)</t>
        </is>
      </c>
    </row>
    <row r="19">
      <c r="A19" s="2" t="n">
        <v>17</v>
      </c>
      <c r="B19" s="2" t="inlineStr">
        <is>
          <t>Thứ bảy ngày 17-01-2026</t>
        </is>
      </c>
      <c r="C19" s="3" t="inlineStr">
        <is>
          <t>51 (Trúng)</t>
        </is>
      </c>
      <c r="D19" s="3" t="inlineStr">
        <is>
          <t>86 (Không)</t>
        </is>
      </c>
      <c r="E19" s="3" t="inlineStr">
        <is>
          <t>78 (Không)</t>
        </is>
      </c>
      <c r="F19" s="3" t="inlineStr">
        <is>
          <t>---</t>
        </is>
      </c>
      <c r="G19" s="7" t="inlineStr">
        <is>
          <t>24, 43 (TRƯỢT ❌)</t>
        </is>
      </c>
      <c r="H19" s="6" t="inlineStr">
        <is>
          <t>TRÚNG N1 🎯</t>
        </is>
      </c>
      <c r="I1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9" s="3" t="inlineStr">
        <is>
          <t>01, 02, 04, 07, 09, 10, 11, 13, 16, 18, 20, 22, 24, 25, 27, 29, 31, 33, 34, 36, 38, 39, 40, 42, 43, 45, 47, 48 (28 số)</t>
        </is>
      </c>
      <c r="K19" s="3" t="inlineStr">
        <is>
          <t>01, 02, 04, 07, 09, 10, 11, 13, 16, 18, 20, 22, 24, 25, 27, 29, 31, 33, 34, 36, 38, 39, 40, 42, 43, 45, 47, 48 (28 số)</t>
        </is>
      </c>
    </row>
    <row r="20">
      <c r="A20" s="2" t="n">
        <v>18</v>
      </c>
      <c r="B20" s="2" t="inlineStr">
        <is>
          <t>Chủ nhật ngày 18-01-2026</t>
        </is>
      </c>
      <c r="C20" s="3" t="inlineStr">
        <is>
          <t>86 (Không)</t>
        </is>
      </c>
      <c r="D20" s="3" t="inlineStr">
        <is>
          <t>78 (Không)</t>
        </is>
      </c>
      <c r="E20" s="3" t="inlineStr">
        <is>
          <t>86 (Không)</t>
        </is>
      </c>
      <c r="F20" s="3" t="inlineStr">
        <is>
          <t>---</t>
        </is>
      </c>
      <c r="G20" s="7" t="inlineStr">
        <is>
          <t>16, 25 (TRƯỢT ❌)</t>
        </is>
      </c>
      <c r="H20" s="7" t="inlineStr">
        <is>
          <t>TRƯỢT KHUNG ❌</t>
        </is>
      </c>
      <c r="I20" s="3" t="inlineStr">
        <is>
          <t>02, 03, 07, 08, 11, 12, 16, 17, 20, 21, 25, 26, 30, 34, 35, 39, 43, 44, 48, 49, 52, 53, 57, 58, 61, 62, 66, 67, 70, 71, 75, 76, 80, 84, 85, 89, 93, 94, 98, 99 (40 số)</t>
        </is>
      </c>
      <c r="J20" s="3" t="inlineStr">
        <is>
          <t>02, 03, 07, 08, 11, 12, 16, 17, 20, 21, 25, 26, 30, 34, 35, 39, 43, 44, 48, 49 (20 số)</t>
        </is>
      </c>
      <c r="K20" s="3" t="inlineStr">
        <is>
          <t>02, 03, 07, 08, 11, 12, 16, 17, 20, 21, 25, 26, 30, 34, 35, 39, 43, 44, 48, 49 (20 số)</t>
        </is>
      </c>
    </row>
    <row r="21">
      <c r="A21" s="2" t="n">
        <v>19</v>
      </c>
      <c r="B21" s="2" t="inlineStr">
        <is>
          <t>Thứ hai ngày 19-01-2026</t>
        </is>
      </c>
      <c r="C21" s="3" t="inlineStr">
        <is>
          <t>78 (Trúng)</t>
        </is>
      </c>
      <c r="D21" s="3" t="inlineStr">
        <is>
          <t>86 (Không)</t>
        </is>
      </c>
      <c r="E21" s="3" t="inlineStr">
        <is>
          <t>63 (Không)</t>
        </is>
      </c>
      <c r="F21" s="3" t="inlineStr">
        <is>
          <t>---</t>
        </is>
      </c>
      <c r="G21" s="7" t="inlineStr">
        <is>
          <t>23, 24 (TRƯỢT ❌)</t>
        </is>
      </c>
      <c r="H21" s="6" t="inlineStr">
        <is>
          <t>TRÚNG N1 🎯</t>
        </is>
      </c>
      <c r="I21" s="3" t="inlineStr">
        <is>
          <t>00, 01, 05, 06, 10, 14, 15, 19, 23, 24, 28, 29, 32, 33, 37, 38, 41, 42, 46, 47, 50, 51, 55, 56, 60, 64, 65, 69, 73, 74, 78, 79, 82, 83, 87, 88, 91, 92, 96, 97 (40 số)</t>
        </is>
      </c>
      <c r="J21" s="3" t="inlineStr">
        <is>
          <t>00, 01, 05, 06, 10, 14, 15, 19, 23, 24, 28, 29, 32, 33, 37, 38, 41, 42, 46, 47 (20 số)</t>
        </is>
      </c>
      <c r="K21" s="3" t="inlineStr">
        <is>
          <t>00, 01, 05, 06, 10, 14, 15, 19, 23, 24, 28, 29, 32, 33, 37, 38, 41, 42, 46, 47 (20 số)</t>
        </is>
      </c>
    </row>
    <row r="22">
      <c r="A22" s="2" t="n">
        <v>20</v>
      </c>
      <c r="B22" s="2" t="inlineStr">
        <is>
          <t>Thứ ba ngày 20-01-2026</t>
        </is>
      </c>
      <c r="C22" s="3" t="inlineStr">
        <is>
          <t>86 (Trúng)</t>
        </is>
      </c>
      <c r="D22" s="3" t="inlineStr">
        <is>
          <t>63 (Không)</t>
        </is>
      </c>
      <c r="E22" s="3" t="inlineStr">
        <is>
          <t>22 (Trúng)</t>
        </is>
      </c>
      <c r="F22" s="3" t="inlineStr">
        <is>
          <t>---</t>
        </is>
      </c>
      <c r="G22" s="7" t="inlineStr">
        <is>
          <t>09, 12 (TRƯỢT ❌)</t>
        </is>
      </c>
      <c r="H22" s="6" t="inlineStr">
        <is>
          <t>TRÚNG N1 🎯</t>
        </is>
      </c>
      <c r="I2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2" s="3" t="inlineStr">
        <is>
          <t>03, 04, 08, 09, 12, 13, 14, 17, 18, 19, 21, 22, 23, 26, 27, 28, 30, 31, 32, 35, 36, 37, 40, 41, 44, 45, 46, 49 (28 số)</t>
        </is>
      </c>
      <c r="K22" s="3" t="inlineStr">
        <is>
          <t>03, 04, 08, 09, 12, 13, 14, 17, 18, 19, 21, 22, 23, 26, 27, 28, 30, 31, 32, 35, 36, 37, 40, 41, 44, 45, 46, 49 (28 số)</t>
        </is>
      </c>
    </row>
    <row r="23">
      <c r="A23" s="2" t="n">
        <v>21</v>
      </c>
      <c r="B23" s="2" t="inlineStr">
        <is>
          <t>Thứ tư ngày 21-01-2026</t>
        </is>
      </c>
      <c r="C23" s="3" t="inlineStr">
        <is>
          <t>63 (Không)</t>
        </is>
      </c>
      <c r="D23" s="3" t="inlineStr">
        <is>
          <t>22 (Không)</t>
        </is>
      </c>
      <c r="E23" s="3" t="inlineStr">
        <is>
          <t>62 (Không)</t>
        </is>
      </c>
      <c r="F23" s="3" t="inlineStr">
        <is>
          <t>---</t>
        </is>
      </c>
      <c r="G23" s="7" t="inlineStr">
        <is>
          <t>26, 32 (TRƯỢT ❌)</t>
        </is>
      </c>
      <c r="H23" s="7" t="inlineStr">
        <is>
          <t>TRƯỢT KHUNG ❌</t>
        </is>
      </c>
      <c r="I2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23" s="3" t="inlineStr">
        <is>
          <t>00, 01, 03, 08, 10, 12, 14, 15, 17, 19, 21, 23, 24, 26, 28, 29, 30, 32, 33, 35, 37, 38, 41, 42, 44, 46, 47, 49 (28 số)</t>
        </is>
      </c>
      <c r="K23" s="3" t="inlineStr">
        <is>
          <t>00, 01, 03, 08, 10, 12, 14, 15, 17, 19, 21, 23, 24, 26, 28, 29, 30, 32, 33, 35, 37, 38, 41, 42, 44, 46, 47, 49 (28 số)</t>
        </is>
      </c>
    </row>
    <row r="24">
      <c r="A24" s="2" t="n">
        <v>22</v>
      </c>
      <c r="B24" s="2" t="inlineStr">
        <is>
          <t>Thứ năm ngày 22-01-2026</t>
        </is>
      </c>
      <c r="C24" s="3" t="inlineStr">
        <is>
          <t>22 (Không)</t>
        </is>
      </c>
      <c r="D24" s="3" t="inlineStr">
        <is>
          <t>62 (Trúng)</t>
        </is>
      </c>
      <c r="E24" s="3" t="inlineStr">
        <is>
          <t>30 (Không)</t>
        </is>
      </c>
      <c r="F24" s="3" t="inlineStr">
        <is>
          <t>---</t>
        </is>
      </c>
      <c r="G24" s="7" t="inlineStr">
        <is>
          <t>39, 43 (TRƯỢT ❌)</t>
        </is>
      </c>
      <c r="H24" s="6" t="inlineStr">
        <is>
          <t>TRÚNG N2 (Siêu Lọc 🎯)</t>
        </is>
      </c>
      <c r="I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4" s="3" t="inlineStr">
        <is>
          <t>50, 52, 53, 57, 58, 61, 62, 64, 66, 67, 69, 70, 71, 73, 75, 76, 78, 80, 84, 85, 87, 89, 91, 93, 94, 96, 98, 99 (28 số)</t>
        </is>
      </c>
      <c r="K24" s="3" t="inlineStr">
        <is>
          <t>50, 52, 53, 57, 58, 61, 62, 64, 66, 67, 69, 70, 71, 73, 75, 76, 78, 80, 84, 85, 87, 89, 91, 93, 94, 96, 98, 99 (28 số)</t>
        </is>
      </c>
    </row>
    <row r="25">
      <c r="A25" s="2" t="n">
        <v>23</v>
      </c>
      <c r="B25" s="2" t="inlineStr">
        <is>
          <t>Thứ sáu ngày 23-01-2026</t>
        </is>
      </c>
      <c r="C25" s="3" t="inlineStr">
        <is>
          <t>62 (Không)</t>
        </is>
      </c>
      <c r="D25" s="3" t="inlineStr">
        <is>
          <t>30 (Không)</t>
        </is>
      </c>
      <c r="E25" s="3" t="inlineStr">
        <is>
          <t>74 (Không)</t>
        </is>
      </c>
      <c r="F25" s="3" t="inlineStr">
        <is>
          <t>---</t>
        </is>
      </c>
      <c r="G25" s="7" t="inlineStr">
        <is>
          <t>19, 22 (TRƯỢT ❌)</t>
        </is>
      </c>
      <c r="H25" s="7" t="inlineStr">
        <is>
          <t>TRƯỢT KHUNG ❌</t>
        </is>
      </c>
      <c r="I25" s="3" t="inlineStr">
        <is>
          <t>00, 04, 05, 09, 13, 14, 18, 19, 22, 23, 27, 28, 31, 32, 36, 37, 40, 41, 45, 46, 50, 54, 55, 59, 63, 64, 68, 69, 72, 73, 77, 78, 81, 82, 86, 87, 90, 91, 95, 96 (40 số)</t>
        </is>
      </c>
      <c r="J25" s="3" t="inlineStr">
        <is>
          <t>00, 04, 05, 09, 13, 14, 18, 19, 22, 23, 27, 28, 31, 32, 36, 37, 40, 41, 45, 46 (20 số)</t>
        </is>
      </c>
      <c r="K25" s="3" t="inlineStr">
        <is>
          <t>00, 04, 05, 09, 13, 14, 18, 19, 22, 23, 27, 28, 31, 32, 36, 37, 40, 41, 45, 46 (20 số)</t>
        </is>
      </c>
    </row>
    <row r="26">
      <c r="A26" s="2" t="n">
        <v>24</v>
      </c>
      <c r="B26" s="2" t="inlineStr">
        <is>
          <t>Thứ bảy ngày 24-01-2026</t>
        </is>
      </c>
      <c r="C26" s="3" t="inlineStr">
        <is>
          <t>30 (Không)</t>
        </is>
      </c>
      <c r="D26" s="3" t="inlineStr">
        <is>
          <t>74 (Trúng)</t>
        </is>
      </c>
      <c r="E26" s="3" t="inlineStr">
        <is>
          <t>80 (Không)</t>
        </is>
      </c>
      <c r="F26" s="3" t="inlineStr">
        <is>
          <t>---</t>
        </is>
      </c>
      <c r="G26" s="7" t="inlineStr">
        <is>
          <t>34, 51 (TRƯỢT ❌)</t>
        </is>
      </c>
      <c r="H26" s="6" t="inlineStr">
        <is>
          <t>TRÚNG N2 (Siêu Lọc 🎯)</t>
        </is>
      </c>
      <c r="I26" s="3" t="inlineStr">
        <is>
          <t>01, 02, 06, 07, 10, 11, 15, 16, 20, 24, 25, 29, 33, 34, 38, 39, 42, 43, 47, 48, 51, 52, 56, 57, 60, 61, 65, 66, 70, 74, 75, 79, 83, 84, 88, 89, 92, 93, 97, 98 (40 số)</t>
        </is>
      </c>
      <c r="J26" s="3" t="inlineStr">
        <is>
          <t>51, 52, 56, 57, 60, 61, 65, 66, 70, 74, 75, 79, 83, 84, 88, 89, 92, 93, 97, 98 (20 số)</t>
        </is>
      </c>
      <c r="K26" s="3" t="inlineStr">
        <is>
          <t>51, 52, 56, 57, 60, 61, 65, 66, 70, 74, 75, 79, 83, 84, 88, 89, 92, 93, 97, 98 (20 số)</t>
        </is>
      </c>
    </row>
    <row r="27">
      <c r="A27" s="2" t="n">
        <v>25</v>
      </c>
      <c r="B27" s="2" t="inlineStr">
        <is>
          <t>Chủ nhật ngày 25-01-2026</t>
        </is>
      </c>
      <c r="C27" s="3" t="inlineStr">
        <is>
          <t>74 (Trúng)</t>
        </is>
      </c>
      <c r="D27" s="3" t="inlineStr">
        <is>
          <t>80 (Không)</t>
        </is>
      </c>
      <c r="E27" s="3" t="inlineStr">
        <is>
          <t>21 (Không)</t>
        </is>
      </c>
      <c r="F27" s="3" t="inlineStr">
        <is>
          <t>---</t>
        </is>
      </c>
      <c r="G27" s="7" t="inlineStr">
        <is>
          <t>33, 63 (TRƯỢT ❌)</t>
        </is>
      </c>
      <c r="H27" s="6" t="inlineStr">
        <is>
          <t>TRÚNG N1 🎯</t>
        </is>
      </c>
      <c r="I27" s="3" t="inlineStr">
        <is>
          <t>01, 04, 06, 09, 10, 13, 15, 18, 22, 24, 27, 29, 31, 33, 36, 38, 40, 42, 45, 47, 51, 54, 56, 59, 60, 63, 65, 68, 72, 74, 77, 79, 81, 83, 86, 88, 90, 92, 95, 97 (40 số)</t>
        </is>
      </c>
      <c r="J27" s="3" t="inlineStr">
        <is>
          <t>01, 04, 06, 09, 10, 13, 15, 18, 22, 24, 27, 29, 31, 33, 36, 38, 40, 42, 45, 47 (20 số)</t>
        </is>
      </c>
      <c r="K27" s="3" t="inlineStr">
        <is>
          <t>01, 04, 06, 09, 10, 13, 15, 18, 22, 24, 27, 29, 31, 33, 36, 38, 40, 42, 45, 47 (20 số)</t>
        </is>
      </c>
    </row>
    <row r="28">
      <c r="A28" s="2" t="n">
        <v>26</v>
      </c>
      <c r="B28" s="2" t="inlineStr">
        <is>
          <t>Thứ hai ngày 26-01-2026</t>
        </is>
      </c>
      <c r="C28" s="3" t="inlineStr">
        <is>
          <t>80 (Trúng)</t>
        </is>
      </c>
      <c r="D28" s="3" t="inlineStr">
        <is>
          <t>21 (Trúng)</t>
        </is>
      </c>
      <c r="E28" s="3" t="inlineStr">
        <is>
          <t>14 (Không)</t>
        </is>
      </c>
      <c r="F28" s="3" t="inlineStr">
        <is>
          <t>---</t>
        </is>
      </c>
      <c r="G28" s="7" t="inlineStr">
        <is>
          <t>56, 67 (TRƯỢT ❌)</t>
        </is>
      </c>
      <c r="H28" s="6" t="inlineStr">
        <is>
          <t>TRÚNG N1 🎯</t>
        </is>
      </c>
      <c r="I28" s="3" t="inlineStr">
        <is>
          <t>01, 03, 06, 08, 10, 12, 15, 17, 21, 24, 26, 29, 30, 33, 35, 38, 42, 44, 47, 49, 51, 53, 56, 58, 60, 62, 65, 67, 71, 74, 76, 79, 80, 83, 85, 88, 92, 94, 97, 99 (40 số)</t>
        </is>
      </c>
      <c r="J28" s="3" t="inlineStr">
        <is>
          <t>01, 03, 06, 08, 10, 12, 15, 17, 21, 24, 26, 29, 30, 33, 35, 38, 42, 44, 47, 49 (20 số)</t>
        </is>
      </c>
      <c r="K28" s="3" t="inlineStr">
        <is>
          <t>01, 03, 06, 08, 10, 12, 15, 17, 21, 24, 26, 29, 30, 33, 35, 38, 42, 44, 47, 49 (20 số)</t>
        </is>
      </c>
    </row>
    <row r="29">
      <c r="A29" s="2" t="n">
        <v>27</v>
      </c>
      <c r="B29" s="2" t="inlineStr">
        <is>
          <t>Thứ ba ngày 27-01-2026</t>
        </is>
      </c>
      <c r="C29" s="3" t="inlineStr">
        <is>
          <t>21 (Không)</t>
        </is>
      </c>
      <c r="D29" s="3" t="inlineStr">
        <is>
          <t>14 (Không)</t>
        </is>
      </c>
      <c r="E29" s="3" t="inlineStr">
        <is>
          <t>45 (Không)</t>
        </is>
      </c>
      <c r="F29" s="3" t="inlineStr">
        <is>
          <t>---</t>
        </is>
      </c>
      <c r="G29" s="7" t="inlineStr">
        <is>
          <t>16, 20 (TRƯỢT ❌)</t>
        </is>
      </c>
      <c r="H29" s="7" t="inlineStr">
        <is>
          <t>TRƯỢT KHUNG ❌</t>
        </is>
      </c>
      <c r="I29" s="3" t="inlineStr">
        <is>
          <t>02, 04, 07, 09, 11, 13, 16, 18, 20, 22, 25, 27, 31, 34, 36, 39, 40, 43, 45, 48, 52, 54, 57, 59, 61, 63, 66, 68, 70, 72, 75, 77, 81, 84, 86, 89, 90, 93, 95, 98 (40 số)</t>
        </is>
      </c>
      <c r="J29" s="3" t="inlineStr">
        <is>
          <t>52, 54, 57, 59, 61, 63, 66, 68, 70, 72, 75, 77, 81, 84, 86, 89, 90, 93, 95, 98 (20 số)</t>
        </is>
      </c>
      <c r="K29" s="3" t="inlineStr">
        <is>
          <t>52, 54, 57, 59, 61, 63, 66, 68, 70, 72, 75, 77, 81, 84, 86, 89, 90, 93, 95, 98 (20 số)</t>
        </is>
      </c>
    </row>
    <row r="30">
      <c r="A30" s="2" t="n">
        <v>28</v>
      </c>
      <c r="B30" s="2" t="inlineStr">
        <is>
          <t>Thứ tư ngày 28-01-2026</t>
        </is>
      </c>
      <c r="C30" s="3" t="inlineStr">
        <is>
          <t>14 (Không)</t>
        </is>
      </c>
      <c r="D30" s="3" t="inlineStr">
        <is>
          <t>45 (Không)</t>
        </is>
      </c>
      <c r="E30" s="3" t="inlineStr">
        <is>
          <t>54 (Không)</t>
        </is>
      </c>
      <c r="F30" s="3" t="inlineStr">
        <is>
          <t>---</t>
        </is>
      </c>
      <c r="G30" s="7" t="inlineStr">
        <is>
          <t>21, 47 (TRƯỢT ❌)</t>
        </is>
      </c>
      <c r="H30" s="7" t="inlineStr">
        <is>
          <t>TRƯỢT KHUNG ❌</t>
        </is>
      </c>
      <c r="I30" s="3" t="inlineStr">
        <is>
          <t>01, 03, 06, 08, 10, 12, 15, 17, 21, 24, 26, 29, 30, 33, 35, 38, 42, 44, 47, 49, 51, 53, 56, 58, 60, 62, 65, 67, 71, 74, 76, 79, 80, 83, 85, 88, 92, 94, 97, 99 (40 số)</t>
        </is>
      </c>
      <c r="J30" s="3" t="inlineStr">
        <is>
          <t>51, 53, 56, 58, 60, 62, 65, 67, 71, 74, 76, 79, 80, 83, 85, 88, 92, 94, 97, 99 (20 số)</t>
        </is>
      </c>
      <c r="K30" s="3" t="inlineStr">
        <is>
          <t>51, 53, 56, 58, 60, 62, 65, 67, 71, 74, 76, 79, 80, 83, 85, 88, 92, 94, 97, 99 (20 số)</t>
        </is>
      </c>
    </row>
    <row r="31">
      <c r="A31" s="2" t="n">
        <v>29</v>
      </c>
      <c r="B31" s="2" t="inlineStr">
        <is>
          <t>Thứ năm ngày 29-01-2026</t>
        </is>
      </c>
      <c r="C31" s="3" t="inlineStr">
        <is>
          <t>45 (Trúng)</t>
        </is>
      </c>
      <c r="D31" s="3" t="inlineStr">
        <is>
          <t>54 (Trúng)</t>
        </is>
      </c>
      <c r="E31" s="3" t="inlineStr">
        <is>
          <t>77 (Trúng)</t>
        </is>
      </c>
      <c r="F31" s="3" t="inlineStr">
        <is>
          <t>---</t>
        </is>
      </c>
      <c r="G31" s="7" t="inlineStr">
        <is>
          <t>14, 32 (TRƯỢT ❌)</t>
        </is>
      </c>
      <c r="H31" s="6" t="inlineStr">
        <is>
          <t>TRÚNG N1 🎯</t>
        </is>
      </c>
      <c r="I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31" s="3" t="inlineStr">
        <is>
          <t>50, 51, 54, 56, 59, 60, 63, 64, 65, 68, 69, 72, 73, 74, 77, 78, 79, 81, 82, 83, 86, 87, 88, 90, 91, 95, 96, 97 (28 số)</t>
        </is>
      </c>
      <c r="K31" s="3" t="inlineStr">
        <is>
          <t>50, 51, 54, 56, 59, 60, 63, 64, 65, 68, 69, 72, 73, 74, 77, 78, 79, 81, 82, 83, 86, 87, 88, 90, 91, 95, 96, 97 (28 số)</t>
        </is>
      </c>
    </row>
    <row r="32">
      <c r="A32" s="2" t="n">
        <v>30</v>
      </c>
      <c r="B32" s="2" t="inlineStr">
        <is>
          <t>Thứ sáu ngày 30-01-2026</t>
        </is>
      </c>
      <c r="C32" s="3" t="inlineStr">
        <is>
          <t>54 (Không)</t>
        </is>
      </c>
      <c r="D32" s="3" t="inlineStr">
        <is>
          <t>77 (Không)</t>
        </is>
      </c>
      <c r="E32" s="3" t="inlineStr">
        <is>
          <t>61 (Không)</t>
        </is>
      </c>
      <c r="F32" s="3" t="inlineStr">
        <is>
          <t>---</t>
        </is>
      </c>
      <c r="G32" s="7" t="inlineStr">
        <is>
          <t>03, 82 (TRƯỢT ❌)</t>
        </is>
      </c>
      <c r="H32" s="7" t="inlineStr">
        <is>
          <t>TRƯỢT KHUNG ❌</t>
        </is>
      </c>
      <c r="I32" s="3" t="inlineStr">
        <is>
          <t>00, 03, 05, 08, 12, 14, 17, 19, 21, 23, 26, 28, 30, 32, 35, 37, 41, 44, 46, 49, 50, 53, 55, 58, 62, 64, 67, 69, 71, 73, 76, 78, 80, 82, 85, 87, 91, 94, 96, 99 (40 số)</t>
        </is>
      </c>
      <c r="J32" s="3" t="inlineStr">
        <is>
          <t>00, 03, 05, 08, 12, 14, 17, 19, 21, 23, 26, 28, 30, 32, 35, 37, 41, 44, 46, 49 (20 số)</t>
        </is>
      </c>
      <c r="K32" s="3" t="inlineStr">
        <is>
          <t>00, 03, 05, 08, 12, 14, 17, 19, 21, 23, 26, 28, 30, 32, 35, 37, 41, 44, 46, 49 (20 số)</t>
        </is>
      </c>
    </row>
    <row r="33">
      <c r="A33" s="2" t="n">
        <v>31</v>
      </c>
      <c r="B33" s="2" t="inlineStr">
        <is>
          <t>Thứ bảy ngày 31-01-2026</t>
        </is>
      </c>
      <c r="C33" s="3" t="inlineStr">
        <is>
          <t>77 (Trúng)</t>
        </is>
      </c>
      <c r="D33" s="3" t="inlineStr">
        <is>
          <t>61 (Không)</t>
        </is>
      </c>
      <c r="E33" s="3" t="inlineStr">
        <is>
          <t>48 (Không)</t>
        </is>
      </c>
      <c r="F33" s="3" t="inlineStr">
        <is>
          <t>---</t>
        </is>
      </c>
      <c r="G33" s="7" t="inlineStr">
        <is>
          <t>47, 51 (TRƯỢT ❌)</t>
        </is>
      </c>
      <c r="H33" s="6" t="inlineStr">
        <is>
          <t>TRÚNG N1 🎯</t>
        </is>
      </c>
      <c r="I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33" s="3" t="inlineStr">
        <is>
          <t>01, 03, 04, 08, 09, 10, 12, 13, 17, 18, 21, 22, 24, 26, 27, 29, 30, 31, 33, 35, 36, 38, 40, 42, 44, 45, 47, 49 (28 số)</t>
        </is>
      </c>
      <c r="K33" s="3" t="inlineStr">
        <is>
          <t>01, 03, 04, 08, 09, 10, 12, 13, 17, 18, 21, 22, 24, 26, 27, 29, 30, 31, 33, 35, 36, 38, 40, 42, 44, 45, 47, 49 (28 số)</t>
        </is>
      </c>
    </row>
    <row r="34">
      <c r="A34" s="2" t="n">
        <v>32</v>
      </c>
      <c r="B34" s="2" t="inlineStr">
        <is>
          <t>Chủ nhật ngày 01-02-2026</t>
        </is>
      </c>
      <c r="C34" s="3" t="inlineStr">
        <is>
          <t>61 (Không)</t>
        </is>
      </c>
      <c r="D34" s="3" t="inlineStr">
        <is>
          <t>48 (Không)</t>
        </is>
      </c>
      <c r="E34" s="3" t="inlineStr">
        <is>
          <t>17 (Trúng)</t>
        </is>
      </c>
      <c r="F34" s="3" t="inlineStr">
        <is>
          <t>---</t>
        </is>
      </c>
      <c r="G34" s="7" t="inlineStr">
        <is>
          <t>03, 47 (TRƯỢT ❌)</t>
        </is>
      </c>
      <c r="H34" s="6" t="inlineStr">
        <is>
          <t>TRÚNG N3 (Siêu Lọc 🎯)</t>
        </is>
      </c>
      <c r="I34" s="3" t="inlineStr">
        <is>
          <t>01, 03, 06, 08, 10, 12, 15, 17, 21, 24, 26, 29, 30, 33, 35, 38, 42, 44, 47, 49, 51, 53, 56, 58, 60, 62, 65, 67, 71, 74, 76, 79, 80, 83, 85, 88, 92, 94, 97, 99 (40 số)</t>
        </is>
      </c>
      <c r="J34" s="3" t="inlineStr">
        <is>
          <t>01, 03, 06, 08, 10, 12, 15, 17, 21, 24, 26, 29, 30, 33, 35, 38, 42, 44, 47, 49 (20 số)</t>
        </is>
      </c>
      <c r="K34" s="3" t="inlineStr">
        <is>
          <t>01, 03, 06, 08, 10, 12, 15, 17, 21, 24, 26, 29, 30, 33, 35, 38, 42, 44, 47, 49 (20 số)</t>
        </is>
      </c>
    </row>
    <row r="35">
      <c r="A35" s="2" t="n">
        <v>33</v>
      </c>
      <c r="B35" s="2" t="inlineStr">
        <is>
          <t>Thứ hai ngày 02-02-2026</t>
        </is>
      </c>
      <c r="C35" s="3" t="inlineStr">
        <is>
          <t>48 (Trúng)</t>
        </is>
      </c>
      <c r="D35" s="3" t="inlineStr">
        <is>
          <t>17 (Không)</t>
        </is>
      </c>
      <c r="E35" s="3" t="inlineStr">
        <is>
          <t>68 (Không)</t>
        </is>
      </c>
      <c r="F35" s="3" t="inlineStr">
        <is>
          <t>---</t>
        </is>
      </c>
      <c r="G35" s="7" t="inlineStr">
        <is>
          <t>06, 07 (TRƯỢT ❌)</t>
        </is>
      </c>
      <c r="H35" s="6" t="inlineStr">
        <is>
          <t>TRÚNG N1 🎯</t>
        </is>
      </c>
      <c r="I3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35" s="3" t="inlineStr">
        <is>
          <t>50, 51, 52, 56, 57, 60, 61, 64, 65, 66, 69, 70, 73, 74, 75, 78, 79, 82, 83, 84, 87, 88, 89, 91, 93, 96, 97, 98 (28 số)</t>
        </is>
      </c>
      <c r="K35" s="3" t="inlineStr">
        <is>
          <t>50, 51, 52, 56, 57, 60, 61, 64, 65, 66, 69, 70, 73, 74, 75, 78, 79, 82, 83, 84, 87, 88, 89, 91, 93, 96, 97, 98 (28 số)</t>
        </is>
      </c>
    </row>
    <row r="36">
      <c r="A36" s="2" t="n">
        <v>34</v>
      </c>
      <c r="B36" s="2" t="inlineStr">
        <is>
          <t>Thứ ba ngày 03-02-2026</t>
        </is>
      </c>
      <c r="C36" s="3" t="inlineStr">
        <is>
          <t>17 (Trúng)</t>
        </is>
      </c>
      <c r="D36" s="3" t="inlineStr">
        <is>
          <t>68 (Không)</t>
        </is>
      </c>
      <c r="E36" s="3" t="inlineStr">
        <is>
          <t>33 (Không)</t>
        </is>
      </c>
      <c r="F36" s="3" t="inlineStr">
        <is>
          <t>---</t>
        </is>
      </c>
      <c r="G36" s="7" t="inlineStr">
        <is>
          <t>41, 48 (TRƯỢT ❌)</t>
        </is>
      </c>
      <c r="H36" s="6" t="inlineStr">
        <is>
          <t>TRÚNG N1 🎯</t>
        </is>
      </c>
      <c r="I3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36" s="3" t="inlineStr">
        <is>
          <t>50, 52, 53, 57, 58, 61, 62, 64, 66, 67, 69, 70, 71, 73, 75, 76, 78, 80, 84, 85, 87, 89, 91, 93, 94, 96, 98, 99 (28 số)</t>
        </is>
      </c>
      <c r="K36" s="3" t="inlineStr">
        <is>
          <t>50, 52, 53, 57, 58, 61, 62, 64, 66, 67, 69, 70, 71, 73, 75, 76, 78, 80, 84, 85, 87, 89, 91, 93, 94, 96, 98, 99 (28 số)</t>
        </is>
      </c>
    </row>
    <row r="37">
      <c r="A37" s="2" t="n">
        <v>35</v>
      </c>
      <c r="B37" s="2" t="inlineStr">
        <is>
          <t>Thứ tư ngày 04-02-2026</t>
        </is>
      </c>
      <c r="C37" s="3" t="inlineStr">
        <is>
          <t>68 (Không)</t>
        </is>
      </c>
      <c r="D37" s="3" t="inlineStr">
        <is>
          <t>33 (Trúng)</t>
        </is>
      </c>
      <c r="E37" s="3" t="inlineStr">
        <is>
          <t>85 (Không)</t>
        </is>
      </c>
      <c r="F37" s="3" t="inlineStr">
        <is>
          <t>---</t>
        </is>
      </c>
      <c r="G37" s="7" t="inlineStr">
        <is>
          <t>17, 30 (TRƯỢT ❌)</t>
        </is>
      </c>
      <c r="H37" s="6" t="inlineStr">
        <is>
          <t>TRÚNG N2 (Siêu Lọc 🎯)</t>
        </is>
      </c>
      <c r="I37" s="3" t="inlineStr">
        <is>
          <t>01, 03, 06, 08, 10, 12, 15, 17, 21, 24, 26, 29, 30, 33, 35, 38, 42, 44, 47, 49, 51, 53, 56, 58, 60, 62, 65, 67, 71, 74, 76, 79, 80, 83, 85, 88, 92, 94, 97, 99 (40 số)</t>
        </is>
      </c>
      <c r="J37" s="3" t="inlineStr">
        <is>
          <t>01, 03, 06, 08, 10, 12, 15, 17, 21, 24, 26, 29, 30, 33, 35, 38, 42, 44, 47, 49 (20 số)</t>
        </is>
      </c>
      <c r="K37" s="3" t="inlineStr">
        <is>
          <t>01, 03, 06, 08, 10, 12, 15, 17, 21, 24, 26, 29, 30, 33, 35, 38, 42, 44, 47, 49 (20 số)</t>
        </is>
      </c>
    </row>
    <row r="38">
      <c r="A38" s="2" t="n">
        <v>36</v>
      </c>
      <c r="B38" s="2" t="inlineStr">
        <is>
          <t>Thứ năm ngày 05-02-2026</t>
        </is>
      </c>
      <c r="C38" s="3" t="inlineStr">
        <is>
          <t>33 (Trúng)</t>
        </is>
      </c>
      <c r="D38" s="3" t="inlineStr">
        <is>
          <t>85 (Trúng)</t>
        </is>
      </c>
      <c r="E38" s="3" t="inlineStr">
        <is>
          <t>77 (Không)</t>
        </is>
      </c>
      <c r="F38" s="3" t="inlineStr">
        <is>
          <t>---</t>
        </is>
      </c>
      <c r="G38" s="6" t="inlineStr">
        <is>
          <t>33, 58 (TRÚNG 🎯)</t>
        </is>
      </c>
      <c r="H38" s="6" t="inlineStr">
        <is>
          <t>TRÚNG N1 🎯</t>
        </is>
      </c>
      <c r="I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38" s="3" t="inlineStr">
        <is>
          <t>50, 51, 53, 56, 58, 60, 62, 64, 65, 67, 69, 71, 73, 74, 76, 78, 79, 80, 82, 83, 85, 87, 88, 91, 94, 96, 97, 99 (28 số)</t>
        </is>
      </c>
      <c r="K38" s="3" t="inlineStr">
        <is>
          <t>50, 51, 53, 56, 58, 60, 62, 64, 65, 67, 69, 71, 73, 74, 76, 78, 79, 80, 82, 83, 85, 87, 88, 91, 94, 96, 97, 99 (28 số)</t>
        </is>
      </c>
    </row>
    <row r="39">
      <c r="A39" s="2" t="n">
        <v>37</v>
      </c>
      <c r="B39" s="2" t="inlineStr">
        <is>
          <t>Thứ sáu ngày 06-02-2026</t>
        </is>
      </c>
      <c r="C39" s="3" t="inlineStr">
        <is>
          <t>85 (Không)</t>
        </is>
      </c>
      <c r="D39" s="3" t="inlineStr">
        <is>
          <t>77 (Không)</t>
        </is>
      </c>
      <c r="E39" s="3" t="inlineStr">
        <is>
          <t>01 (Không)</t>
        </is>
      </c>
      <c r="F39" s="3" t="inlineStr">
        <is>
          <t>---</t>
        </is>
      </c>
      <c r="G39" s="7" t="inlineStr">
        <is>
          <t>05, 18 (TRƯỢT ❌)</t>
        </is>
      </c>
      <c r="H39" s="7" t="inlineStr">
        <is>
          <t>TRƯỢT KHUNG ❌</t>
        </is>
      </c>
      <c r="I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39" s="3" t="inlineStr">
        <is>
          <t>02, 04, 07, 09, 11, 13, 14, 16, 18, 19, 20, 22, 23, 25, 27, 28, 31, 32, 34, 36, 37, 39, 40, 41, 43, 45, 46, 48 (28 số)</t>
        </is>
      </c>
      <c r="K39" s="3" t="inlineStr">
        <is>
          <t>02, 04, 07, 09, 11, 13, 14, 16, 18, 19, 20, 22, 23, 25, 27, 28, 31, 32, 34, 36, 37, 39, 40, 41, 43, 45, 46, 48 (28 số)</t>
        </is>
      </c>
    </row>
    <row r="40">
      <c r="A40" s="2" t="n">
        <v>38</v>
      </c>
      <c r="B40" s="2" t="inlineStr">
        <is>
          <t>Thứ bảy ngày 07-02-2026</t>
        </is>
      </c>
      <c r="C40" s="3" t="inlineStr">
        <is>
          <t>77 (Trúng)</t>
        </is>
      </c>
      <c r="D40" s="3" t="inlineStr">
        <is>
          <t>01 (Không)</t>
        </is>
      </c>
      <c r="E40" s="3" t="inlineStr">
        <is>
          <t>90 (Không)</t>
        </is>
      </c>
      <c r="F40" s="3" t="inlineStr">
        <is>
          <t>---</t>
        </is>
      </c>
      <c r="G40" s="6" t="inlineStr">
        <is>
          <t>17, 77 (TRÚNG 🎯)</t>
        </is>
      </c>
      <c r="H40" s="6" t="inlineStr">
        <is>
          <t>TRÚNG N1 🎯</t>
        </is>
      </c>
      <c r="I40" s="3" t="inlineStr">
        <is>
          <t>03, 04, 08, 09, 12, 13, 17, 18, 21, 22, 26, 27, 30, 31, 35, 36, 40, 44, 45, 49, 53, 54, 58, 59, 62, 63, 67, 68, 71, 72, 76, 77, 80, 81, 85, 86, 90, 94, 95, 99 (40 số)</t>
        </is>
      </c>
      <c r="J40" s="3" t="inlineStr">
        <is>
          <t>03, 04, 08, 09, 12, 13, 17, 18, 21, 22, 26, 27, 30, 31, 35, 36, 40, 44, 45, 49 (20 số)</t>
        </is>
      </c>
      <c r="K40" s="3" t="inlineStr">
        <is>
          <t>03, 04, 08, 09, 12, 13, 17, 18, 21, 22, 26, 27, 30, 31, 35, 36, 40, 44, 45, 49 (20 số)</t>
        </is>
      </c>
    </row>
    <row r="41">
      <c r="A41" s="2" t="n">
        <v>39</v>
      </c>
      <c r="B41" s="2" t="inlineStr">
        <is>
          <t>Chủ nhật ngày 08-02-2026</t>
        </is>
      </c>
      <c r="C41" s="3" t="inlineStr">
        <is>
          <t>01 (Trúng)</t>
        </is>
      </c>
      <c r="D41" s="3" t="inlineStr">
        <is>
          <t>90 (Trúng)</t>
        </is>
      </c>
      <c r="E41" s="3" t="inlineStr">
        <is>
          <t>92 (Không)</t>
        </is>
      </c>
      <c r="F41" s="3" t="inlineStr">
        <is>
          <t>---</t>
        </is>
      </c>
      <c r="G41" s="7" t="inlineStr">
        <is>
          <t>04, 35 (TRƯỢT ❌)</t>
        </is>
      </c>
      <c r="H41" s="6" t="inlineStr">
        <is>
          <t>TRÚNG N1 🎯</t>
        </is>
      </c>
      <c r="I4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41" s="3" t="inlineStr">
        <is>
          <t>51, 53, 54, 56, 58, 59, 60, 62, 63, 67, 68, 71, 72, 74, 76, 77, 79, 80, 81, 83, 85, 86, 88, 90, 94, 95, 97, 99 (28 số)</t>
        </is>
      </c>
      <c r="K41" s="3" t="inlineStr">
        <is>
          <t>51, 53, 54, 58, 59, 60, 62, 63, 65, 67, 68, 71, 72, 74, 76, 77, 79, 80, 81, 83, 85, 86, 88, 90, 94, 95, 97, 99 (28 số)</t>
        </is>
      </c>
    </row>
    <row r="42">
      <c r="A42" s="2" t="n">
        <v>40</v>
      </c>
      <c r="B42" s="2" t="inlineStr">
        <is>
          <t>Thứ hai ngày 09-02-2026</t>
        </is>
      </c>
      <c r="C42" s="3" t="inlineStr">
        <is>
          <t>90 (Không)</t>
        </is>
      </c>
      <c r="D42" s="3" t="inlineStr">
        <is>
          <t>92 (Không)</t>
        </is>
      </c>
      <c r="E42" s="3" t="inlineStr">
        <is>
          <t>75 (Không)</t>
        </is>
      </c>
      <c r="F42" s="3" t="inlineStr">
        <is>
          <t>---</t>
        </is>
      </c>
      <c r="G42" s="7" t="inlineStr">
        <is>
          <t>14, 25 (TRƯỢT ❌)</t>
        </is>
      </c>
      <c r="H42" s="7" t="inlineStr">
        <is>
          <t>TRƯỢT KHUNG ❌</t>
        </is>
      </c>
      <c r="I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42" s="3" t="inlineStr">
        <is>
          <t>02, 03, 07, 08, 11, 12, 14, 16, 17, 19, 20, 21, 23, 25, 26, 28, 30, 32, 34, 35, 37, 39, 41, 43, 44, 46, 48, 49 (28 số)</t>
        </is>
      </c>
      <c r="K42" s="3" t="inlineStr">
        <is>
          <t>02, 03, 07, 08, 11, 12, 14, 16, 17, 19, 20, 21, 23, 25, 26, 28, 30, 32, 34, 35, 37, 39, 41, 43, 44, 46, 48, 49 (28 số)</t>
        </is>
      </c>
    </row>
    <row r="43">
      <c r="A43" s="2" t="n">
        <v>41</v>
      </c>
      <c r="B43" s="2" t="inlineStr">
        <is>
          <t>Thứ ba ngày 10-02-2026</t>
        </is>
      </c>
      <c r="C43" s="3" t="inlineStr">
        <is>
          <t>92 (Không)</t>
        </is>
      </c>
      <c r="D43" s="3" t="inlineStr">
        <is>
          <t>75 (Không)</t>
        </is>
      </c>
      <c r="E43" s="3" t="inlineStr">
        <is>
          <t>77 (Không)</t>
        </is>
      </c>
      <c r="F43" s="3" t="inlineStr">
        <is>
          <t>---</t>
        </is>
      </c>
      <c r="G43" s="7" t="inlineStr">
        <is>
          <t>14, 55 (TRƯỢT ❌)</t>
        </is>
      </c>
      <c r="H43" s="7" t="inlineStr">
        <is>
          <t>TRƯỢT KHUNG ❌</t>
        </is>
      </c>
      <c r="I43" s="3" t="inlineStr">
        <is>
          <t>00, 04, 05, 09, 13, 14, 18, 19, 22, 23, 27, 28, 31, 32, 36, 37, 40, 41, 45, 46, 50, 54, 55, 59, 63, 64, 68, 69, 72, 73, 77, 78, 81, 82, 86, 87, 90, 91, 95, 96 (40 số)</t>
        </is>
      </c>
      <c r="J43" s="3" t="inlineStr">
        <is>
          <t>00, 04, 05, 09, 13, 14, 18, 19, 22, 23, 27, 28, 31, 32, 36, 37, 40, 41, 45, 46 (20 số)</t>
        </is>
      </c>
      <c r="K43" s="3" t="inlineStr">
        <is>
          <t>00, 04, 05, 09, 13, 14, 18, 19, 22, 23, 27, 28, 31, 32, 36, 37, 40, 41, 45, 46 (20 số)</t>
        </is>
      </c>
    </row>
    <row r="44">
      <c r="A44" s="2" t="n">
        <v>42</v>
      </c>
      <c r="B44" s="2" t="inlineStr">
        <is>
          <t>Thứ tư ngày 11-02-2026</t>
        </is>
      </c>
      <c r="C44" s="3" t="inlineStr">
        <is>
          <t>75 (Trúng)</t>
        </is>
      </c>
      <c r="D44" s="3" t="inlineStr">
        <is>
          <t>77 (Không)</t>
        </is>
      </c>
      <c r="E44" s="3" t="inlineStr">
        <is>
          <t>30 (Không)</t>
        </is>
      </c>
      <c r="F44" s="3" t="inlineStr">
        <is>
          <t>---</t>
        </is>
      </c>
      <c r="G44" s="7" t="inlineStr">
        <is>
          <t>32, 47 (TRƯỢT ❌)</t>
        </is>
      </c>
      <c r="H44" s="6" t="inlineStr">
        <is>
          <t>TRÚNG N1 🎯</t>
        </is>
      </c>
      <c r="I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44" s="3" t="inlineStr">
        <is>
          <t>00, 01, 02, 07, 10, 11, 14, 15, 16, 19, 20, 23, 24, 25, 28, 29, 32, 33, 34, 37, 38, 39, 41, 42, 43, 46, 47, 48 (28 số)</t>
        </is>
      </c>
      <c r="K44" s="3" t="inlineStr">
        <is>
          <t>00, 01, 02, 07, 10, 11, 14, 15, 16, 19, 20, 23, 24, 25, 28, 29, 32, 33, 34, 37, 38, 39, 41, 42, 43, 46, 47, 48 (28 số)</t>
        </is>
      </c>
    </row>
    <row r="45">
      <c r="A45" s="2" t="n">
        <v>43</v>
      </c>
      <c r="B45" s="2" t="inlineStr">
        <is>
          <t>Thứ năm ngày 12-02-2026</t>
        </is>
      </c>
      <c r="C45" s="3" t="inlineStr">
        <is>
          <t>77 (Trúng)</t>
        </is>
      </c>
      <c r="D45" s="3" t="inlineStr">
        <is>
          <t>30 (Không)</t>
        </is>
      </c>
      <c r="E45" s="3" t="inlineStr">
        <is>
          <t>01 (Không)</t>
        </is>
      </c>
      <c r="F45" s="3" t="inlineStr">
        <is>
          <t>---</t>
        </is>
      </c>
      <c r="G45" s="7" t="inlineStr">
        <is>
          <t>16, 50 (TRƯỢT ❌)</t>
        </is>
      </c>
      <c r="H45" s="6" t="inlineStr">
        <is>
          <t>TRÚNG N1 🎯</t>
        </is>
      </c>
      <c r="I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45" s="3" t="inlineStr">
        <is>
          <t>02, 04, 07, 09, 11, 13, 14, 16, 18, 19, 20, 22, 23, 25, 27, 28, 31, 32, 34, 36, 37, 39, 40, 41, 43, 45, 46, 48 (28 số)</t>
        </is>
      </c>
      <c r="K45" s="3" t="inlineStr">
        <is>
          <t>02, 04, 07, 09, 11, 13, 14, 16, 18, 19, 20, 22, 23, 25, 27, 28, 31, 32, 34, 36, 37, 39, 40, 41, 43, 45, 46, 48 (28 số)</t>
        </is>
      </c>
    </row>
    <row r="46">
      <c r="A46" s="2" t="n">
        <v>44</v>
      </c>
      <c r="B46" s="2" t="inlineStr">
        <is>
          <t>Thứ sáu ngày 13-02-2026</t>
        </is>
      </c>
      <c r="C46" s="3" t="inlineStr">
        <is>
          <t>30 (Không)</t>
        </is>
      </c>
      <c r="D46" s="3" t="inlineStr">
        <is>
          <t>01 (Không)</t>
        </is>
      </c>
      <c r="E46" s="3" t="inlineStr">
        <is>
          <t>81 (Trúng)</t>
        </is>
      </c>
      <c r="F46" s="3" t="inlineStr">
        <is>
          <t>---</t>
        </is>
      </c>
      <c r="G46" s="6" t="inlineStr">
        <is>
          <t>01, 09 (TRÚNG 🎯)</t>
        </is>
      </c>
      <c r="H46" s="6" t="inlineStr">
        <is>
          <t>TRÚNG N3 (Siêu Lọc 🎯)</t>
        </is>
      </c>
      <c r="I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46" s="3" t="inlineStr">
        <is>
          <t>50, 51, 54, 56, 59, 60, 63, 64, 65, 68, 69, 72, 73, 74, 77, 78, 79, 81, 82, 83, 86, 87, 88, 90, 91, 95, 96, 97 (28 số)</t>
        </is>
      </c>
      <c r="K46" s="3" t="inlineStr">
        <is>
          <t>50, 51, 54, 56, 59, 60, 63, 64, 65, 68, 69, 72, 73, 74, 77, 78, 79, 81, 82, 83, 86, 87, 88, 90, 91, 95, 96, 97 (28 số)</t>
        </is>
      </c>
    </row>
    <row r="47">
      <c r="A47" s="2" t="n">
        <v>45</v>
      </c>
      <c r="B47" s="2" t="inlineStr">
        <is>
          <t>Thứ bảy ngày 14-02-2026</t>
        </is>
      </c>
      <c r="C47" s="3" t="inlineStr">
        <is>
          <t>01 (Trúng)</t>
        </is>
      </c>
      <c r="D47" s="3" t="inlineStr">
        <is>
          <t>81 (Trúng)</t>
        </is>
      </c>
      <c r="E47" s="3" t="inlineStr">
        <is>
          <t>13 (Không)</t>
        </is>
      </c>
      <c r="F47" s="3" t="inlineStr">
        <is>
          <t>---</t>
        </is>
      </c>
      <c r="G47" s="7" t="inlineStr">
        <is>
          <t>09, 18 (TRƯỢT ❌)</t>
        </is>
      </c>
      <c r="H47" s="6" t="inlineStr">
        <is>
          <t>TRÚNG N1 🎯</t>
        </is>
      </c>
      <c r="I47" s="3" t="inlineStr">
        <is>
          <t>01, 04, 06, 09, 10, 13, 15, 18, 22, 24, 27, 29, 31, 33, 36, 38, 40, 42, 45, 47, 51, 54, 56, 59, 60, 63, 65, 68, 72, 74, 77, 79, 81, 83, 86, 88, 90, 92, 95, 97 (40 số)</t>
        </is>
      </c>
      <c r="J47" s="3" t="inlineStr">
        <is>
          <t>51, 54, 56, 59, 60, 63, 65, 68, 72, 74, 77, 79, 81, 83, 86, 88, 90, 92, 95, 97 (20 số)</t>
        </is>
      </c>
      <c r="K47" s="3" t="inlineStr">
        <is>
          <t>51, 54, 56, 59, 60, 63, 65, 68, 72, 74, 77, 79, 81, 83, 86, 88, 90, 92, 95, 97 (20 số)</t>
        </is>
      </c>
    </row>
    <row r="48">
      <c r="A48" s="2" t="n">
        <v>46</v>
      </c>
      <c r="B48" s="2" t="inlineStr">
        <is>
          <t>Chủ nhật ngày 15-02-2026</t>
        </is>
      </c>
      <c r="C48" s="3" t="inlineStr">
        <is>
          <t>81 (Không)</t>
        </is>
      </c>
      <c r="D48" s="3" t="inlineStr">
        <is>
          <t>13 (Không)</t>
        </is>
      </c>
      <c r="E48" s="3" t="inlineStr">
        <is>
          <t>12 (Trúng)</t>
        </is>
      </c>
      <c r="F48" s="3" t="inlineStr">
        <is>
          <t>---</t>
        </is>
      </c>
      <c r="G48" s="7" t="inlineStr">
        <is>
          <t>01, 03 (TRƯỢT ❌)</t>
        </is>
      </c>
      <c r="H48" s="6" t="inlineStr">
        <is>
          <t>TRÚNG N3 (Siêu Lọc 🎯)</t>
        </is>
      </c>
      <c r="I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48" s="3" t="inlineStr">
        <is>
          <t>01, 02, 03, 07, 08, 10, 11, 12, 16, 17, 20, 21, 24, 25, 26, 29, 30, 33, 34, 35, 38, 39, 42, 43, 44, 47, 48, 49 (28 số)</t>
        </is>
      </c>
      <c r="K48" s="3" t="inlineStr">
        <is>
          <t>01, 02, 03, 07, 08, 10, 11, 12, 16, 17, 20, 21, 24, 25, 26, 29, 30, 33, 34, 35, 38, 39, 42, 43, 44, 47, 48, 49 (28 số)</t>
        </is>
      </c>
    </row>
    <row r="49">
      <c r="A49" s="2" t="n">
        <v>47</v>
      </c>
      <c r="B49" s="2" t="inlineStr">
        <is>
          <t>Thứ sáu ngày 20-02-2026</t>
        </is>
      </c>
      <c r="C49" s="3" t="inlineStr">
        <is>
          <t>13 (Trúng)</t>
        </is>
      </c>
      <c r="D49" s="3" t="inlineStr">
        <is>
          <t>12 (Không)</t>
        </is>
      </c>
      <c r="E49" s="3" t="inlineStr">
        <is>
          <t>55 (Không)</t>
        </is>
      </c>
      <c r="F49" s="3" t="inlineStr">
        <is>
          <t>---</t>
        </is>
      </c>
      <c r="G49" s="7" t="inlineStr">
        <is>
          <t>09, 42 (TRƯỢT ❌)</t>
        </is>
      </c>
      <c r="H49" s="6" t="inlineStr">
        <is>
          <t>TRÚNG N1 🎯</t>
        </is>
      </c>
      <c r="I4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49" s="3" t="inlineStr">
        <is>
          <t>51, 52, 54, 56, 57, 59, 60, 61, 63, 66, 68, 70, 72, 74, 75, 77, 79, 81, 83, 84, 86, 88, 89, 90, 93, 95, 97, 98 (28 số)</t>
        </is>
      </c>
      <c r="K49" s="3" t="inlineStr">
        <is>
          <t>51, 52, 54, 56, 57, 59, 60, 61, 63, 66, 68, 70, 72, 74, 75, 77, 79, 81, 83, 84, 86, 88, 89, 90, 93, 95, 97, 98 (28 số)</t>
        </is>
      </c>
    </row>
    <row r="50">
      <c r="A50" s="2" t="n">
        <v>48</v>
      </c>
      <c r="B50" s="2" t="inlineStr">
        <is>
          <t>Thứ bảy ngày 21-02-2026</t>
        </is>
      </c>
      <c r="C50" s="3" t="inlineStr">
        <is>
          <t>12 (Không)</t>
        </is>
      </c>
      <c r="D50" s="3" t="inlineStr">
        <is>
          <t>55 (Trúng)</t>
        </is>
      </c>
      <c r="E50" s="3" t="inlineStr">
        <is>
          <t>37 (Không)</t>
        </is>
      </c>
      <c r="F50" s="3" t="inlineStr">
        <is>
          <t>---</t>
        </is>
      </c>
      <c r="G50" s="7" t="inlineStr">
        <is>
          <t>14, 91 (TRƯỢT ❌)</t>
        </is>
      </c>
      <c r="H50" s="6" t="inlineStr">
        <is>
          <t>TRÚNG N2 (Siêu Lọc 🎯)</t>
        </is>
      </c>
      <c r="I50" s="3" t="inlineStr">
        <is>
          <t>00, 05, 14, 19, 23, 28, 32, 37, 41, 46, 50, 55, 64, 69, 73, 78, 82, 87, 91, 96 (20 số)</t>
        </is>
      </c>
      <c r="J50" s="3" t="inlineStr">
        <is>
          <t>50, 55, 64, 69, 73, 78, 82, 87, 91, 96 (10 số)</t>
        </is>
      </c>
      <c r="K50" s="3" t="inlineStr">
        <is>
          <t>50, 55, 64, 69, 73, 78, 82, 87, 91, 96 (10 số)</t>
        </is>
      </c>
    </row>
    <row r="51">
      <c r="A51" s="2" t="n">
        <v>49</v>
      </c>
      <c r="B51" s="2" t="inlineStr">
        <is>
          <t>Chủ nhật ngày 22-02-2026</t>
        </is>
      </c>
      <c r="C51" s="3" t="inlineStr">
        <is>
          <t>55 (Không)</t>
        </is>
      </c>
      <c r="D51" s="3" t="inlineStr">
        <is>
          <t>37 (Không)</t>
        </is>
      </c>
      <c r="E51" s="3" t="inlineStr">
        <is>
          <t>53 (Không)</t>
        </is>
      </c>
      <c r="F51" s="3" t="inlineStr">
        <is>
          <t>---</t>
        </is>
      </c>
      <c r="G51" s="7" t="inlineStr">
        <is>
          <t>09, 12 (TRƯỢT ❌)</t>
        </is>
      </c>
      <c r="H51" s="7" t="inlineStr">
        <is>
          <t>TRƯỢT KHUNG ❌</t>
        </is>
      </c>
      <c r="I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51" s="3" t="inlineStr">
        <is>
          <t>01, 03, 04, 08, 09, 10, 12, 13, 17, 18, 21, 22, 24, 26, 27, 29, 30, 31, 33, 35, 36, 38, 40, 42, 44, 45, 47, 49 (28 số)</t>
        </is>
      </c>
      <c r="K51" s="3" t="inlineStr">
        <is>
          <t>01, 03, 04, 08, 09, 10, 12, 13, 17, 18, 21, 22, 24, 26, 27, 29, 30, 31, 33, 35, 36, 38, 40, 42, 44, 45, 47, 49 (28 số)</t>
        </is>
      </c>
    </row>
    <row r="52">
      <c r="A52" s="2" t="n">
        <v>50</v>
      </c>
      <c r="B52" s="2" t="inlineStr">
        <is>
          <t>Thứ hai ngày 23-02-2026</t>
        </is>
      </c>
      <c r="C52" s="3" t="inlineStr">
        <is>
          <t>37 (Trúng)</t>
        </is>
      </c>
      <c r="D52" s="3" t="inlineStr">
        <is>
          <t>53 (Không)</t>
        </is>
      </c>
      <c r="E52" s="3" t="inlineStr">
        <is>
          <t>08 (Không)</t>
        </is>
      </c>
      <c r="F52" s="3" t="inlineStr">
        <is>
          <t>---</t>
        </is>
      </c>
      <c r="G52" s="7" t="inlineStr">
        <is>
          <t>00, 43 (TRƯỢT ❌)</t>
        </is>
      </c>
      <c r="H52" s="6" t="inlineStr">
        <is>
          <t>TRÚNG N1 🎯</t>
        </is>
      </c>
      <c r="I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52" s="3" t="inlineStr">
        <is>
          <t>50, 52, 54, 57, 59, 61, 63, 64, 66, 68, 69, 70, 72, 73, 75, 77, 78, 81, 84, 86, 87, 89, 90, 91, 93, 95, 96, 98 (28 số)</t>
        </is>
      </c>
      <c r="K52" s="3" t="inlineStr">
        <is>
          <t>50, 52, 54, 57, 59, 61, 63, 64, 66, 68, 69, 70, 72, 73, 75, 77, 78, 81, 84, 86, 87, 89, 90, 91, 93, 95, 96, 98 (28 số)</t>
        </is>
      </c>
    </row>
    <row r="53">
      <c r="A53" s="2" t="n">
        <v>51</v>
      </c>
      <c r="B53" s="2" t="inlineStr">
        <is>
          <t>Thứ ba ngày 24-02-2026</t>
        </is>
      </c>
      <c r="C53" s="3" t="inlineStr">
        <is>
          <t>53 (Không)</t>
        </is>
      </c>
      <c r="D53" s="3" t="inlineStr">
        <is>
          <t>08 (Không)</t>
        </is>
      </c>
      <c r="E53" s="3" t="inlineStr">
        <is>
          <t>83 (Không)</t>
        </is>
      </c>
      <c r="F53" s="3" t="inlineStr">
        <is>
          <t>---</t>
        </is>
      </c>
      <c r="G53" s="7" t="inlineStr">
        <is>
          <t>36, 37 (TRƯỢT ❌)</t>
        </is>
      </c>
      <c r="H53" s="7" t="inlineStr">
        <is>
          <t>TRƯỢT KHUNG ❌</t>
        </is>
      </c>
      <c r="I53" s="3" t="inlineStr">
        <is>
          <t>00, 04, 05, 09, 13, 14, 18, 19, 22, 23, 27, 28, 31, 32, 36, 37, 40, 41, 45, 46, 50, 54, 55, 59, 63, 64, 68, 69, 72, 73, 77, 78, 81, 82, 86, 87, 90, 91, 95, 96 (40 số)</t>
        </is>
      </c>
      <c r="J53" s="3" t="inlineStr">
        <is>
          <t>00, 04, 05, 09, 13, 14, 18, 19, 22, 23, 27, 28, 31, 32, 36, 37, 40, 41, 45, 46 (20 số)</t>
        </is>
      </c>
      <c r="K53" s="3" t="inlineStr">
        <is>
          <t>00, 04, 05, 09, 13, 14, 18, 19, 22, 23, 27, 28, 31, 32, 36, 37, 40, 41, 45, 46 (20 số)</t>
        </is>
      </c>
    </row>
    <row r="54">
      <c r="A54" s="2" t="n">
        <v>52</v>
      </c>
      <c r="B54" s="2" t="inlineStr">
        <is>
          <t>Thứ tư ngày 25-02-2026</t>
        </is>
      </c>
      <c r="C54" s="3" t="inlineStr">
        <is>
          <t>08 (Trúng)</t>
        </is>
      </c>
      <c r="D54" s="3" t="inlineStr">
        <is>
          <t>83 (Không)</t>
        </is>
      </c>
      <c r="E54" s="3" t="inlineStr">
        <is>
          <t>91 (Không)</t>
        </is>
      </c>
      <c r="F54" s="3" t="inlineStr">
        <is>
          <t>---</t>
        </is>
      </c>
      <c r="G54" s="7" t="inlineStr">
        <is>
          <t>13, 30 (TRƯỢT ❌)</t>
        </is>
      </c>
      <c r="H54" s="6" t="inlineStr">
        <is>
          <t>TRÚNG N1 🎯</t>
        </is>
      </c>
      <c r="I5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54" s="3" t="inlineStr">
        <is>
          <t>52, 53, 54, 57, 58, 59, 61, 63, 66, 67, 68, 70, 71, 72, 75, 77, 80, 81, 84, 85, 86, 89, 90, 93, 94, 95, 98, 99 (28 số)</t>
        </is>
      </c>
      <c r="K54" s="3" t="inlineStr">
        <is>
          <t>52, 53, 54, 57, 58, 59, 61, 63, 66, 67, 68, 70, 71, 72, 75, 77, 80, 81, 84, 85, 86, 89, 90, 93, 94, 95, 98, 99 (28 số)</t>
        </is>
      </c>
    </row>
    <row r="55">
      <c r="A55" s="2" t="n">
        <v>53</v>
      </c>
      <c r="B55" s="2" t="inlineStr">
        <is>
          <t>Thứ năm ngày 26-02-2026</t>
        </is>
      </c>
      <c r="C55" s="3" t="inlineStr">
        <is>
          <t>83 (Trúng)</t>
        </is>
      </c>
      <c r="D55" s="3" t="inlineStr">
        <is>
          <t>91 (Không)</t>
        </is>
      </c>
      <c r="E55" s="3" t="inlineStr">
        <is>
          <t>48 (Không)</t>
        </is>
      </c>
      <c r="F55" s="3" t="inlineStr">
        <is>
          <t>---</t>
        </is>
      </c>
      <c r="G55" s="7" t="inlineStr">
        <is>
          <t>41, 50 (TRƯỢT ❌)</t>
        </is>
      </c>
      <c r="H55" s="6" t="inlineStr">
        <is>
          <t>TRÚNG N1 🎯</t>
        </is>
      </c>
      <c r="I55" s="3" t="inlineStr">
        <is>
          <t>00, 01, 05, 06, 10, 14, 15, 19, 23, 24, 28, 29, 32, 33, 37, 38, 41, 42, 46, 47, 50, 51, 55, 56, 60, 64, 65, 69, 73, 74, 78, 79, 82, 83, 87, 88, 91, 92, 96, 97 (40 số)</t>
        </is>
      </c>
      <c r="J55" s="3" t="inlineStr">
        <is>
          <t>00, 01, 05, 06, 10, 14, 15, 19, 23, 24, 28, 29, 32, 33, 37, 38, 41, 42, 46, 47 (20 số)</t>
        </is>
      </c>
      <c r="K55" s="3" t="inlineStr">
        <is>
          <t>00, 01, 05, 06, 10, 14, 15, 19, 23, 24, 28, 29, 32, 33, 37, 38, 41, 42, 46, 47 (20 số)</t>
        </is>
      </c>
    </row>
    <row r="56">
      <c r="A56" s="2" t="n">
        <v>54</v>
      </c>
      <c r="B56" s="2" t="inlineStr">
        <is>
          <t>Thứ sáu ngày 27-02-2026</t>
        </is>
      </c>
      <c r="C56" s="3" t="inlineStr">
        <is>
          <t>91 (Không)</t>
        </is>
      </c>
      <c r="D56" s="3" t="inlineStr">
        <is>
          <t>48 (Trúng)</t>
        </is>
      </c>
      <c r="E56" s="3" t="inlineStr">
        <is>
          <t>57 (Không)</t>
        </is>
      </c>
      <c r="F56" s="3" t="inlineStr">
        <is>
          <t>---</t>
        </is>
      </c>
      <c r="G56" s="7" t="inlineStr">
        <is>
          <t>39, 42 (TRƯỢT ❌)</t>
        </is>
      </c>
      <c r="H56" s="6" t="inlineStr">
        <is>
          <t>TRÚNG N2 (Siêu Lọc 🎯)</t>
        </is>
      </c>
      <c r="I56" s="3" t="inlineStr">
        <is>
          <t>01, 02, 06, 07, 10, 11, 15, 16, 20, 24, 25, 29, 33, 34, 38, 39, 42, 43, 47, 48, 51, 52, 56, 57, 60, 61, 65, 66, 70, 74, 75, 79, 83, 84, 88, 89, 92, 93, 97, 98 (40 số)</t>
        </is>
      </c>
      <c r="J56" s="3" t="inlineStr">
        <is>
          <t>01, 02, 06, 07, 10, 11, 15, 16, 20, 24, 25, 29, 33, 34, 38, 39, 42, 43, 47, 48 (20 số)</t>
        </is>
      </c>
      <c r="K56" s="3" t="inlineStr">
        <is>
          <t>01, 02, 06, 07, 10, 11, 15, 16, 20, 24, 25, 29, 33, 34, 38, 39, 42, 43, 47, 48 (20 số)</t>
        </is>
      </c>
    </row>
    <row r="57">
      <c r="A57" s="2" t="n">
        <v>55</v>
      </c>
      <c r="B57" s="2" t="inlineStr">
        <is>
          <t>Thứ bảy ngày 28-02-2026</t>
        </is>
      </c>
      <c r="C57" s="3" t="inlineStr">
        <is>
          <t>48 (Không)</t>
        </is>
      </c>
      <c r="D57" s="3" t="inlineStr">
        <is>
          <t>57 (Không)</t>
        </is>
      </c>
      <c r="E57" s="3" t="inlineStr">
        <is>
          <t>78 (Trúng)</t>
        </is>
      </c>
      <c r="F57" s="3" t="inlineStr">
        <is>
          <t>---</t>
        </is>
      </c>
      <c r="G57" s="7" t="inlineStr">
        <is>
          <t>65, 82 (TRƯỢT ❌)</t>
        </is>
      </c>
      <c r="H57" s="6" t="inlineStr">
        <is>
          <t>TRÚNG N3 (Siêu Lọc 🎯)</t>
        </is>
      </c>
      <c r="I57" s="3" t="inlineStr">
        <is>
          <t>00, 01, 05, 06, 10, 14, 15, 19, 23, 24, 28, 29, 32, 33, 37, 38, 41, 42, 46, 47, 50, 51, 55, 56, 60, 64, 65, 69, 73, 74, 78, 79, 82, 83, 87, 88, 91, 92, 96, 97 (40 số)</t>
        </is>
      </c>
      <c r="J57" s="3" t="inlineStr">
        <is>
          <t>50, 51, 55, 56, 60, 64, 65, 69, 73, 74, 78, 79, 82, 83, 87, 88, 91, 92, 96, 97 (20 số)</t>
        </is>
      </c>
      <c r="K57" s="3" t="inlineStr">
        <is>
          <t>50, 51, 55, 56, 60, 64, 65, 69, 73, 74, 78, 79, 82, 83, 87, 88, 91, 92, 96, 97 (20 số)</t>
        </is>
      </c>
    </row>
    <row r="58">
      <c r="A58" s="2" t="n">
        <v>56</v>
      </c>
      <c r="B58" s="2" t="inlineStr">
        <is>
          <t>Chủ nhật ngày 01-03-2026</t>
        </is>
      </c>
      <c r="C58" s="3" t="inlineStr">
        <is>
          <t>57 (Không)</t>
        </is>
      </c>
      <c r="D58" s="3" t="inlineStr">
        <is>
          <t>78 (Không)</t>
        </is>
      </c>
      <c r="E58" s="3" t="inlineStr">
        <is>
          <t>19 (Trúng)</t>
        </is>
      </c>
      <c r="F58" s="3" t="inlineStr">
        <is>
          <t>---</t>
        </is>
      </c>
      <c r="G58" s="7" t="inlineStr">
        <is>
          <t>60, 73 (TRƯỢT ❌)</t>
        </is>
      </c>
      <c r="H58" s="6" t="inlineStr">
        <is>
          <t>TRÚNG N3 (Siêu Lọc 🎯)</t>
        </is>
      </c>
      <c r="I58" s="3" t="inlineStr">
        <is>
          <t>00, 01, 05, 06, 10, 14, 15, 19, 23, 24, 28, 29, 32, 33, 37, 38, 41, 42, 46, 47, 50, 51, 55, 56, 60, 64, 65, 69, 73, 74, 78, 79, 82, 83, 87, 88, 91, 92, 96, 97 (40 số)</t>
        </is>
      </c>
      <c r="J58" s="3" t="inlineStr">
        <is>
          <t>00, 01, 05, 06, 10, 14, 15, 19, 23, 24, 28, 29, 32, 33, 37, 38, 41, 42, 46, 47 (20 số)</t>
        </is>
      </c>
      <c r="K58" s="3" t="inlineStr">
        <is>
          <t>00, 01, 05, 06, 10, 14, 15, 19, 23, 24, 28, 29, 32, 33, 37, 38, 41, 42, 46, 47 (20 số)</t>
        </is>
      </c>
    </row>
    <row r="59">
      <c r="A59" s="2" t="n">
        <v>57</v>
      </c>
      <c r="B59" s="2" t="inlineStr">
        <is>
          <t>Thứ hai ngày 02-03-2026</t>
        </is>
      </c>
      <c r="C59" s="3" t="inlineStr">
        <is>
          <t>78 (Không)</t>
        </is>
      </c>
      <c r="D59" s="3" t="inlineStr">
        <is>
          <t>19 (Không)</t>
        </is>
      </c>
      <c r="E59" s="3" t="inlineStr">
        <is>
          <t>59 (Không)</t>
        </is>
      </c>
      <c r="F59" s="3" t="inlineStr">
        <is>
          <t>---</t>
        </is>
      </c>
      <c r="G59" s="7" t="inlineStr">
        <is>
          <t>45, 57 (TRƯỢT ❌)</t>
        </is>
      </c>
      <c r="H59" s="7" t="inlineStr">
        <is>
          <t>TRƯỢT KHUNG ❌</t>
        </is>
      </c>
      <c r="I59" s="3" t="inlineStr">
        <is>
          <t>02, 04, 07, 09, 11, 13, 16, 18, 20, 22, 25, 27, 31, 34, 36, 39, 40, 43, 45, 48, 52, 54, 57, 59, 61, 63, 66, 68, 70, 72, 75, 77, 81, 84, 86, 89, 90, 93, 95, 98 (40 số)</t>
        </is>
      </c>
      <c r="J59" s="3" t="inlineStr">
        <is>
          <t>02, 04, 07, 09, 11, 13, 16, 18, 20, 22, 25, 27, 31, 34, 36, 39, 40, 43, 45, 48 (20 số)</t>
        </is>
      </c>
      <c r="K59" s="3" t="inlineStr">
        <is>
          <t>02, 04, 07, 09, 11, 13, 16, 18, 20, 22, 25, 27, 31, 34, 36, 39, 40, 43, 45, 48 (20 số)</t>
        </is>
      </c>
    </row>
    <row r="60">
      <c r="A60" s="2" t="n">
        <v>58</v>
      </c>
      <c r="B60" s="2" t="inlineStr">
        <is>
          <t>Thứ ba ngày 03-03-2026</t>
        </is>
      </c>
      <c r="C60" s="3" t="inlineStr">
        <is>
          <t>19 (Không)</t>
        </is>
      </c>
      <c r="D60" s="3" t="inlineStr">
        <is>
          <t>59 (Trúng)</t>
        </is>
      </c>
      <c r="E60" s="3" t="inlineStr">
        <is>
          <t>49 (Không)</t>
        </is>
      </c>
      <c r="F60" s="3" t="inlineStr">
        <is>
          <t>---</t>
        </is>
      </c>
      <c r="G60" s="7" t="inlineStr">
        <is>
          <t>21, 36 (TRƯỢT ❌)</t>
        </is>
      </c>
      <c r="H60" s="6" t="inlineStr">
        <is>
          <t>TRÚNG N2 (Siêu Lọc 🎯)</t>
        </is>
      </c>
      <c r="I60" s="3" t="inlineStr">
        <is>
          <t>03, 04, 08, 09, 12, 13, 17, 18, 21, 22, 26, 27, 30, 31, 35, 36, 40, 44, 45, 49, 53, 54, 58, 59, 62, 63, 67, 68, 71, 72, 76, 77, 80, 81, 85, 86, 90, 94, 95, 99 (40 số)</t>
        </is>
      </c>
      <c r="J60" s="3" t="inlineStr">
        <is>
          <t>53, 54, 58, 59, 62, 63, 67, 68, 71, 72, 76, 77, 80, 81, 85, 86, 90, 94, 95, 99 (20 số)</t>
        </is>
      </c>
      <c r="K60" s="3" t="inlineStr">
        <is>
          <t>53, 54, 58, 59, 62, 63, 67, 68, 71, 72, 76, 77, 80, 81, 85, 86, 90, 94, 95, 99 (20 số)</t>
        </is>
      </c>
    </row>
    <row r="61">
      <c r="A61" s="2" t="n">
        <v>59</v>
      </c>
      <c r="B61" s="2" t="inlineStr">
        <is>
          <t>Thứ tư ngày 04-03-2026</t>
        </is>
      </c>
      <c r="C61" s="3" t="inlineStr">
        <is>
          <t>59 (Không)</t>
        </is>
      </c>
      <c r="D61" s="3" t="inlineStr">
        <is>
          <t>49 (Trúng)</t>
        </is>
      </c>
      <c r="E61" s="3" t="inlineStr">
        <is>
          <t>51 (Không)</t>
        </is>
      </c>
      <c r="F61" s="3" t="inlineStr">
        <is>
          <t>---</t>
        </is>
      </c>
      <c r="G61" s="7" t="inlineStr">
        <is>
          <t>05, 19 (TRƯỢT ❌)</t>
        </is>
      </c>
      <c r="H61" s="6" t="inlineStr">
        <is>
          <t>TRÚNG N2 (Siêu Lọc 🎯)</t>
        </is>
      </c>
      <c r="I61" s="3" t="inlineStr">
        <is>
          <t>00, 03, 05, 08, 12, 14, 17, 19, 21, 23, 26, 28, 30, 32, 35, 37, 41, 44, 46, 49, 50, 53, 55, 58, 62, 64, 67, 69, 71, 73, 76, 78, 80, 82, 85, 87, 91, 94, 96, 99 (40 số)</t>
        </is>
      </c>
      <c r="J61" s="3" t="inlineStr">
        <is>
          <t>00, 03, 05, 08, 12, 14, 17, 19, 21, 23, 26, 28, 30, 32, 35, 37, 41, 44, 46, 49 (20 số)</t>
        </is>
      </c>
      <c r="K61" s="3" t="inlineStr">
        <is>
          <t>00, 03, 05, 08, 12, 14, 17, 19, 21, 23, 26, 28, 30, 32, 35, 37, 41, 44, 46, 49 (20 số)</t>
        </is>
      </c>
    </row>
    <row r="62">
      <c r="A62" s="2" t="n">
        <v>60</v>
      </c>
      <c r="B62" s="2" t="inlineStr">
        <is>
          <t>Thứ năm ngày 05-03-2026</t>
        </is>
      </c>
      <c r="C62" s="3" t="inlineStr">
        <is>
          <t>49 (Trúng)</t>
        </is>
      </c>
      <c r="D62" s="3" t="inlineStr">
        <is>
          <t>51 (Không)</t>
        </is>
      </c>
      <c r="E62" s="3" t="inlineStr">
        <is>
          <t>36 (Không)</t>
        </is>
      </c>
      <c r="F62" s="3" t="inlineStr">
        <is>
          <t>---</t>
        </is>
      </c>
      <c r="G62" s="7" t="inlineStr">
        <is>
          <t>14, 40 (TRƯỢT ❌)</t>
        </is>
      </c>
      <c r="H62" s="6" t="inlineStr">
        <is>
          <t>TRÚNG N1 🎯</t>
        </is>
      </c>
      <c r="I6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2" s="3" t="inlineStr">
        <is>
          <t>50, 53, 54, 58, 59, 62, 63, 64, 67, 68, 69, 71, 72, 73, 76, 77, 78, 80, 81, 85, 86, 87, 90, 91, 94, 95, 96, 99 (28 số)</t>
        </is>
      </c>
      <c r="K62" s="3" t="inlineStr">
        <is>
          <t>50, 53, 54, 58, 59, 62, 63, 64, 67, 68, 69, 71, 72, 73, 76, 77, 78, 80, 81, 85, 86, 87, 90, 91, 94, 95, 96, 99 (28 số)</t>
        </is>
      </c>
    </row>
    <row r="63">
      <c r="A63" s="2" t="n">
        <v>61</v>
      </c>
      <c r="B63" s="2" t="inlineStr">
        <is>
          <t>Thứ sáu ngày 06-03-2026</t>
        </is>
      </c>
      <c r="C63" s="3" t="inlineStr">
        <is>
          <t>51 (Không)</t>
        </is>
      </c>
      <c r="D63" s="3" t="inlineStr">
        <is>
          <t>36 (Không)</t>
        </is>
      </c>
      <c r="E63" s="3" t="inlineStr">
        <is>
          <t>80 (Không)</t>
        </is>
      </c>
      <c r="F63" s="3" t="inlineStr">
        <is>
          <t>---</t>
        </is>
      </c>
      <c r="G63" s="7" t="inlineStr">
        <is>
          <t>14, 49 (TRƯỢT ❌)</t>
        </is>
      </c>
      <c r="H63" s="7" t="inlineStr">
        <is>
          <t>TRƯỢT KHUNG ❌</t>
        </is>
      </c>
      <c r="I63" s="3" t="inlineStr">
        <is>
          <t>00, 03, 05, 08, 12, 14, 17, 19, 21, 23, 26, 28, 30, 32, 35, 37, 41, 44, 46, 49, 50, 53, 55, 58, 62, 64, 67, 69, 71, 73, 76, 78, 80, 82, 85, 87, 91, 94, 96, 99 (40 số)</t>
        </is>
      </c>
      <c r="J63" s="3" t="inlineStr">
        <is>
          <t>00, 03, 05, 08, 12, 14, 17, 19, 21, 23, 26, 28, 30, 32, 35, 37, 41, 44, 46, 49 (20 số)</t>
        </is>
      </c>
      <c r="K63" s="3" t="inlineStr">
        <is>
          <t>00, 03, 05, 08, 12, 14, 17, 19, 21, 23, 26, 28, 30, 32, 35, 37, 41, 44, 46, 49 (20 số)</t>
        </is>
      </c>
    </row>
    <row r="64">
      <c r="A64" s="2" t="n">
        <v>62</v>
      </c>
      <c r="B64" s="2" t="inlineStr">
        <is>
          <t>Thứ bảy ngày 07-03-2026</t>
        </is>
      </c>
      <c r="C64" s="3" t="inlineStr">
        <is>
          <t>36 (Không)</t>
        </is>
      </c>
      <c r="D64" s="3" t="inlineStr">
        <is>
          <t>80 (Trúng)</t>
        </is>
      </c>
      <c r="E64" s="3" t="inlineStr">
        <is>
          <t>42 (Không)</t>
        </is>
      </c>
      <c r="F64" s="3" t="inlineStr">
        <is>
          <t>---</t>
        </is>
      </c>
      <c r="G64" s="7" t="inlineStr">
        <is>
          <t>21, 43 (TRƯỢT ❌)</t>
        </is>
      </c>
      <c r="H64" s="6" t="inlineStr">
        <is>
          <t>TRÚNG N2 (Siêu Lọc 🎯)</t>
        </is>
      </c>
      <c r="I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64" s="3" t="inlineStr">
        <is>
          <t>50, 52, 53, 57, 58, 61, 62, 64, 66, 67, 69, 70, 71, 73, 75, 76, 78, 80, 84, 85, 87, 89, 91, 93, 94, 96, 98, 99 (28 số)</t>
        </is>
      </c>
      <c r="K64" s="3" t="inlineStr">
        <is>
          <t>50, 52, 53, 57, 58, 61, 62, 64, 66, 67, 69, 70, 71, 73, 75, 76, 78, 80, 84, 85, 87, 89, 91, 93, 94, 96, 98, 99 (28 số)</t>
        </is>
      </c>
    </row>
    <row r="65">
      <c r="A65" s="2" t="n">
        <v>63</v>
      </c>
      <c r="B65" s="2" t="inlineStr">
        <is>
          <t>Chủ nhật ngày 08-03-2026</t>
        </is>
      </c>
      <c r="C65" s="3" t="inlineStr">
        <is>
          <t>80 (Không)</t>
        </is>
      </c>
      <c r="D65" s="3" t="inlineStr">
        <is>
          <t>42 (Trúng)</t>
        </is>
      </c>
      <c r="E65" s="3" t="inlineStr">
        <is>
          <t>68 (Không)</t>
        </is>
      </c>
      <c r="F65" s="3" t="inlineStr">
        <is>
          <t>---</t>
        </is>
      </c>
      <c r="G65" s="7" t="inlineStr">
        <is>
          <t>24, 27 (TRƯỢT ❌)</t>
        </is>
      </c>
      <c r="H65" s="6" t="inlineStr">
        <is>
          <t>TRÚNG N2 (Siêu Lọc 🎯)</t>
        </is>
      </c>
      <c r="I65" s="3" t="inlineStr">
        <is>
          <t>01, 04, 06, 09, 10, 13, 15, 18, 22, 24, 27, 29, 31, 33, 36, 38, 40, 42, 45, 47, 51, 54, 56, 59, 60, 63, 65, 68, 72, 74, 77, 79, 81, 83, 86, 88, 90, 92, 95, 97 (40 số)</t>
        </is>
      </c>
      <c r="J65" s="3" t="inlineStr">
        <is>
          <t>01, 04, 06, 09, 10, 13, 15, 18, 22, 24, 27, 29, 31, 33, 36, 38, 40, 42, 45, 47 (20 số)</t>
        </is>
      </c>
      <c r="K65" s="3" t="inlineStr">
        <is>
          <t>01, 04, 06, 09, 10, 13, 15, 18, 22, 24, 27, 29, 31, 33, 36, 38, 40, 42, 45, 47 (20 số)</t>
        </is>
      </c>
    </row>
    <row r="66">
      <c r="A66" s="2" t="n">
        <v>64</v>
      </c>
      <c r="B66" s="2" t="inlineStr">
        <is>
          <t>Thứ hai ngày 09-03-2026</t>
        </is>
      </c>
      <c r="C66" s="3" t="inlineStr">
        <is>
          <t>42 (Trúng)</t>
        </is>
      </c>
      <c r="D66" s="3" t="inlineStr">
        <is>
          <t>68 (Không)</t>
        </is>
      </c>
      <c r="E66" s="3" t="inlineStr">
        <is>
          <t>24 (Không)</t>
        </is>
      </c>
      <c r="F66" s="3" t="inlineStr">
        <is>
          <t>---</t>
        </is>
      </c>
      <c r="G66" s="7" t="inlineStr">
        <is>
          <t>35, 53 (TRƯỢT ❌)</t>
        </is>
      </c>
      <c r="H66" s="6" t="inlineStr">
        <is>
          <t>TRÚNG N1 🎯</t>
        </is>
      </c>
      <c r="I66" s="3" t="inlineStr">
        <is>
          <t>01, 03, 06, 08, 10, 12, 15, 17, 21, 24, 26, 29, 30, 33, 35, 38, 42, 44, 47, 49, 51, 53, 56, 58, 60, 62, 65, 67, 71, 74, 76, 79, 80, 83, 85, 88, 92, 94, 97, 99 (40 số)</t>
        </is>
      </c>
      <c r="J66" s="3" t="inlineStr">
        <is>
          <t>51, 53, 56, 58, 60, 62, 65, 67, 71, 74, 76, 79, 80, 83, 85, 88, 92, 94, 97, 99 (20 số)</t>
        </is>
      </c>
      <c r="K66" s="3" t="inlineStr">
        <is>
          <t>51, 53, 56, 58, 60, 62, 65, 67, 71, 74, 76, 79, 80, 83, 85, 88, 92, 94, 97, 99 (20 số)</t>
        </is>
      </c>
    </row>
    <row r="67">
      <c r="A67" s="2" t="n">
        <v>65</v>
      </c>
      <c r="B67" s="2" t="inlineStr">
        <is>
          <t>Thứ ba ngày 10-03-2026</t>
        </is>
      </c>
      <c r="C67" s="3" t="inlineStr">
        <is>
          <t>68 (Trúng)</t>
        </is>
      </c>
      <c r="D67" s="3" t="inlineStr">
        <is>
          <t>24 (Không)</t>
        </is>
      </c>
      <c r="E67" s="3" t="inlineStr">
        <is>
          <t>59 (Không)</t>
        </is>
      </c>
      <c r="F67" s="3" t="inlineStr">
        <is>
          <t>---</t>
        </is>
      </c>
      <c r="G67" s="7" t="inlineStr">
        <is>
          <t>37, 78 (TRƯỢT ❌)</t>
        </is>
      </c>
      <c r="H67" s="6" t="inlineStr">
        <is>
          <t>TRÚNG N1 🎯</t>
        </is>
      </c>
      <c r="I67" s="3" t="inlineStr">
        <is>
          <t>00, 04, 05, 09, 13, 14, 18, 19, 22, 23, 27, 28, 31, 32, 36, 37, 40, 41, 45, 46, 50, 54, 55, 59, 63, 64, 68, 69, 72, 73, 77, 78, 81, 82, 86, 87, 90, 91, 95, 96 (40 số)</t>
        </is>
      </c>
      <c r="J67" s="3" t="inlineStr">
        <is>
          <t>00, 04, 05, 09, 13, 14, 18, 19, 22, 23, 27, 28, 31, 32, 36, 37, 40, 41, 45, 46 (20 số)</t>
        </is>
      </c>
      <c r="K67" s="3" t="inlineStr">
        <is>
          <t>00, 04, 05, 09, 13, 14, 18, 19, 22, 23, 27, 28, 31, 32, 36, 37, 40, 41, 45, 46 (20 số)</t>
        </is>
      </c>
    </row>
    <row r="68">
      <c r="A68" s="2" t="n">
        <v>66</v>
      </c>
      <c r="B68" s="2" t="inlineStr">
        <is>
          <t>Thứ tư ngày 11-03-2026</t>
        </is>
      </c>
      <c r="C68" s="3" t="inlineStr">
        <is>
          <t>24 (Trúng)</t>
        </is>
      </c>
      <c r="D68" s="3" t="inlineStr">
        <is>
          <t>59 (Trúng)</t>
        </is>
      </c>
      <c r="E68" s="3" t="inlineStr">
        <is>
          <t>48 (Không)</t>
        </is>
      </c>
      <c r="F68" s="3" t="inlineStr">
        <is>
          <t>---</t>
        </is>
      </c>
      <c r="G68" s="7" t="inlineStr">
        <is>
          <t>09, 68 (TRƯỢT ❌)</t>
        </is>
      </c>
      <c r="H68" s="6" t="inlineStr">
        <is>
          <t>TRÚNG N1 🎯</t>
        </is>
      </c>
      <c r="I6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68" s="3" t="inlineStr">
        <is>
          <t>51, 53, 54, 56, 58, 59, 60, 62, 63, 67, 68, 71, 72, 74, 76, 77, 79, 80, 81, 83, 85, 86, 88, 90, 94, 95, 97, 99 (28 số)</t>
        </is>
      </c>
      <c r="K68" s="3" t="inlineStr">
        <is>
          <t>51, 53, 54, 58, 59, 60, 62, 63, 65, 67, 68, 71, 72, 74, 76, 77, 79, 80, 81, 83, 85, 86, 88, 90, 94, 95, 97, 99 (28 số)</t>
        </is>
      </c>
    </row>
    <row r="69">
      <c r="A69" s="2" t="n">
        <v>67</v>
      </c>
      <c r="B69" s="2" t="inlineStr">
        <is>
          <t>Thứ năm ngày 12-03-2026</t>
        </is>
      </c>
      <c r="C69" s="3" t="inlineStr">
        <is>
          <t>59 (Trúng)</t>
        </is>
      </c>
      <c r="D69" s="3" t="inlineStr">
        <is>
          <t>48 (Không)</t>
        </is>
      </c>
      <c r="E69" s="3" t="inlineStr">
        <is>
          <t>70 (Không)</t>
        </is>
      </c>
      <c r="F69" s="3" t="inlineStr">
        <is>
          <t>---</t>
        </is>
      </c>
      <c r="G69" s="6" t="inlineStr">
        <is>
          <t>08, 59 (TRÚNG 🎯)</t>
        </is>
      </c>
      <c r="H69" s="6" t="inlineStr">
        <is>
          <t>TRÚNG N1 🎯</t>
        </is>
      </c>
      <c r="I6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69" s="3" t="inlineStr">
        <is>
          <t>03, 04, 08, 09, 12, 13, 14, 17, 18, 19, 21, 22, 23, 26, 27, 28, 30, 31, 32, 35, 36, 37, 40, 41, 44, 45, 46, 49 (28 số)</t>
        </is>
      </c>
      <c r="K69" s="3" t="inlineStr">
        <is>
          <t>03, 04, 08, 09, 12, 13, 14, 17, 18, 19, 21, 22, 23, 26, 27, 28, 30, 31, 32, 35, 36, 37, 40, 41, 44, 45, 46, 49 (28 số)</t>
        </is>
      </c>
    </row>
    <row r="70">
      <c r="A70" s="2" t="n">
        <v>68</v>
      </c>
      <c r="B70" s="2" t="inlineStr">
        <is>
          <t>Thứ sáu ngày 13-03-2026</t>
        </is>
      </c>
      <c r="C70" s="3" t="inlineStr">
        <is>
          <t>48 (Không)</t>
        </is>
      </c>
      <c r="D70" s="3" t="inlineStr">
        <is>
          <t>70 (Không)</t>
        </is>
      </c>
      <c r="E70" s="3" t="inlineStr">
        <is>
          <t>52 (Không)</t>
        </is>
      </c>
      <c r="F70" s="3" t="inlineStr">
        <is>
          <t>---</t>
        </is>
      </c>
      <c r="G70" s="7" t="inlineStr">
        <is>
          <t>10, 59 (TRƯỢT ❌)</t>
        </is>
      </c>
      <c r="H70" s="7" t="inlineStr">
        <is>
          <t>TRƯỢT KHUNG ❌</t>
        </is>
      </c>
      <c r="I70" s="3" t="inlineStr">
        <is>
          <t>01, 04, 06, 09, 10, 13, 15, 18, 22, 24, 27, 29, 31, 33, 36, 38, 40, 42, 45, 47, 51, 54, 56, 59, 60, 63, 65, 68, 72, 74, 77, 79, 81, 83, 86, 88, 90, 92, 95, 97 (40 số)</t>
        </is>
      </c>
      <c r="J70" s="3" t="inlineStr">
        <is>
          <t>51, 54, 56, 59, 60, 63, 65, 68, 72, 74, 77, 79, 81, 83, 86, 88, 90, 92, 95, 97 (20 số)</t>
        </is>
      </c>
      <c r="K70" s="3" t="inlineStr">
        <is>
          <t>51, 54, 56, 59, 60, 63, 65, 68, 72, 74, 77, 79, 81, 83, 86, 88, 90, 92, 95, 97 (20 số)</t>
        </is>
      </c>
    </row>
    <row r="71">
      <c r="A71" s="2" t="n">
        <v>69</v>
      </c>
      <c r="B71" s="2" t="inlineStr">
        <is>
          <t>Thứ bảy ngày 14-03-2026</t>
        </is>
      </c>
      <c r="C71" s="3" t="inlineStr">
        <is>
          <t>70 (Trúng)</t>
        </is>
      </c>
      <c r="D71" s="3" t="inlineStr">
        <is>
          <t>52 (Không)</t>
        </is>
      </c>
      <c r="E71" s="3" t="inlineStr">
        <is>
          <t>69 (Không)</t>
        </is>
      </c>
      <c r="F71" s="3" t="inlineStr">
        <is>
          <t>---</t>
        </is>
      </c>
      <c r="G71" s="6" t="inlineStr">
        <is>
          <t>48, 52 (TRÚNG 🎯)</t>
        </is>
      </c>
      <c r="H71" s="6" t="inlineStr">
        <is>
          <t>TRÚNG N1 🎯</t>
        </is>
      </c>
      <c r="I7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1" s="3" t="inlineStr">
        <is>
          <t>00, 01, 02, 07, 10, 11, 14, 15, 16, 19, 20, 23, 24, 25, 28, 29, 32, 33, 34, 37, 38, 39, 41, 42, 43, 46, 47, 48 (28 số)</t>
        </is>
      </c>
      <c r="K71" s="3" t="inlineStr">
        <is>
          <t>00, 01, 02, 07, 10, 11, 14, 15, 16, 19, 20, 23, 24, 25, 28, 29, 32, 33, 34, 37, 38, 39, 41, 42, 43, 46, 47, 48 (28 số)</t>
        </is>
      </c>
    </row>
    <row r="72">
      <c r="A72" s="2" t="n">
        <v>70</v>
      </c>
      <c r="B72" s="2" t="inlineStr">
        <is>
          <t>Chủ nhật ngày 15-03-2026</t>
        </is>
      </c>
      <c r="C72" s="3" t="inlineStr">
        <is>
          <t>52 (Trúng)</t>
        </is>
      </c>
      <c r="D72" s="3" t="inlineStr">
        <is>
          <t>69 (Không)</t>
        </is>
      </c>
      <c r="E72" s="3" t="inlineStr">
        <is>
          <t>87 (Không)</t>
        </is>
      </c>
      <c r="F72" s="3" t="inlineStr">
        <is>
          <t>---</t>
        </is>
      </c>
      <c r="G72" s="7" t="inlineStr">
        <is>
          <t>38, 68 (TRƯỢT ❌)</t>
        </is>
      </c>
      <c r="H72" s="6" t="inlineStr">
        <is>
          <t>TRÚNG N1 🎯</t>
        </is>
      </c>
      <c r="I7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72" s="3" t="inlineStr">
        <is>
          <t>01, 02, 04, 07, 09, 10, 11, 13, 16, 18, 20, 22, 24, 25, 27, 29, 31, 33, 34, 36, 38, 39, 40, 42, 43, 45, 47, 48 (28 số)</t>
        </is>
      </c>
      <c r="K72" s="3" t="inlineStr">
        <is>
          <t>01, 02, 04, 07, 09, 10, 11, 13, 16, 18, 20, 22, 24, 25, 27, 29, 31, 33, 34, 36, 38, 39, 40, 42, 43, 45, 47, 48 (28 số)</t>
        </is>
      </c>
    </row>
    <row r="73">
      <c r="A73" s="2" t="n">
        <v>71</v>
      </c>
      <c r="B73" s="2" t="inlineStr">
        <is>
          <t>Thứ hai ngày 16-03-2026</t>
        </is>
      </c>
      <c r="C73" s="3" t="inlineStr">
        <is>
          <t>69 (Trúng)</t>
        </is>
      </c>
      <c r="D73" s="3" t="inlineStr">
        <is>
          <t>87 (Không)</t>
        </is>
      </c>
      <c r="E73" s="3" t="inlineStr">
        <is>
          <t>95 (Không)</t>
        </is>
      </c>
      <c r="F73" s="3" t="inlineStr">
        <is>
          <t>---</t>
        </is>
      </c>
      <c r="G73" s="7" t="inlineStr">
        <is>
          <t>28, 39 (TRƯỢT ❌)</t>
        </is>
      </c>
      <c r="H73" s="6" t="inlineStr">
        <is>
          <t>TRÚNG N1 🎯</t>
        </is>
      </c>
      <c r="I7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73" s="3" t="inlineStr">
        <is>
          <t>00, 01, 02, 07, 10, 11, 14, 15, 16, 19, 20, 23, 24, 25, 28, 29, 32, 33, 34, 37, 38, 39, 41, 42, 43, 46, 47, 48 (28 số)</t>
        </is>
      </c>
      <c r="K73" s="3" t="inlineStr">
        <is>
          <t>00, 01, 02, 07, 10, 11, 14, 15, 16, 19, 20, 23, 24, 25, 28, 29, 32, 33, 34, 37, 38, 39, 41, 42, 43, 46, 47, 48 (28 số)</t>
        </is>
      </c>
    </row>
    <row r="74">
      <c r="A74" s="2" t="n">
        <v>72</v>
      </c>
      <c r="B74" s="2" t="inlineStr">
        <is>
          <t>Thứ ba ngày 17-03-2026</t>
        </is>
      </c>
      <c r="C74" s="3" t="inlineStr">
        <is>
          <t>87 (Không)</t>
        </is>
      </c>
      <c r="D74" s="3" t="inlineStr">
        <is>
          <t>95 (Không)</t>
        </is>
      </c>
      <c r="E74" s="3" t="inlineStr">
        <is>
          <t>24 (Không)</t>
        </is>
      </c>
      <c r="F74" s="3" t="inlineStr">
        <is>
          <t>---</t>
        </is>
      </c>
      <c r="G74" s="7" t="inlineStr">
        <is>
          <t>22, 75 (TRƯỢT ❌)</t>
        </is>
      </c>
      <c r="H74" s="7" t="inlineStr">
        <is>
          <t>TRƯỢT KHUNG ❌</t>
        </is>
      </c>
      <c r="I74" s="3" t="inlineStr">
        <is>
          <t>02, 04, 07, 09, 11, 13, 16, 18, 20, 22, 25, 27, 31, 34, 36, 39, 40, 43, 45, 48, 52, 54, 57, 59, 61, 63, 66, 68, 70, 72, 75, 77, 81, 84, 86, 89, 90, 93, 95, 98 (40 số)</t>
        </is>
      </c>
      <c r="J74" s="3" t="inlineStr">
        <is>
          <t>02, 04, 07, 09, 11, 13, 16, 18, 20, 22, 25, 27, 31, 34, 36, 39, 40, 43, 45, 48 (20 số)</t>
        </is>
      </c>
      <c r="K74" s="3" t="inlineStr">
        <is>
          <t>02, 04, 07, 09, 11, 13, 16, 18, 20, 22, 25, 27, 31, 34, 36, 39, 40, 43, 45, 48 (20 số)</t>
        </is>
      </c>
    </row>
    <row r="75">
      <c r="A75" s="2" t="n">
        <v>73</v>
      </c>
      <c r="B75" s="2" t="inlineStr">
        <is>
          <t>Thứ tư ngày 18-03-2026</t>
        </is>
      </c>
      <c r="C75" s="3" t="inlineStr">
        <is>
          <t>95 (Không)</t>
        </is>
      </c>
      <c r="D75" s="3" t="inlineStr">
        <is>
          <t>24 (Không)</t>
        </is>
      </c>
      <c r="E75" s="3" t="inlineStr">
        <is>
          <t>94 (Không)</t>
        </is>
      </c>
      <c r="F75" s="3" t="inlineStr">
        <is>
          <t>---</t>
        </is>
      </c>
      <c r="G75" s="7" t="inlineStr">
        <is>
          <t>16, 30 (TRƯỢT ❌)</t>
        </is>
      </c>
      <c r="H75" s="7" t="inlineStr">
        <is>
          <t>TRƯỢT KHUNG ❌</t>
        </is>
      </c>
      <c r="I75" s="3" t="inlineStr">
        <is>
          <t>02, 03, 07, 08, 11, 12, 16, 17, 20, 21, 25, 26, 30, 34, 35, 39, 43, 44, 48, 49, 52, 53, 57, 58, 61, 62, 66, 67, 70, 71, 75, 76, 80, 84, 85, 89, 93, 94, 98, 99 (40 số)</t>
        </is>
      </c>
      <c r="J75" s="3" t="inlineStr">
        <is>
          <t>02, 03, 07, 08, 11, 12, 16, 17, 20, 21, 25, 26, 30, 34, 35, 39, 43, 44, 48, 49 (20 số)</t>
        </is>
      </c>
      <c r="K75" s="3" t="inlineStr">
        <is>
          <t>02, 03, 07, 08, 11, 12, 16, 17, 20, 21, 25, 26, 30, 34, 35, 39, 43, 44, 48, 49 (20 số)</t>
        </is>
      </c>
    </row>
    <row r="76">
      <c r="A76" s="2" t="n">
        <v>74</v>
      </c>
      <c r="B76" s="2" t="inlineStr">
        <is>
          <t>Thứ năm ngày 19-03-2026</t>
        </is>
      </c>
      <c r="C76" s="3" t="inlineStr">
        <is>
          <t>24 (Trúng)</t>
        </is>
      </c>
      <c r="D76" s="3" t="inlineStr">
        <is>
          <t>94 (Không)</t>
        </is>
      </c>
      <c r="E76" s="3" t="inlineStr">
        <is>
          <t>46 (Không)</t>
        </is>
      </c>
      <c r="F76" s="3" t="inlineStr">
        <is>
          <t>---</t>
        </is>
      </c>
      <c r="G76" s="7" t="inlineStr">
        <is>
          <t>06, 52 (TRƯỢT ❌)</t>
        </is>
      </c>
      <c r="H76" s="6" t="inlineStr">
        <is>
          <t>TRÚNG N1 🎯</t>
        </is>
      </c>
      <c r="I76" s="3" t="inlineStr">
        <is>
          <t>01, 02, 06, 07, 10, 11, 15, 16, 20, 24, 25, 29, 33, 34, 38, 39, 42, 43, 47, 48, 51, 52, 56, 57, 60, 61, 65, 66, 70, 74, 75, 79, 83, 84, 88, 89, 92, 93, 97, 98 (40 số)</t>
        </is>
      </c>
      <c r="J76" s="3" t="inlineStr">
        <is>
          <t>51, 52, 56, 57, 60, 61, 65, 66, 70, 74, 75, 79, 83, 84, 88, 89, 92, 93, 97, 98 (20 số)</t>
        </is>
      </c>
      <c r="K76" s="3" t="inlineStr">
        <is>
          <t>51, 52, 56, 57, 60, 61, 65, 66, 70, 74, 75, 79, 83, 84, 88, 89, 92, 93, 97, 98 (20 số)</t>
        </is>
      </c>
    </row>
    <row r="77">
      <c r="A77" s="2" t="n">
        <v>75</v>
      </c>
      <c r="B77" s="2" t="inlineStr">
        <is>
          <t>Thứ sáu ngày 20-03-2026</t>
        </is>
      </c>
      <c r="C77" s="3" t="inlineStr">
        <is>
          <t>94 (Trúng)</t>
        </is>
      </c>
      <c r="D77" s="3" t="inlineStr">
        <is>
          <t>46 (Không)</t>
        </is>
      </c>
      <c r="E77" s="3" t="inlineStr">
        <is>
          <t>14 (Không)</t>
        </is>
      </c>
      <c r="F77" s="3" t="inlineStr">
        <is>
          <t>---</t>
        </is>
      </c>
      <c r="G77" s="7" t="inlineStr">
        <is>
          <t>44, 57 (TRƯỢT ❌)</t>
        </is>
      </c>
      <c r="H77" s="6" t="inlineStr">
        <is>
          <t>TRÚNG N1 🎯</t>
        </is>
      </c>
      <c r="I77" s="3" t="inlineStr">
        <is>
          <t>02, 03, 07, 08, 11, 12, 16, 17, 20, 21, 25, 26, 30, 34, 35, 39, 43, 44, 48, 49, 52, 53, 57, 58, 61, 62, 66, 67, 70, 71, 75, 76, 80, 84, 85, 89, 93, 94, 98, 99 (40 số)</t>
        </is>
      </c>
      <c r="J77" s="3" t="inlineStr">
        <is>
          <t>02, 03, 07, 08, 11, 12, 16, 17, 20, 21, 25, 26, 30, 34, 35, 39, 43, 44, 48, 49 (20 số)</t>
        </is>
      </c>
      <c r="K77" s="3" t="inlineStr">
        <is>
          <t>02, 03, 07, 08, 11, 12, 16, 17, 20, 21, 25, 26, 30, 34, 35, 39, 43, 44, 48, 49 (20 số)</t>
        </is>
      </c>
    </row>
    <row r="78">
      <c r="A78" s="2" t="n">
        <v>76</v>
      </c>
      <c r="B78" s="2" t="inlineStr">
        <is>
          <t>Thứ bảy ngày 21-03-2026</t>
        </is>
      </c>
      <c r="C78" s="3" t="inlineStr">
        <is>
          <t>46 (Không)</t>
        </is>
      </c>
      <c r="D78" s="3" t="inlineStr">
        <is>
          <t>14 (Không)</t>
        </is>
      </c>
      <c r="E78" s="3" t="inlineStr">
        <is>
          <t>29 (Không)</t>
        </is>
      </c>
      <c r="F78" s="3" t="inlineStr">
        <is>
          <t>---</t>
        </is>
      </c>
      <c r="G78" s="7" t="inlineStr">
        <is>
          <t>26, 43 (TRƯỢT ❌)</t>
        </is>
      </c>
      <c r="H78" s="7" t="inlineStr">
        <is>
          <t>TRƯỢT KHUNG ❌</t>
        </is>
      </c>
      <c r="I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8" s="3" t="inlineStr">
        <is>
          <t>51, 52, 53, 56, 57, 58, 60, 61, 62, 66, 67, 70, 71, 74, 75, 76, 79, 80, 83, 84, 85, 88, 89, 93, 94, 97, 98, 99 (28 số)</t>
        </is>
      </c>
      <c r="K78" s="3" t="inlineStr">
        <is>
          <t>51, 52, 53, 56, 57, 58, 60, 61, 62, 66, 67, 70, 71, 74, 75, 76, 79, 80, 83, 84, 85, 88, 89, 93, 94, 97, 98, 99 (28 số)</t>
        </is>
      </c>
    </row>
    <row r="79">
      <c r="A79" s="2" t="n">
        <v>77</v>
      </c>
      <c r="B79" s="2" t="inlineStr">
        <is>
          <t>Chủ nhật ngày 22-03-2026</t>
        </is>
      </c>
      <c r="C79" s="3" t="inlineStr">
        <is>
          <t>14 (Không)</t>
        </is>
      </c>
      <c r="D79" s="3" t="inlineStr">
        <is>
          <t>29 (Không)</t>
        </is>
      </c>
      <c r="E79" s="3" t="inlineStr">
        <is>
          <t>88 (Trúng)</t>
        </is>
      </c>
      <c r="F79" s="3" t="inlineStr">
        <is>
          <t>---</t>
        </is>
      </c>
      <c r="G79" s="7" t="inlineStr">
        <is>
          <t>11, 24 (TRƯỢT ❌)</t>
        </is>
      </c>
      <c r="H79" s="6" t="inlineStr">
        <is>
          <t>TRÚNG N3 (Siêu Lọc 🎯)</t>
        </is>
      </c>
      <c r="I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79" s="3" t="inlineStr">
        <is>
          <t>51, 52, 53, 56, 57, 58, 60, 61, 62, 66, 67, 70, 71, 74, 75, 76, 79, 80, 83, 84, 85, 88, 89, 93, 94, 97, 98, 99 (28 số)</t>
        </is>
      </c>
      <c r="K79" s="3" t="inlineStr">
        <is>
          <t>51, 52, 53, 56, 57, 58, 60, 61, 62, 66, 67, 70, 71, 74, 75, 76, 79, 80, 83, 84, 85, 88, 89, 93, 94, 97, 98, 99 (28 số)</t>
        </is>
      </c>
    </row>
    <row r="80">
      <c r="A80" s="2" t="n">
        <v>78</v>
      </c>
      <c r="B80" s="2" t="inlineStr">
        <is>
          <t>Thứ hai ngày 23-03-2026</t>
        </is>
      </c>
      <c r="C80" s="3" t="inlineStr">
        <is>
          <t>29 (Trúng)</t>
        </is>
      </c>
      <c r="D80" s="3" t="inlineStr">
        <is>
          <t>88 (Trúng)</t>
        </is>
      </c>
      <c r="E80" s="3" t="inlineStr">
        <is>
          <t>93 (Trúng)</t>
        </is>
      </c>
      <c r="F80" s="3" t="inlineStr">
        <is>
          <t>---</t>
        </is>
      </c>
      <c r="G80" s="6" t="inlineStr">
        <is>
          <t>29, 44 (TRÚNG 🎯)</t>
        </is>
      </c>
      <c r="H80" s="6" t="inlineStr">
        <is>
          <t>TRÚNG N1 🎯</t>
        </is>
      </c>
      <c r="I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80" s="3" t="inlineStr">
        <is>
          <t>51, 52, 53, 56, 57, 58, 60, 61, 62, 66, 67, 70, 71, 74, 75, 76, 79, 80, 83, 84, 85, 88, 89, 93, 94, 97, 98, 99 (28 số)</t>
        </is>
      </c>
      <c r="K80" s="3" t="inlineStr">
        <is>
          <t>51, 52, 53, 57, 58, 60, 61, 62, 65, 66, 67, 70, 71, 74, 75, 76, 79, 80, 83, 84, 85, 88, 89, 93, 94, 97, 98, 99 (28 số)</t>
        </is>
      </c>
    </row>
    <row r="81">
      <c r="A81" s="2" t="n">
        <v>79</v>
      </c>
      <c r="B81" s="2" t="inlineStr">
        <is>
          <t>Thứ ba ngày 24-03-2026</t>
        </is>
      </c>
      <c r="C81" s="3" t="inlineStr">
        <is>
          <t>88 (Trúng)</t>
        </is>
      </c>
      <c r="D81" s="3" t="inlineStr">
        <is>
          <t>93 (Không)</t>
        </is>
      </c>
      <c r="E81" s="3" t="inlineStr">
        <is>
          <t>32 (Trúng)</t>
        </is>
      </c>
      <c r="F81" s="3" t="inlineStr">
        <is>
          <t>---</t>
        </is>
      </c>
      <c r="G81" s="7" t="inlineStr">
        <is>
          <t>07, 29 (TRƯỢT ❌)</t>
        </is>
      </c>
      <c r="H81" s="6" t="inlineStr">
        <is>
          <t>TRÚNG N1 🎯</t>
        </is>
      </c>
      <c r="I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81" s="3" t="inlineStr">
        <is>
          <t>00, 01, 02, 07, 10, 11, 14, 15, 16, 19, 20, 23, 24, 25, 28, 29, 32, 33, 34, 37, 38, 39, 41, 42, 43, 46, 47, 48 (28 số)</t>
        </is>
      </c>
      <c r="K81" s="3" t="inlineStr">
        <is>
          <t>00, 01, 02, 07, 10, 11, 14, 15, 16, 19, 20, 23, 24, 25, 28, 29, 32, 33, 34, 37, 38, 39, 41, 42, 43, 46, 47, 48 (28 số)</t>
        </is>
      </c>
    </row>
    <row r="82">
      <c r="A82" s="2" t="n">
        <v>80</v>
      </c>
      <c r="B82" s="2" t="inlineStr">
        <is>
          <t>Thứ tư ngày 25-03-2026</t>
        </is>
      </c>
      <c r="C82" s="3" t="inlineStr">
        <is>
          <t>93 (Không)</t>
        </is>
      </c>
      <c r="D82" s="3" t="inlineStr">
        <is>
          <t>32 (Trúng)</t>
        </is>
      </c>
      <c r="E82" s="3" t="inlineStr">
        <is>
          <t>22 (Không)</t>
        </is>
      </c>
      <c r="F82" s="3" t="inlineStr">
        <is>
          <t>---</t>
        </is>
      </c>
      <c r="G82" s="7" t="inlineStr">
        <is>
          <t>00, 24 (TRƯỢT ❌)</t>
        </is>
      </c>
      <c r="H82" s="6" t="inlineStr">
        <is>
          <t>TRÚNG N2 (Siêu Lọc 🎯)</t>
        </is>
      </c>
      <c r="I82" s="3" t="inlineStr">
        <is>
          <t>00, 01, 05, 06, 10, 14, 15, 19, 23, 24, 28, 29, 32, 33, 37, 38, 41, 42, 46, 47, 50, 51, 55, 56, 60, 64, 65, 69, 73, 74, 78, 79, 82, 83, 87, 88, 91, 92, 96, 97 (40 số)</t>
        </is>
      </c>
      <c r="J82" s="3" t="inlineStr">
        <is>
          <t>00, 01, 05, 06, 10, 14, 15, 19, 23, 24, 28, 29, 32, 33, 37, 38, 41, 42, 46, 47 (20 số)</t>
        </is>
      </c>
      <c r="K82" s="3" t="inlineStr">
        <is>
          <t>00, 01, 05, 06, 10, 14, 15, 19, 23, 24, 28, 29, 32, 33, 37, 38, 41, 42, 46, 47 (20 số)</t>
        </is>
      </c>
    </row>
    <row r="83">
      <c r="A83" s="2" t="n">
        <v>81</v>
      </c>
      <c r="B83" s="2" t="inlineStr">
        <is>
          <t>Thứ năm ngày 26-03-2026</t>
        </is>
      </c>
      <c r="C83" s="3" t="inlineStr">
        <is>
          <t>32 (Trúng)</t>
        </is>
      </c>
      <c r="D83" s="3" t="inlineStr">
        <is>
          <t>22 (Không)</t>
        </is>
      </c>
      <c r="E83" s="3" t="inlineStr">
        <is>
          <t>88 (Không)</t>
        </is>
      </c>
      <c r="F83" s="3" t="inlineStr">
        <is>
          <t>---</t>
        </is>
      </c>
      <c r="G83" s="7" t="inlineStr">
        <is>
          <t>11, 82 (TRƯỢT ❌)</t>
        </is>
      </c>
      <c r="H83" s="6" t="inlineStr">
        <is>
          <t>TRÚNG N1 🎯</t>
        </is>
      </c>
      <c r="I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3" s="3" t="inlineStr">
        <is>
          <t>50, 52, 54, 57, 59, 61, 63, 64, 66, 68, 69, 70, 72, 73, 75, 77, 78, 81, 84, 86, 87, 89, 90, 91, 93, 95, 96, 98 (28 số)</t>
        </is>
      </c>
      <c r="K83" s="3" t="inlineStr">
        <is>
          <t>50, 52, 54, 57, 59, 61, 63, 64, 66, 68, 69, 70, 72, 73, 75, 77, 78, 81, 84, 86, 87, 89, 90, 91, 93, 95, 96, 98 (28 số)</t>
        </is>
      </c>
    </row>
    <row r="84">
      <c r="A84" s="2" t="n">
        <v>82</v>
      </c>
      <c r="B84" s="2" t="inlineStr">
        <is>
          <t>Thứ sáu ngày 27-03-2026</t>
        </is>
      </c>
      <c r="C84" s="3" t="inlineStr">
        <is>
          <t>22 (Trúng)</t>
        </is>
      </c>
      <c r="D84" s="3" t="inlineStr">
        <is>
          <t>88 (Trúng)</t>
        </is>
      </c>
      <c r="E84" s="3" t="inlineStr">
        <is>
          <t>64 (Không)</t>
        </is>
      </c>
      <c r="F84" s="3" t="inlineStr">
        <is>
          <t>---</t>
        </is>
      </c>
      <c r="G84" s="7" t="inlineStr">
        <is>
          <t>04, 10 (TRƯỢT ❌)</t>
        </is>
      </c>
      <c r="H84" s="6" t="inlineStr">
        <is>
          <t>TRÚNG N1 🎯</t>
        </is>
      </c>
      <c r="I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84" s="3" t="inlineStr">
        <is>
          <t>51, 52, 54, 56, 57, 59, 60, 61, 63, 66, 68, 70, 72, 74, 75, 77, 79, 81, 83, 84, 86, 88, 89, 90, 93, 95, 97, 98 (28 số)</t>
        </is>
      </c>
      <c r="K84" s="3" t="inlineStr">
        <is>
          <t>51, 52, 54, 57, 59, 60, 61, 63, 65, 66, 68, 70, 72, 74, 75, 77, 79, 81, 83, 84, 86, 88, 89, 90, 93, 95, 97, 98 (28 số)</t>
        </is>
      </c>
    </row>
    <row r="85">
      <c r="A85" s="2" t="n">
        <v>83</v>
      </c>
      <c r="B85" s="2" t="inlineStr">
        <is>
          <t>Thứ bảy ngày 28-03-2026</t>
        </is>
      </c>
      <c r="C85" s="3" t="inlineStr">
        <is>
          <t>88 (Không)</t>
        </is>
      </c>
      <c r="D85" s="3" t="inlineStr">
        <is>
          <t>64 (Không)</t>
        </is>
      </c>
      <c r="E85" s="3" t="inlineStr">
        <is>
          <t>91 (Không)</t>
        </is>
      </c>
      <c r="F85" s="3" t="inlineStr">
        <is>
          <t>---</t>
        </is>
      </c>
      <c r="G85" s="7" t="inlineStr">
        <is>
          <t>09, 18 (TRƯỢT ❌)</t>
        </is>
      </c>
      <c r="H85" s="7" t="inlineStr">
        <is>
          <t>TRƯỢT KHUNG ❌</t>
        </is>
      </c>
      <c r="I8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85" s="3" t="inlineStr">
        <is>
          <t>02, 03, 04, 07, 09, 11, 13, 16, 17, 18, 20, 21, 22, 25, 26, 27, 30, 31, 34, 35, 36, 39, 40, 43, 44, 45, 48, 49 (28 số)</t>
        </is>
      </c>
      <c r="K85" s="3" t="inlineStr">
        <is>
          <t>02, 03, 04, 07, 09, 11, 13, 16, 17, 18, 20, 21, 22, 25, 26, 27, 30, 31, 34, 35, 36, 39, 40, 43, 44, 45, 48, 49 (28 số)</t>
        </is>
      </c>
    </row>
    <row r="86">
      <c r="A86" s="2" t="n">
        <v>84</v>
      </c>
      <c r="B86" s="2" t="inlineStr">
        <is>
          <t>Chủ nhật ngày 29-03-2026</t>
        </is>
      </c>
      <c r="C86" s="3" t="inlineStr">
        <is>
          <t>64 (Không)</t>
        </is>
      </c>
      <c r="D86" s="3" t="inlineStr">
        <is>
          <t>91 (Không)</t>
        </is>
      </c>
      <c r="E86" s="3" t="inlineStr">
        <is>
          <t>66 (Không)</t>
        </is>
      </c>
      <c r="F86" s="3" t="inlineStr">
        <is>
          <t>---</t>
        </is>
      </c>
      <c r="G86" s="7" t="inlineStr">
        <is>
          <t>06, 13 (TRƯỢT ❌)</t>
        </is>
      </c>
      <c r="H86" s="7" t="inlineStr">
        <is>
          <t>TRƯỢT KHUNG ❌</t>
        </is>
      </c>
      <c r="I86" s="3" t="inlineStr">
        <is>
          <t>01, 04, 06, 09, 10, 13, 15, 18, 22, 24, 27, 29, 31, 33, 36, 38, 40, 42, 45, 47, 51, 54, 56, 59, 60, 63, 65, 68, 72, 74, 77, 79, 81, 83, 86, 88, 90, 92, 95, 97 (40 số)</t>
        </is>
      </c>
      <c r="J86" s="3" t="inlineStr">
        <is>
          <t>01, 04, 06, 09, 10, 13, 15, 18, 22, 24, 27, 29, 31, 33, 36, 38, 40, 42, 45, 47 (20 số)</t>
        </is>
      </c>
      <c r="K86" s="3" t="inlineStr">
        <is>
          <t>01, 04, 06, 09, 10, 13, 15, 18, 22, 24, 27, 29, 31, 33, 36, 38, 40, 42, 45, 47 (20 số)</t>
        </is>
      </c>
    </row>
    <row r="87">
      <c r="A87" s="2" t="n">
        <v>85</v>
      </c>
      <c r="B87" s="2" t="inlineStr">
        <is>
          <t>Thứ hai ngày 30-03-2026</t>
        </is>
      </c>
      <c r="C87" s="3" t="inlineStr">
        <is>
          <t>91 (Không)</t>
        </is>
      </c>
      <c r="D87" s="3" t="inlineStr">
        <is>
          <t>66 (Không)</t>
        </is>
      </c>
      <c r="E87" s="3" t="inlineStr">
        <is>
          <t>67 (Không)</t>
        </is>
      </c>
      <c r="F87" s="3" t="inlineStr">
        <is>
          <t>---</t>
        </is>
      </c>
      <c r="G87" s="7" t="inlineStr">
        <is>
          <t>07, 20 (TRƯỢT ❌)</t>
        </is>
      </c>
      <c r="H87" s="7" t="inlineStr">
        <is>
          <t>TRƯỢT KHUNG ❌</t>
        </is>
      </c>
      <c r="I87" s="3" t="inlineStr">
        <is>
          <t>02, 07, 11, 16, 20, 25, 34, 39, 43, 48, 52, 57, 61, 66, 70, 75, 84, 89, 93, 98 (20 số)</t>
        </is>
      </c>
      <c r="J87" s="3" t="inlineStr">
        <is>
          <t>02, 07, 11, 16, 20, 25, 34, 39, 43, 48 (10 số)</t>
        </is>
      </c>
      <c r="K87" s="3" t="inlineStr">
        <is>
          <t>02, 07, 11, 16, 20, 25, 34, 39, 43, 48 (10 số)</t>
        </is>
      </c>
    </row>
    <row r="88">
      <c r="A88" s="2" t="n">
        <v>86</v>
      </c>
      <c r="B88" s="2" t="inlineStr">
        <is>
          <t>Thứ ba ngày 31-03-2026</t>
        </is>
      </c>
      <c r="C88" s="3" t="inlineStr">
        <is>
          <t>66 (Trúng)</t>
        </is>
      </c>
      <c r="D88" s="3" t="inlineStr">
        <is>
          <t>67 (Không)</t>
        </is>
      </c>
      <c r="E88" s="3" t="inlineStr">
        <is>
          <t>44 (Không)</t>
        </is>
      </c>
      <c r="F88" s="3" t="inlineStr">
        <is>
          <t>---</t>
        </is>
      </c>
      <c r="G88" s="7" t="inlineStr">
        <is>
          <t>18, 23 (TRƯỢT ❌)</t>
        </is>
      </c>
      <c r="H88" s="6" t="inlineStr">
        <is>
          <t>TRÚNG N1 🎯</t>
        </is>
      </c>
      <c r="I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88" s="3" t="inlineStr">
        <is>
          <t>02, 04, 07, 09, 11, 13, 14, 16, 18, 19, 20, 22, 23, 25, 27, 28, 31, 32, 34, 36, 37, 39, 40, 41, 43, 45, 46, 48 (28 số)</t>
        </is>
      </c>
      <c r="K88" s="3" t="inlineStr">
        <is>
          <t>02, 04, 07, 09, 11, 13, 14, 16, 18, 19, 20, 22, 23, 25, 27, 28, 31, 32, 34, 36, 37, 39, 40, 41, 43, 45, 46, 48 (28 số)</t>
        </is>
      </c>
    </row>
    <row r="89">
      <c r="A89" s="2" t="n">
        <v>87</v>
      </c>
      <c r="B89" s="2" t="inlineStr">
        <is>
          <t>Thứ tư ngày 01-04-2026</t>
        </is>
      </c>
      <c r="C89" s="3" t="inlineStr">
        <is>
          <t>67 (Không)</t>
        </is>
      </c>
      <c r="D89" s="3" t="inlineStr">
        <is>
          <t>44 (Không)</t>
        </is>
      </c>
      <c r="E89" s="3" t="inlineStr">
        <is>
          <t>37 (Trúng)</t>
        </is>
      </c>
      <c r="F89" s="3" t="inlineStr">
        <is>
          <t>---</t>
        </is>
      </c>
      <c r="G89" s="7" t="inlineStr">
        <is>
          <t>16, 20 (TRƯỢT ❌)</t>
        </is>
      </c>
      <c r="H89" s="6" t="inlineStr">
        <is>
          <t>TRÚNG N3 (Siêu Lọc 🎯)</t>
        </is>
      </c>
      <c r="I89" s="3" t="inlineStr">
        <is>
          <t>00, 02, 05, 07, 11, 14, 16, 19, 20, 23, 25, 28, 32, 34, 37, 39, 41, 43, 46, 48, 50, 52, 55, 57, 61, 64, 66, 69, 70, 73, 75, 78, 82, 84, 87, 89, 91, 93, 96, 98 (40 số)</t>
        </is>
      </c>
      <c r="J89" s="3" t="inlineStr">
        <is>
          <t>00, 02, 05, 07, 11, 14, 16, 19, 20, 23, 25, 28, 32, 34, 37, 39, 41, 43, 46, 48 (20 số)</t>
        </is>
      </c>
      <c r="K89" s="3" t="inlineStr">
        <is>
          <t>00, 02, 05, 07, 11, 14, 16, 19, 20, 23, 25, 28, 32, 34, 37, 39, 41, 43, 46, 48 (20 số)</t>
        </is>
      </c>
    </row>
    <row r="90">
      <c r="A90" s="2" t="n">
        <v>88</v>
      </c>
      <c r="B90" s="2" t="inlineStr">
        <is>
          <t>Thứ năm ngày 02-04-2026</t>
        </is>
      </c>
      <c r="C90" s="3" t="inlineStr">
        <is>
          <t>44 (Không)</t>
        </is>
      </c>
      <c r="D90" s="3" t="inlineStr">
        <is>
          <t>37 (Không)</t>
        </is>
      </c>
      <c r="E90" s="3" t="inlineStr">
        <is>
          <t>55 (Không)</t>
        </is>
      </c>
      <c r="F90" s="3" t="inlineStr">
        <is>
          <t>---</t>
        </is>
      </c>
      <c r="G90" s="7" t="inlineStr">
        <is>
          <t>39, 40 (TRƯỢT ❌)</t>
        </is>
      </c>
      <c r="H90" s="7" t="inlineStr">
        <is>
          <t>TRƯỢT KHUNG ❌</t>
        </is>
      </c>
      <c r="I90" s="3" t="inlineStr">
        <is>
          <t>02, 04, 07, 09, 11, 13, 16, 18, 20, 22, 25, 27, 31, 34, 36, 39, 40, 43, 45, 48, 52, 54, 57, 59, 61, 63, 66, 68, 70, 72, 75, 77, 81, 84, 86, 89, 90, 93, 95, 98 (40 số)</t>
        </is>
      </c>
      <c r="J90" s="3" t="inlineStr">
        <is>
          <t>52, 54, 57, 59, 61, 63, 66, 68, 70, 72, 75, 77, 81, 84, 86, 89, 90, 93, 95, 98 (20 số)</t>
        </is>
      </c>
      <c r="K90" s="3" t="inlineStr">
        <is>
          <t>52, 54, 57, 59, 61, 63, 66, 68, 70, 72, 75, 77, 81, 84, 86, 89, 90, 93, 95, 98 (20 số)</t>
        </is>
      </c>
    </row>
    <row r="91">
      <c r="A91" s="2" t="n">
        <v>89</v>
      </c>
      <c r="B91" s="2" t="inlineStr">
        <is>
          <t>Thứ sáu ngày 03-04-2026</t>
        </is>
      </c>
      <c r="C91" s="3" t="inlineStr">
        <is>
          <t>37 (Không)</t>
        </is>
      </c>
      <c r="D91" s="3" t="inlineStr">
        <is>
          <t>55 (Không)</t>
        </is>
      </c>
      <c r="E91" s="3" t="inlineStr">
        <is>
          <t>06 (Không)</t>
        </is>
      </c>
      <c r="F91" s="3" t="inlineStr">
        <is>
          <t>---</t>
        </is>
      </c>
      <c r="G91" s="7" t="inlineStr">
        <is>
          <t>15, 29 (TRƯỢT ❌)</t>
        </is>
      </c>
      <c r="H91" s="7" t="inlineStr">
        <is>
          <t>TRƯỢT KHUNG ❌</t>
        </is>
      </c>
      <c r="I91" s="3" t="inlineStr">
        <is>
          <t>01, 04, 06, 09, 10, 13, 15, 18, 22, 24, 27, 29, 31, 33, 36, 38, 40, 42, 45, 47, 51, 54, 56, 59, 60, 63, 65, 68, 72, 74, 77, 79, 81, 83, 86, 88, 90, 92, 95, 97 (40 số)</t>
        </is>
      </c>
      <c r="J91" s="3" t="inlineStr">
        <is>
          <t>51, 54, 56, 59, 60, 63, 65, 68, 72, 74, 77, 79, 81, 83, 86, 88, 90, 92, 95, 97 (20 số)</t>
        </is>
      </c>
      <c r="K91" s="3" t="inlineStr">
        <is>
          <t>51, 54, 56, 59, 60, 63, 65, 68, 72, 74, 77, 79, 81, 83, 86, 88, 90, 92, 95, 97 (20 số)</t>
        </is>
      </c>
    </row>
    <row r="92">
      <c r="A92" s="2" t="n">
        <v>90</v>
      </c>
      <c r="B92" s="2" t="inlineStr">
        <is>
          <t>Thứ bảy ngày 04-04-2026</t>
        </is>
      </c>
      <c r="C92" s="3" t="inlineStr">
        <is>
          <t>55 (Không)</t>
        </is>
      </c>
      <c r="D92" s="3" t="inlineStr">
        <is>
          <t>06 (Không)</t>
        </is>
      </c>
      <c r="E92" s="3" t="inlineStr">
        <is>
          <t>82 (Không)</t>
        </is>
      </c>
      <c r="F92" s="3" t="inlineStr">
        <is>
          <t>---</t>
        </is>
      </c>
      <c r="G92" s="7" t="inlineStr">
        <is>
          <t>40, 48 (TRƯỢT ❌)</t>
        </is>
      </c>
      <c r="H92" s="7" t="inlineStr">
        <is>
          <t>TRƯỢT KHUNG ❌</t>
        </is>
      </c>
      <c r="I92" s="3" t="inlineStr">
        <is>
          <t>02, 04, 07, 09, 11, 13, 16, 18, 20, 22, 25, 27, 31, 34, 36, 39, 40, 43, 45, 48, 52, 54, 57, 59, 61, 63, 66, 68, 70, 72, 75, 77, 81, 84, 86, 89, 90, 93, 95, 98 (40 số)</t>
        </is>
      </c>
      <c r="J92" s="3" t="inlineStr">
        <is>
          <t>02, 04, 07, 09, 11, 13, 16, 18, 20, 22, 25, 27, 31, 34, 36, 39, 40, 43, 45, 48 (20 số)</t>
        </is>
      </c>
      <c r="K92" s="3" t="inlineStr">
        <is>
          <t>02, 04, 07, 09, 11, 13, 16, 18, 20, 22, 25, 27, 31, 34, 36, 39, 40, 43, 45, 48 (20 số)</t>
        </is>
      </c>
    </row>
    <row r="93">
      <c r="A93" s="2" t="n">
        <v>91</v>
      </c>
      <c r="B93" s="2" t="inlineStr">
        <is>
          <t>Chủ nhật ngày 05-04-2026</t>
        </is>
      </c>
      <c r="C93" s="3" t="inlineStr">
        <is>
          <t>06 (Không)</t>
        </is>
      </c>
      <c r="D93" s="3" t="inlineStr">
        <is>
          <t>82 (Trúng)</t>
        </is>
      </c>
      <c r="E93" s="3" t="inlineStr">
        <is>
          <t>50 (Trúng)</t>
        </is>
      </c>
      <c r="F93" s="3" t="inlineStr">
        <is>
          <t>---</t>
        </is>
      </c>
      <c r="G93" s="7" t="inlineStr">
        <is>
          <t>41, 55 (TRƯỢT ❌)</t>
        </is>
      </c>
      <c r="H93" s="6" t="inlineStr">
        <is>
          <t>TRÚNG N2 (Siêu Lọc 🎯)</t>
        </is>
      </c>
      <c r="I93" s="3" t="inlineStr">
        <is>
          <t>00, 02, 05, 07, 11, 14, 16, 19, 20, 23, 25, 28, 32, 34, 37, 39, 41, 43, 46, 48, 50, 52, 55, 57, 61, 64, 66, 69, 70, 73, 75, 78, 82, 84, 87, 89, 91, 93, 96, 98 (40 số)</t>
        </is>
      </c>
      <c r="J93" s="3" t="inlineStr">
        <is>
          <t>50, 52, 55, 57, 61, 64, 66, 69, 70, 73, 75, 78, 82, 84, 87, 89, 91, 93, 96, 98 (20 số)</t>
        </is>
      </c>
      <c r="K93" s="3" t="inlineStr">
        <is>
          <t>50, 52, 55, 57, 61, 64, 66, 69, 70, 73, 75, 78, 82, 84, 87, 89, 91, 93, 96, 98 (20 số)</t>
        </is>
      </c>
    </row>
    <row r="94">
      <c r="A94" s="2" t="n">
        <v>92</v>
      </c>
      <c r="B94" s="2" t="inlineStr">
        <is>
          <t>Thứ hai ngày 06-04-2026</t>
        </is>
      </c>
      <c r="C94" s="3" t="inlineStr">
        <is>
          <t>82 (Trúng)</t>
        </is>
      </c>
      <c r="D94" s="3" t="inlineStr">
        <is>
          <t>50 (Không)</t>
        </is>
      </c>
      <c r="E94" s="3" t="inlineStr">
        <is>
          <t>25 (Không)</t>
        </is>
      </c>
      <c r="F94" s="3" t="inlineStr">
        <is>
          <t>---</t>
        </is>
      </c>
      <c r="G94" s="7" t="inlineStr">
        <is>
          <t>06, 33 (TRƯỢT ❌)</t>
        </is>
      </c>
      <c r="H94" s="6" t="inlineStr">
        <is>
          <t>TRÚNG N1 🎯</t>
        </is>
      </c>
      <c r="I94" s="3" t="inlineStr">
        <is>
          <t>00, 01, 05, 06, 10, 14, 15, 19, 23, 24, 28, 29, 32, 33, 37, 38, 41, 42, 46, 47, 50, 51, 55, 56, 60, 64, 65, 69, 73, 74, 78, 79, 82, 83, 87, 88, 91, 92, 96, 97 (40 số)</t>
        </is>
      </c>
      <c r="J94" s="3" t="inlineStr">
        <is>
          <t>00, 01, 05, 06, 10, 14, 15, 19, 23, 24, 28, 29, 32, 33, 37, 38, 41, 42, 46, 47 (20 số)</t>
        </is>
      </c>
      <c r="K94" s="3" t="inlineStr">
        <is>
          <t>00, 01, 05, 06, 10, 14, 15, 19, 23, 24, 28, 29, 32, 33, 37, 38, 41, 42, 46, 47 (20 số)</t>
        </is>
      </c>
    </row>
    <row r="95">
      <c r="A95" s="2" t="n">
        <v>93</v>
      </c>
      <c r="B95" s="2" t="inlineStr">
        <is>
          <t>Thứ ba ngày 07-04-2026</t>
        </is>
      </c>
      <c r="C95" s="3" t="inlineStr">
        <is>
          <t>50 (Không)</t>
        </is>
      </c>
      <c r="D95" s="3" t="inlineStr">
        <is>
          <t>25 (Không)</t>
        </is>
      </c>
      <c r="E95" s="3" t="inlineStr">
        <is>
          <t>20 (Không)</t>
        </is>
      </c>
      <c r="F95" s="3" t="inlineStr">
        <is>
          <t>---</t>
        </is>
      </c>
      <c r="G95" s="7" t="inlineStr">
        <is>
          <t>10, 72 (TRƯỢT ❌)</t>
        </is>
      </c>
      <c r="H95" s="7" t="inlineStr">
        <is>
          <t>TRƯỢT KHUNG ❌</t>
        </is>
      </c>
      <c r="I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95" s="3" t="inlineStr">
        <is>
          <t>01, 03, 04, 08, 09, 10, 12, 13, 17, 18, 21, 22, 24, 26, 27, 29, 30, 31, 33, 35, 36, 38, 40, 42, 44, 45, 47, 49 (28 số)</t>
        </is>
      </c>
      <c r="K95" s="3" t="inlineStr">
        <is>
          <t>01, 03, 04, 08, 09, 10, 12, 13, 17, 18, 21, 22, 24, 26, 27, 29, 30, 31, 33, 35, 36, 38, 40, 42, 44, 45, 47, 49 (28 số)</t>
        </is>
      </c>
    </row>
    <row r="96">
      <c r="A96" s="2" t="n">
        <v>94</v>
      </c>
      <c r="B96" s="2" t="inlineStr">
        <is>
          <t>Thứ tư ngày 08-04-2026</t>
        </is>
      </c>
      <c r="C96" s="3" t="inlineStr">
        <is>
          <t>25 (Không)</t>
        </is>
      </c>
      <c r="D96" s="3" t="inlineStr">
        <is>
          <t>20 (Không)</t>
        </is>
      </c>
      <c r="E96" s="3" t="inlineStr">
        <is>
          <t>04 (Không)</t>
        </is>
      </c>
      <c r="F96" s="3" t="inlineStr">
        <is>
          <t>---</t>
        </is>
      </c>
      <c r="G96" s="7" t="inlineStr">
        <is>
          <t>00, 26 (TRƯỢT ❌)</t>
        </is>
      </c>
      <c r="H96" s="7" t="inlineStr">
        <is>
          <t>TRƯỢT KHUNG ❌</t>
        </is>
      </c>
      <c r="I9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96" s="3" t="inlineStr">
        <is>
          <t>50, 51, 53, 56, 58, 60, 62, 64, 65, 67, 69, 71, 73, 74, 76, 78, 79, 80, 82, 83, 85, 87, 88, 91, 94, 96, 97, 99 (28 số)</t>
        </is>
      </c>
      <c r="K96" s="3" t="inlineStr">
        <is>
          <t>50, 51, 53, 56, 58, 60, 62, 64, 65, 67, 69, 71, 73, 74, 76, 78, 79, 80, 82, 83, 85, 87, 88, 91, 94, 96, 97, 99 (28 số)</t>
        </is>
      </c>
    </row>
    <row r="97">
      <c r="A97" s="2" t="n">
        <v>95</v>
      </c>
      <c r="B97" s="2" t="inlineStr">
        <is>
          <t>Thứ năm ngày 09-04-2026</t>
        </is>
      </c>
      <c r="C97" s="3" t="inlineStr">
        <is>
          <t>20 (Không)</t>
        </is>
      </c>
      <c r="D97" s="3" t="inlineStr">
        <is>
          <t>04 (Không)</t>
        </is>
      </c>
      <c r="E97" s="3" t="inlineStr">
        <is>
          <t>00 (Không)</t>
        </is>
      </c>
      <c r="F97" s="3" t="inlineStr">
        <is>
          <t>---</t>
        </is>
      </c>
      <c r="G97" s="7" t="inlineStr">
        <is>
          <t>32, 41 (TRƯỢT ❌)</t>
        </is>
      </c>
      <c r="H97" s="7" t="inlineStr">
        <is>
          <t>TRƯỢT KHUNG ❌</t>
        </is>
      </c>
      <c r="I97" s="3" t="inlineStr">
        <is>
          <t>00, 04, 05, 09, 13, 14, 18, 19, 22, 23, 27, 28, 31, 32, 36, 37, 40, 41, 45, 46, 50, 54, 55, 59, 63, 64, 68, 69, 72, 73, 77, 78, 81, 82, 86, 87, 90, 91, 95, 96 (40 số)</t>
        </is>
      </c>
      <c r="J97" s="3" t="inlineStr">
        <is>
          <t>50, 54, 55, 59, 63, 64, 68, 69, 72, 73, 77, 78, 81, 82, 86, 87, 90, 91, 95, 96 (20 số)</t>
        </is>
      </c>
      <c r="K97" s="3" t="inlineStr">
        <is>
          <t>50, 54, 55, 59, 63, 64, 68, 69, 72, 73, 77, 78, 81, 82, 86, 87, 90, 91, 95, 96 (20 số)</t>
        </is>
      </c>
    </row>
    <row r="98">
      <c r="A98" s="2" t="n">
        <v>96</v>
      </c>
      <c r="B98" s="2" t="inlineStr">
        <is>
          <t>Thứ sáu ngày 10-04-2026</t>
        </is>
      </c>
      <c r="C98" s="3" t="inlineStr">
        <is>
          <t>04 (Không)</t>
        </is>
      </c>
      <c r="D98" s="3" t="inlineStr">
        <is>
          <t>00 (Không)</t>
        </is>
      </c>
      <c r="E98" s="3" t="inlineStr">
        <is>
          <t>38 (Không)</t>
        </is>
      </c>
      <c r="F98" s="3" t="inlineStr">
        <is>
          <t>---</t>
        </is>
      </c>
      <c r="G98" s="7" t="inlineStr">
        <is>
          <t>07, 20 (TRƯỢT ❌)</t>
        </is>
      </c>
      <c r="H98" s="7" t="inlineStr">
        <is>
          <t>TRƯỢT KHUNG ❌</t>
        </is>
      </c>
      <c r="I9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98" s="3" t="inlineStr">
        <is>
          <t>50, 51, 52, 56, 57, 60, 61, 64, 65, 66, 69, 70, 73, 74, 75, 78, 79, 82, 83, 84, 87, 88, 89, 91, 93, 96, 97, 98 (28 số)</t>
        </is>
      </c>
      <c r="K98" s="3" t="inlineStr">
        <is>
          <t>50, 51, 52, 56, 57, 60, 61, 64, 65, 66, 69, 70, 73, 74, 75, 78, 79, 82, 83, 84, 87, 88, 89, 91, 93, 96, 97, 98 (28 số)</t>
        </is>
      </c>
    </row>
    <row r="99">
      <c r="A99" s="2" t="n">
        <v>97</v>
      </c>
      <c r="B99" s="2" t="inlineStr">
        <is>
          <t>Thứ bảy ngày 11-04-2026</t>
        </is>
      </c>
      <c r="C99" s="3" t="inlineStr">
        <is>
          <t>00 (Không)</t>
        </is>
      </c>
      <c r="D99" s="3" t="inlineStr">
        <is>
          <t>38 (Không)</t>
        </is>
      </c>
      <c r="E99" s="3" t="inlineStr">
        <is>
          <t>63 (Không)</t>
        </is>
      </c>
      <c r="F99" s="3" t="inlineStr">
        <is>
          <t>---</t>
        </is>
      </c>
      <c r="G99" s="7" t="inlineStr">
        <is>
          <t>16, 57 (TRƯỢT ❌)</t>
        </is>
      </c>
      <c r="H99" s="7" t="inlineStr">
        <is>
          <t>TRƯỢT KHUNG ❌</t>
        </is>
      </c>
      <c r="I99" s="3" t="inlineStr">
        <is>
          <t>02, 03, 07, 08, 11, 12, 16, 17, 20, 21, 25, 26, 30, 34, 35, 39, 43, 44, 48, 49, 52, 53, 57, 58, 61, 62, 66, 67, 70, 71, 75, 76, 80, 84, 85, 89, 93, 94, 98, 99 (40 số)</t>
        </is>
      </c>
      <c r="J99" s="3" t="inlineStr">
        <is>
          <t>52, 53, 57, 58, 61, 62, 66, 67, 70, 71, 75, 76, 80, 84, 85, 89, 93, 94, 98, 99 (20 số)</t>
        </is>
      </c>
      <c r="K99" s="3" t="inlineStr">
        <is>
          <t>52, 53, 57, 58, 61, 62, 66, 67, 70, 71, 75, 76, 80, 84, 85, 89, 93, 94, 98, 99 (20 số)</t>
        </is>
      </c>
    </row>
    <row r="100">
      <c r="A100" s="2" t="n">
        <v>98</v>
      </c>
      <c r="B100" s="2" t="inlineStr">
        <is>
          <t>Chủ nhật ngày 12-04-2026</t>
        </is>
      </c>
      <c r="C100" s="3" t="inlineStr">
        <is>
          <t>38 (Không)</t>
        </is>
      </c>
      <c r="D100" s="3" t="inlineStr">
        <is>
          <t>63 (Trúng)</t>
        </is>
      </c>
      <c r="E100" s="3" t="inlineStr">
        <is>
          <t>14 (Không)</t>
        </is>
      </c>
      <c r="F100" s="3" t="inlineStr">
        <is>
          <t>---</t>
        </is>
      </c>
      <c r="G100" s="7" t="inlineStr">
        <is>
          <t>68, 77 (TRƯỢT ❌)</t>
        </is>
      </c>
      <c r="H100" s="6" t="inlineStr">
        <is>
          <t>TRÚNG N2 (Siêu Lọc 🎯)</t>
        </is>
      </c>
      <c r="I100" s="3" t="inlineStr">
        <is>
          <t>04, 09, 13, 18, 22, 27, 31, 36, 40, 45, 54, 59, 63, 68, 72, 77, 81, 86, 90, 95 (20 số)</t>
        </is>
      </c>
      <c r="J100" s="3" t="inlineStr">
        <is>
          <t>54, 59, 63, 68, 72, 77, 81, 86, 90, 95 (10 số)</t>
        </is>
      </c>
      <c r="K100" s="3" t="inlineStr">
        <is>
          <t>54, 59, 63, 68, 72, 77, 81, 86, 90, 95 (10 số)</t>
        </is>
      </c>
    </row>
    <row r="101">
      <c r="A101" s="2" t="n">
        <v>99</v>
      </c>
      <c r="B101" s="2" t="inlineStr">
        <is>
          <t>Thứ hai ngày 13-04-2026</t>
        </is>
      </c>
      <c r="C101" s="3" t="inlineStr">
        <is>
          <t>63 (Không)</t>
        </is>
      </c>
      <c r="D101" s="3" t="inlineStr">
        <is>
          <t>14 (Trúng)</t>
        </is>
      </c>
      <c r="E101" s="3" t="inlineStr">
        <is>
          <t>35 (Không)</t>
        </is>
      </c>
      <c r="F101" s="3" t="inlineStr">
        <is>
          <t>---</t>
        </is>
      </c>
      <c r="G101" s="7" t="inlineStr">
        <is>
          <t>02, 10 (TRƯỢT ❌)</t>
        </is>
      </c>
      <c r="H101" s="6" t="inlineStr">
        <is>
          <t>TRÚNG N2 (Siêu Lọc 🎯)</t>
        </is>
      </c>
      <c r="I10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01" s="3" t="inlineStr">
        <is>
          <t>00, 01, 02, 07, 10, 11, 14, 15, 16, 19, 20, 23, 24, 25, 28, 29, 32, 33, 34, 37, 38, 39, 41, 42, 43, 46, 47, 48 (28 số)</t>
        </is>
      </c>
      <c r="K101" s="3" t="inlineStr">
        <is>
          <t>00, 01, 02, 07, 10, 11, 14, 15, 16, 19, 20, 23, 24, 25, 28, 29, 32, 33, 34, 37, 38, 39, 41, 42, 43, 46, 47, 48 (28 số)</t>
        </is>
      </c>
    </row>
    <row r="102">
      <c r="A102" s="2" t="n">
        <v>100</v>
      </c>
      <c r="B102" s="2" t="inlineStr">
        <is>
          <t>Thứ ba ngày 14-04-2026</t>
        </is>
      </c>
      <c r="C102" s="3" t="inlineStr">
        <is>
          <t>14 (Không)</t>
        </is>
      </c>
      <c r="D102" s="3" t="inlineStr">
        <is>
          <t>35 (Không)</t>
        </is>
      </c>
      <c r="E102" s="3" t="inlineStr">
        <is>
          <t>55 (Không)</t>
        </is>
      </c>
      <c r="F102" s="3" t="inlineStr">
        <is>
          <t>---</t>
        </is>
      </c>
      <c r="G102" s="7" t="inlineStr">
        <is>
          <t>13, 22 (TRƯỢT ❌)</t>
        </is>
      </c>
      <c r="H102" s="7" t="inlineStr">
        <is>
          <t>TRƯỢT KHUNG ❌</t>
        </is>
      </c>
      <c r="I1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02" s="3" t="inlineStr">
        <is>
          <t>52, 53, 54, 57, 58, 59, 61, 63, 66, 67, 68, 70, 71, 72, 75, 77, 80, 81, 84, 85, 86, 89, 90, 93, 94, 95, 98, 99 (28 số)</t>
        </is>
      </c>
      <c r="K102" s="3" t="inlineStr">
        <is>
          <t>52, 53, 54, 57, 58, 59, 61, 63, 66, 67, 68, 70, 71, 72, 75, 77, 80, 81, 84, 85, 86, 89, 90, 93, 94, 95, 98, 99 (28 số)</t>
        </is>
      </c>
    </row>
    <row r="103">
      <c r="A103" s="2" t="n">
        <v>101</v>
      </c>
      <c r="B103" s="2" t="inlineStr">
        <is>
          <t>Thứ tư ngày 15-04-2026</t>
        </is>
      </c>
      <c r="C103" s="3" t="inlineStr">
        <is>
          <t>35 (Không)</t>
        </is>
      </c>
      <c r="D103" s="3" t="inlineStr">
        <is>
          <t>55 (Không)</t>
        </is>
      </c>
      <c r="E103" s="3" t="inlineStr">
        <is>
          <t>43 (Không)</t>
        </is>
      </c>
      <c r="F103" s="3" t="inlineStr">
        <is>
          <t>---</t>
        </is>
      </c>
      <c r="G103" s="7" t="inlineStr">
        <is>
          <t>59, 65 (TRƯỢT ❌)</t>
        </is>
      </c>
      <c r="H103" s="7" t="inlineStr">
        <is>
          <t>TRƯỢT KHUNG ❌</t>
        </is>
      </c>
      <c r="I103" s="3" t="inlineStr">
        <is>
          <t>01, 04, 06, 09, 10, 13, 15, 18, 22, 24, 27, 29, 31, 33, 36, 38, 40, 42, 45, 47, 51, 54, 56, 59, 60, 63, 65, 68, 72, 74, 77, 79, 81, 83, 86, 88, 90, 92, 95, 97 (40 số)</t>
        </is>
      </c>
      <c r="J103" s="3" t="inlineStr">
        <is>
          <t>51, 54, 56, 59, 60, 63, 65, 68, 72, 74, 77, 79, 81, 83, 86, 88, 90, 92, 95, 97 (20 số)</t>
        </is>
      </c>
      <c r="K103" s="3" t="inlineStr">
        <is>
          <t>51, 54, 56, 59, 60, 63, 65, 68, 72, 74, 77, 79, 81, 83, 86, 88, 90, 92, 95, 97 (20 số)</t>
        </is>
      </c>
    </row>
    <row r="104">
      <c r="A104" s="2" t="n">
        <v>102</v>
      </c>
      <c r="B104" s="2" t="inlineStr">
        <is>
          <t>Thứ năm ngày 16-04-2026</t>
        </is>
      </c>
      <c r="C104" s="3" t="inlineStr">
        <is>
          <t>55 (Trúng)</t>
        </is>
      </c>
      <c r="D104" s="3" t="inlineStr">
        <is>
          <t>43 (Không)</t>
        </is>
      </c>
      <c r="E104" s="3" t="inlineStr">
        <is>
          <t>25 (Không)</t>
        </is>
      </c>
      <c r="F104" s="3" t="inlineStr">
        <is>
          <t>---</t>
        </is>
      </c>
      <c r="G104" s="7" t="inlineStr">
        <is>
          <t>18, 33 (TRƯỢT ❌)</t>
        </is>
      </c>
      <c r="H104" s="6" t="inlineStr">
        <is>
          <t>TRÚNG N1 🎯</t>
        </is>
      </c>
      <c r="I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04" s="3" t="inlineStr">
        <is>
          <t>00, 01, 04, 09, 10, 13, 14, 15, 18, 19, 22, 23, 24, 27, 28, 29, 31, 32, 33, 36, 37, 38, 40, 41, 42, 45, 46, 47 (28 số)</t>
        </is>
      </c>
      <c r="K104" s="3" t="inlineStr">
        <is>
          <t>00, 01, 04, 09, 10, 13, 14, 15, 18, 19, 22, 23, 24, 27, 28, 29, 31, 32, 33, 36, 37, 38, 40, 41, 42, 45, 46, 47 (28 số)</t>
        </is>
      </c>
    </row>
    <row r="105">
      <c r="A105" s="2" t="n">
        <v>103</v>
      </c>
      <c r="B105" s="2" t="inlineStr">
        <is>
          <t>Thứ sáu ngày 17-04-2026</t>
        </is>
      </c>
      <c r="C105" s="3" t="inlineStr">
        <is>
          <t>43 (Không)</t>
        </is>
      </c>
      <c r="D105" s="3" t="inlineStr">
        <is>
          <t>25 (Không)</t>
        </is>
      </c>
      <c r="E105" s="3" t="inlineStr">
        <is>
          <t>97 (Không)</t>
        </is>
      </c>
      <c r="F105" s="3" t="inlineStr">
        <is>
          <t>---</t>
        </is>
      </c>
      <c r="G105" s="7" t="inlineStr">
        <is>
          <t>13, 27 (TRƯỢT ❌)</t>
        </is>
      </c>
      <c r="H105" s="7" t="inlineStr">
        <is>
          <t>TRƯỢT KHUNG ❌</t>
        </is>
      </c>
      <c r="I105" s="3" t="inlineStr">
        <is>
          <t>03, 04, 08, 09, 12, 13, 17, 18, 21, 22, 26, 27, 30, 31, 35, 36, 40, 44, 45, 49, 53, 54, 58, 59, 62, 63, 67, 68, 71, 72, 76, 77, 80, 81, 85, 86, 90, 94, 95, 99 (40 số)</t>
        </is>
      </c>
      <c r="J105" s="3" t="inlineStr">
        <is>
          <t>53, 54, 58, 59, 62, 63, 67, 68, 71, 72, 76, 77, 80, 81, 85, 86, 90, 94, 95, 99 (20 số)</t>
        </is>
      </c>
      <c r="K105" s="3" t="inlineStr">
        <is>
          <t>53, 54, 58, 59, 62, 63, 67, 68, 71, 72, 76, 77, 80, 81, 85, 86, 90, 94, 95, 99 (20 số)</t>
        </is>
      </c>
    </row>
    <row r="106">
      <c r="A106" s="2" t="n">
        <v>104</v>
      </c>
      <c r="B106" s="2" t="inlineStr">
        <is>
          <t>Thứ bảy ngày 18-04-2026</t>
        </is>
      </c>
      <c r="C106" s="3" t="inlineStr">
        <is>
          <t>25 (Không)</t>
        </is>
      </c>
      <c r="D106" s="3" t="inlineStr">
        <is>
          <t>97 (Trúng)</t>
        </is>
      </c>
      <c r="E106" s="3" t="inlineStr">
        <is>
          <t>76 (Không)</t>
        </is>
      </c>
      <c r="F106" s="3" t="inlineStr">
        <is>
          <t>---</t>
        </is>
      </c>
      <c r="G106" s="7" t="inlineStr">
        <is>
          <t>59, 74 (TRƯỢT ❌)</t>
        </is>
      </c>
      <c r="H106" s="6" t="inlineStr">
        <is>
          <t>TRÚNG N2 (Siêu Lọc 🎯)</t>
        </is>
      </c>
      <c r="I106" s="3" t="inlineStr">
        <is>
          <t>01, 04, 06, 09, 10, 13, 15, 18, 22, 24, 27, 29, 31, 33, 36, 38, 40, 42, 45, 47, 51, 54, 56, 59, 60, 63, 65, 68, 72, 74, 77, 79, 81, 83, 86, 88, 90, 92, 95, 97 (40 số)</t>
        </is>
      </c>
      <c r="J106" s="3" t="inlineStr">
        <is>
          <t>51, 54, 56, 59, 60, 63, 65, 68, 72, 74, 77, 79, 81, 83, 86, 88, 90, 92, 95, 97 (20 số)</t>
        </is>
      </c>
      <c r="K106" s="3" t="inlineStr">
        <is>
          <t>51, 54, 56, 59, 60, 63, 65, 68, 72, 74, 77, 79, 81, 83, 86, 88, 90, 92, 95, 97 (20 số)</t>
        </is>
      </c>
    </row>
    <row r="107">
      <c r="A107" s="2" t="n">
        <v>105</v>
      </c>
      <c r="B107" s="2" t="inlineStr">
        <is>
          <t>Chủ nhật ngày 19-04-2026</t>
        </is>
      </c>
      <c r="C107" s="3" t="inlineStr">
        <is>
          <t>97 (Không)</t>
        </is>
      </c>
      <c r="D107" s="3" t="inlineStr">
        <is>
          <t>76 (Không)</t>
        </is>
      </c>
      <c r="E107" s="3" t="inlineStr">
        <is>
          <t>48 (Không)</t>
        </is>
      </c>
      <c r="F107" s="3" t="inlineStr">
        <is>
          <t>---</t>
        </is>
      </c>
      <c r="G107" s="7" t="inlineStr">
        <is>
          <t>08, 82 (TRƯỢT ❌)</t>
        </is>
      </c>
      <c r="H107" s="7" t="inlineStr">
        <is>
          <t>TRƯỢT KHUNG ❌</t>
        </is>
      </c>
      <c r="I107" s="3" t="inlineStr">
        <is>
          <t>00, 03, 05, 08, 12, 14, 17, 19, 21, 23, 26, 28, 30, 32, 35, 37, 41, 44, 46, 49, 50, 53, 55, 58, 62, 64, 67, 69, 71, 73, 76, 78, 80, 82, 85, 87, 91, 94, 96, 99 (40 số)</t>
        </is>
      </c>
      <c r="J107" s="3" t="inlineStr">
        <is>
          <t>00, 03, 05, 08, 12, 14, 17, 19, 21, 23, 26, 28, 30, 32, 35, 37, 41, 44, 46, 49 (20 số)</t>
        </is>
      </c>
      <c r="K107" s="3" t="inlineStr">
        <is>
          <t>00, 03, 05, 08, 12, 14, 17, 19, 21, 23, 26, 28, 30, 32, 35, 37, 41, 44, 46, 49 (20 số)</t>
        </is>
      </c>
    </row>
    <row r="108">
      <c r="A108" s="2" t="n">
        <v>106</v>
      </c>
      <c r="B108" s="2" t="inlineStr">
        <is>
          <t>Thứ hai ngày 20-04-2026</t>
        </is>
      </c>
      <c r="C108" s="3" t="inlineStr">
        <is>
          <t>76 (Không)</t>
        </is>
      </c>
      <c r="D108" s="3" t="inlineStr">
        <is>
          <t>48 (Trúng)</t>
        </is>
      </c>
      <c r="E108" s="3" t="inlineStr">
        <is>
          <t>39 (Trúng)</t>
        </is>
      </c>
      <c r="F108" s="3" t="inlineStr">
        <is>
          <t>---</t>
        </is>
      </c>
      <c r="G108" s="7" t="inlineStr">
        <is>
          <t>06, 34 (TRƯỢT ❌)</t>
        </is>
      </c>
      <c r="H108" s="6" t="inlineStr">
        <is>
          <t>TRÚNG N2 (Siêu Lọc 🎯)</t>
        </is>
      </c>
      <c r="I108" s="3" t="inlineStr">
        <is>
          <t>01, 02, 06, 07, 10, 11, 15, 16, 20, 24, 25, 29, 33, 34, 38, 39, 42, 43, 47, 48, 51, 52, 56, 57, 60, 61, 65, 66, 70, 74, 75, 79, 83, 84, 88, 89, 92, 93, 97, 98 (40 số)</t>
        </is>
      </c>
      <c r="J108" s="3" t="inlineStr">
        <is>
          <t>01, 02, 06, 07, 10, 11, 15, 16, 20, 24, 25, 29, 33, 34, 38, 39, 42, 43, 47, 48 (20 số)</t>
        </is>
      </c>
      <c r="K108" s="3" t="inlineStr">
        <is>
          <t>01, 02, 06, 07, 10, 11, 15, 16, 20, 24, 25, 29, 33, 34, 38, 39, 42, 43, 47, 48 (20 số)</t>
        </is>
      </c>
    </row>
    <row r="109">
      <c r="A109" s="2" t="n">
        <v>107</v>
      </c>
      <c r="B109" s="2" t="inlineStr">
        <is>
          <t>Thứ ba ngày 21-04-2026</t>
        </is>
      </c>
      <c r="C109" s="3" t="inlineStr">
        <is>
          <t>48 (Không)</t>
        </is>
      </c>
      <c r="D109" s="3" t="inlineStr">
        <is>
          <t>39 (Không)</t>
        </is>
      </c>
      <c r="E109" s="3" t="inlineStr">
        <is>
          <t>76 (Không)</t>
        </is>
      </c>
      <c r="F109" s="3" t="inlineStr">
        <is>
          <t>---</t>
        </is>
      </c>
      <c r="G109" s="7" t="inlineStr">
        <is>
          <t>09, 13 (TRƯỢT ❌)</t>
        </is>
      </c>
      <c r="H109" s="7" t="inlineStr">
        <is>
          <t>TRƯỢT KHUNG ❌</t>
        </is>
      </c>
      <c r="I109" s="3" t="inlineStr">
        <is>
          <t>04, 09, 13, 18, 22, 27, 31, 36, 40, 45, 54, 59, 63, 68, 72, 77, 81, 86, 90, 95 (20 số)</t>
        </is>
      </c>
      <c r="J109" s="3" t="inlineStr">
        <is>
          <t>54, 59, 63, 68, 72, 77, 81, 86, 90, 95 (10 số)</t>
        </is>
      </c>
      <c r="K109" s="3" t="inlineStr">
        <is>
          <t>54, 59, 63, 68, 72, 77, 81, 86, 90, 95 (10 số)</t>
        </is>
      </c>
    </row>
    <row r="110">
      <c r="A110" s="2" t="n">
        <v>108</v>
      </c>
      <c r="B110" s="2" t="inlineStr">
        <is>
          <t>Thứ tư ngày 22-04-2026</t>
        </is>
      </c>
      <c r="C110" s="3" t="inlineStr">
        <is>
          <t>39 (Trúng)</t>
        </is>
      </c>
      <c r="D110" s="3" t="inlineStr">
        <is>
          <t>76 (Không)</t>
        </is>
      </c>
      <c r="E110" s="3" t="inlineStr">
        <is>
          <t>17 (Không)</t>
        </is>
      </c>
      <c r="F110" s="3" t="inlineStr">
        <is>
          <t>---</t>
        </is>
      </c>
      <c r="G110" s="7" t="inlineStr">
        <is>
          <t>48, 52 (TRƯỢT ❌)</t>
        </is>
      </c>
      <c r="H110" s="6" t="inlineStr">
        <is>
          <t>TRÚNG N1 🎯</t>
        </is>
      </c>
      <c r="I11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10" s="3" t="inlineStr">
        <is>
          <t>50, 52, 54, 57, 59, 61, 63, 64, 66, 68, 69, 70, 72, 73, 75, 77, 78, 81, 84, 86, 87, 89, 90, 91, 93, 95, 96, 98 (28 số)</t>
        </is>
      </c>
      <c r="K110" s="3" t="inlineStr">
        <is>
          <t>50, 52, 54, 57, 59, 61, 63, 64, 66, 68, 69, 70, 72, 73, 75, 77, 78, 81, 84, 86, 87, 89, 90, 91, 93, 95, 96, 98 (28 số)</t>
        </is>
      </c>
    </row>
    <row r="111">
      <c r="A111" s="2" t="n">
        <v>109</v>
      </c>
      <c r="B111" s="2" t="inlineStr">
        <is>
          <t>Thứ năm ngày 23-04-2026</t>
        </is>
      </c>
      <c r="C111" s="3" t="inlineStr">
        <is>
          <t>76 (Trúng)</t>
        </is>
      </c>
      <c r="D111" s="3" t="inlineStr">
        <is>
          <t>17 (Trúng)</t>
        </is>
      </c>
      <c r="E111" s="3" t="inlineStr">
        <is>
          <t>28 (Không)</t>
        </is>
      </c>
      <c r="F111" s="3" t="inlineStr">
        <is>
          <t>---</t>
        </is>
      </c>
      <c r="G111" s="7" t="inlineStr">
        <is>
          <t>22, 63 (TRƯỢT ❌)</t>
        </is>
      </c>
      <c r="H111" s="6" t="inlineStr">
        <is>
          <t>TRÚNG N1 🎯</t>
        </is>
      </c>
      <c r="I111" s="3" t="inlineStr">
        <is>
          <t>03, 04, 08, 09, 12, 13, 17, 18, 21, 22, 26, 27, 30, 31, 35, 36, 40, 44, 45, 49, 53, 54, 58, 59, 62, 63, 67, 68, 71, 72, 76, 77, 80, 81, 85, 86, 90, 94, 95, 99 (40 số)</t>
        </is>
      </c>
      <c r="J111" s="3" t="inlineStr">
        <is>
          <t>03, 04, 08, 09, 12, 13, 17, 18, 21, 22, 26, 27, 30, 31, 35, 36, 40, 44, 45, 49 (20 số)</t>
        </is>
      </c>
      <c r="K111" s="3" t="inlineStr">
        <is>
          <t>03, 04, 08, 09, 12, 13, 17, 18, 21, 22, 26, 27, 30, 31, 35, 36, 40, 44, 45, 49 (20 số)</t>
        </is>
      </c>
    </row>
    <row r="112">
      <c r="A112" s="2" t="n">
        <v>110</v>
      </c>
      <c r="B112" s="2" t="inlineStr">
        <is>
          <t>Thứ sáu ngày 24-04-2026</t>
        </is>
      </c>
      <c r="C112" s="3" t="inlineStr">
        <is>
          <t>17 (Không)</t>
        </is>
      </c>
      <c r="D112" s="3" t="inlineStr">
        <is>
          <t>28 (Không)</t>
        </is>
      </c>
      <c r="E112" s="3" t="inlineStr">
        <is>
          <t>59 (Không)</t>
        </is>
      </c>
      <c r="F112" s="3" t="inlineStr">
        <is>
          <t>---</t>
        </is>
      </c>
      <c r="G112" s="7" t="inlineStr">
        <is>
          <t>05, 11 (TRƯỢT ❌)</t>
        </is>
      </c>
      <c r="H112" s="7" t="inlineStr">
        <is>
          <t>TRƯỢT KHUNG ❌</t>
        </is>
      </c>
      <c r="I112" s="3" t="inlineStr">
        <is>
          <t>00, 02, 05, 07, 11, 14, 16, 19, 20, 23, 25, 28, 32, 34, 37, 39, 41, 43, 46, 48, 50, 52, 55, 57, 61, 64, 66, 69, 70, 73, 75, 78, 82, 84, 87, 89, 91, 93, 96, 98 (40 số)</t>
        </is>
      </c>
      <c r="J112" s="3" t="inlineStr">
        <is>
          <t>50, 52, 55, 57, 61, 64, 66, 69, 70, 73, 75, 78, 82, 84, 87, 89, 91, 93, 96, 98 (20 số)</t>
        </is>
      </c>
      <c r="K112" s="3" t="inlineStr">
        <is>
          <t>50, 52, 55, 57, 61, 64, 66, 69, 70, 73, 75, 78, 82, 84, 87, 89, 91, 93, 96, 98 (20 số)</t>
        </is>
      </c>
    </row>
    <row r="113">
      <c r="A113" s="2" t="n">
        <v>111</v>
      </c>
      <c r="B113" s="2" t="inlineStr">
        <is>
          <t>Thứ bảy ngày 25-04-2026</t>
        </is>
      </c>
      <c r="C113" s="3" t="inlineStr">
        <is>
          <t>28 (Không)</t>
        </is>
      </c>
      <c r="D113" s="3" t="inlineStr">
        <is>
          <t>59 (Trúng)</t>
        </is>
      </c>
      <c r="E113" s="3" t="inlineStr">
        <is>
          <t>54 (Trúng)</t>
        </is>
      </c>
      <c r="F113" s="3" t="inlineStr">
        <is>
          <t>---</t>
        </is>
      </c>
      <c r="G113" s="7" t="inlineStr">
        <is>
          <t>17, 27 (TRƯỢT ❌)</t>
        </is>
      </c>
      <c r="H113" s="6" t="inlineStr">
        <is>
          <t>TRÚNG N2 (Siêu Lọc 🎯)</t>
        </is>
      </c>
      <c r="I11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13" s="3" t="inlineStr">
        <is>
          <t>52, 53, 54, 57, 58, 59, 61, 63, 66, 67, 68, 70, 71, 72, 75, 77, 80, 81, 84, 85, 86, 89, 90, 93, 94, 95, 98, 99 (28 số)</t>
        </is>
      </c>
      <c r="K113" s="3" t="inlineStr">
        <is>
          <t>52, 53, 54, 57, 58, 59, 61, 63, 66, 67, 68, 70, 71, 72, 75, 77, 80, 81, 84, 85, 86, 89, 90, 93, 94, 95, 98, 99 (28 số)</t>
        </is>
      </c>
    </row>
    <row r="114">
      <c r="A114" s="2" t="n">
        <v>112</v>
      </c>
      <c r="B114" s="2" t="inlineStr">
        <is>
          <t>Chủ nhật ngày 26-04-2026</t>
        </is>
      </c>
      <c r="C114" s="3" t="inlineStr">
        <is>
          <t>59 (Trúng)</t>
        </is>
      </c>
      <c r="D114" s="3" t="inlineStr">
        <is>
          <t>54 (Không)</t>
        </is>
      </c>
      <c r="E114" s="3" t="inlineStr">
        <is>
          <t>69 (Không)</t>
        </is>
      </c>
      <c r="F114" s="3" t="inlineStr">
        <is>
          <t>---</t>
        </is>
      </c>
      <c r="G114" s="7" t="inlineStr">
        <is>
          <t>05, 28 (TRƯỢT ❌)</t>
        </is>
      </c>
      <c r="H114" s="6" t="inlineStr">
        <is>
          <t>TRÚNG N1 🎯</t>
        </is>
      </c>
      <c r="I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14" s="3" t="inlineStr">
        <is>
          <t>03, 04, 08, 09, 12, 13, 14, 17, 18, 19, 21, 22, 23, 26, 27, 28, 30, 31, 32, 35, 36, 37, 40, 41, 44, 45, 46, 49 (28 số)</t>
        </is>
      </c>
      <c r="K114" s="3" t="inlineStr">
        <is>
          <t>03, 04, 08, 09, 12, 13, 14, 17, 18, 19, 21, 22, 23, 26, 27, 28, 30, 31, 32, 35, 36, 37, 40, 41, 44, 45, 46, 49 (28 số)</t>
        </is>
      </c>
    </row>
    <row r="115">
      <c r="A115" s="2" t="n">
        <v>113</v>
      </c>
      <c r="B115" s="2" t="inlineStr">
        <is>
          <t>Thứ hai ngày 27-04-2026</t>
        </is>
      </c>
      <c r="C115" s="3" t="inlineStr">
        <is>
          <t>54 (Không)</t>
        </is>
      </c>
      <c r="D115" s="3" t="inlineStr">
        <is>
          <t>69 (Không)</t>
        </is>
      </c>
      <c r="E115" s="3" t="inlineStr">
        <is>
          <t>75 (Không)</t>
        </is>
      </c>
      <c r="F115" s="3" t="inlineStr">
        <is>
          <t>---</t>
        </is>
      </c>
      <c r="G115" s="7" t="inlineStr">
        <is>
          <t>28, 34 (TRƯỢT ❌)</t>
        </is>
      </c>
      <c r="H115" s="7" t="inlineStr">
        <is>
          <t>TRƯỢT KHUNG ❌</t>
        </is>
      </c>
      <c r="I115" s="3" t="inlineStr">
        <is>
          <t>00, 02, 05, 07, 11, 14, 16, 19, 20, 23, 25, 28, 32, 34, 37, 39, 41, 43, 46, 48, 50, 52, 55, 57, 61, 64, 66, 69, 70, 73, 75, 78, 82, 84, 87, 89, 91, 93, 96, 98 (40 số)</t>
        </is>
      </c>
      <c r="J115" s="3" t="inlineStr">
        <is>
          <t>00, 02, 05, 07, 11, 14, 16, 19, 20, 23, 25, 28, 32, 34, 37, 39, 41, 43, 46, 48 (20 số)</t>
        </is>
      </c>
      <c r="K115" s="3" t="inlineStr">
        <is>
          <t>00, 02, 05, 07, 11, 14, 16, 19, 20, 23, 25, 28, 32, 34, 37, 39, 41, 43, 46, 48 (20 số)</t>
        </is>
      </c>
    </row>
    <row r="116">
      <c r="A116" s="2" t="n">
        <v>114</v>
      </c>
      <c r="B116" s="2" t="inlineStr">
        <is>
          <t>Thứ ba ngày 28-04-2026</t>
        </is>
      </c>
      <c r="C116" s="3" t="inlineStr">
        <is>
          <t>69 (Trúng)</t>
        </is>
      </c>
      <c r="D116" s="3" t="inlineStr">
        <is>
          <t>75 (Không)</t>
        </is>
      </c>
      <c r="E116" s="3" t="inlineStr">
        <is>
          <t>37 (Trúng)</t>
        </is>
      </c>
      <c r="F116" s="3" t="inlineStr">
        <is>
          <t>---</t>
        </is>
      </c>
      <c r="G116" s="7" t="inlineStr">
        <is>
          <t>04, 54 (TRƯỢT ❌)</t>
        </is>
      </c>
      <c r="H116" s="6" t="inlineStr">
        <is>
          <t>TRÚNG N1 🎯</t>
        </is>
      </c>
      <c r="I116" s="3" t="inlineStr">
        <is>
          <t>00, 04, 05, 09, 13, 14, 18, 19, 22, 23, 27, 28, 31, 32, 36, 37, 40, 41, 45, 46, 50, 54, 55, 59, 63, 64, 68, 69, 72, 73, 77, 78, 81, 82, 86, 87, 90, 91, 95, 96 (40 số)</t>
        </is>
      </c>
      <c r="J116" s="3" t="inlineStr">
        <is>
          <t>00, 04, 05, 09, 13, 14, 18, 19, 22, 23, 27, 28, 31, 32, 36, 37, 40, 41, 45, 46 (20 số)</t>
        </is>
      </c>
      <c r="K116" s="3" t="inlineStr">
        <is>
          <t>00, 04, 05, 09, 13, 14, 18, 19, 22, 23, 27, 28, 31, 32, 36, 37, 40, 41, 45, 46 (20 số)</t>
        </is>
      </c>
    </row>
    <row r="117">
      <c r="A117" s="2" t="n">
        <v>115</v>
      </c>
      <c r="B117" s="2" t="inlineStr">
        <is>
          <t>Thứ tư ngày 29-04-2026</t>
        </is>
      </c>
      <c r="C117" s="3" t="inlineStr">
        <is>
          <t>75 (Không)</t>
        </is>
      </c>
      <c r="D117" s="3" t="inlineStr">
        <is>
          <t>37 (Trúng)</t>
        </is>
      </c>
      <c r="E117" s="3" t="inlineStr">
        <is>
          <t>32 (Trúng)</t>
        </is>
      </c>
      <c r="F117" s="3" t="inlineStr">
        <is>
          <t>---</t>
        </is>
      </c>
      <c r="G117" s="7" t="inlineStr">
        <is>
          <t>18, 46 (TRƯỢT ❌)</t>
        </is>
      </c>
      <c r="H117" s="6" t="inlineStr">
        <is>
          <t>TRÚNG N2 (Siêu Lọc 🎯)</t>
        </is>
      </c>
      <c r="I117" s="3" t="inlineStr">
        <is>
          <t>00, 04, 05, 09, 13, 14, 18, 19, 22, 23, 27, 28, 31, 32, 36, 37, 40, 41, 45, 46, 50, 54, 55, 59, 63, 64, 68, 69, 72, 73, 77, 78, 81, 82, 86, 87, 90, 91, 95, 96 (40 số)</t>
        </is>
      </c>
      <c r="J117" s="3" t="inlineStr">
        <is>
          <t>00, 04, 05, 09, 13, 14, 18, 19, 22, 23, 27, 28, 31, 32, 36, 37, 40, 41, 45, 46 (20 số)</t>
        </is>
      </c>
      <c r="K117" s="3" t="inlineStr">
        <is>
          <t>00, 04, 05, 09, 13, 14, 18, 19, 22, 23, 27, 28, 31, 32, 36, 37, 40, 41, 45, 46 (20 số)</t>
        </is>
      </c>
    </row>
    <row r="118">
      <c r="A118" s="2" t="n">
        <v>116</v>
      </c>
      <c r="B118" s="2" t="inlineStr">
        <is>
          <t>Thứ năm ngày 30-04-2026</t>
        </is>
      </c>
      <c r="C118" s="3" t="inlineStr">
        <is>
          <t>37 (Trúng)</t>
        </is>
      </c>
      <c r="D118" s="3" t="inlineStr">
        <is>
          <t>32 (Không)</t>
        </is>
      </c>
      <c r="E118" s="3" t="inlineStr">
        <is>
          <t>64 (Trúng)</t>
        </is>
      </c>
      <c r="F118" s="3" t="inlineStr">
        <is>
          <t>---</t>
        </is>
      </c>
      <c r="G118" s="7" t="inlineStr">
        <is>
          <t>19, 30 (TRƯỢT ❌)</t>
        </is>
      </c>
      <c r="H118" s="6" t="inlineStr">
        <is>
          <t>TRÚNG N1 🎯</t>
        </is>
      </c>
      <c r="I1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18" s="3" t="inlineStr">
        <is>
          <t>50, 52, 53, 57, 58, 61, 62, 64, 66, 67, 69, 70, 71, 73, 75, 76, 78, 80, 84, 85, 87, 89, 91, 93, 94, 96, 98, 99 (28 số)</t>
        </is>
      </c>
      <c r="K118" s="3" t="inlineStr">
        <is>
          <t>50, 52, 53, 57, 58, 61, 62, 64, 66, 67, 69, 70, 71, 73, 75, 76, 78, 80, 84, 85, 87, 89, 91, 93, 94, 96, 98, 99 (28 số)</t>
        </is>
      </c>
    </row>
    <row r="119">
      <c r="A119" s="2" t="n">
        <v>117</v>
      </c>
      <c r="B119" s="2" t="inlineStr">
        <is>
          <t>Thứ sáu ngày 01-05-2026</t>
        </is>
      </c>
      <c r="C119" s="3" t="inlineStr">
        <is>
          <t>32 (Không)</t>
        </is>
      </c>
      <c r="D119" s="3" t="inlineStr">
        <is>
          <t>64 (Không)</t>
        </is>
      </c>
      <c r="E119" s="3" t="inlineStr">
        <is>
          <t>51 (Trúng)</t>
        </is>
      </c>
      <c r="F119" s="3" t="inlineStr">
        <is>
          <t>---</t>
        </is>
      </c>
      <c r="G119" s="7" t="inlineStr">
        <is>
          <t>39, 48 (TRƯỢT ❌)</t>
        </is>
      </c>
      <c r="H119" s="6" t="inlineStr">
        <is>
          <t>TRÚNG N3 (Siêu Lọc 🎯)</t>
        </is>
      </c>
      <c r="I119" s="3" t="inlineStr">
        <is>
          <t>01, 02, 06, 07, 10, 11, 15, 16, 20, 24, 25, 29, 33, 34, 38, 39, 42, 43, 47, 48, 51, 52, 56, 57, 60, 61, 65, 66, 70, 74, 75, 79, 83, 84, 88, 89, 92, 93, 97, 98 (40 số)</t>
        </is>
      </c>
      <c r="J119" s="3" t="inlineStr">
        <is>
          <t>51, 52, 56, 57, 60, 61, 65, 66, 70, 74, 75, 79, 83, 84, 88, 89, 92, 93, 97, 98 (20 số)</t>
        </is>
      </c>
      <c r="K119" s="3" t="inlineStr">
        <is>
          <t>51, 52, 56, 57, 60, 61, 65, 66, 70, 74, 75, 79, 83, 84, 88, 89, 92, 93, 97, 98 (20 số)</t>
        </is>
      </c>
    </row>
    <row r="120">
      <c r="A120" s="2" t="n">
        <v>118</v>
      </c>
      <c r="B120" s="2" t="inlineStr">
        <is>
          <t>Thứ bảy ngày 02-05-2026</t>
        </is>
      </c>
      <c r="C120" s="3" t="inlineStr">
        <is>
          <t>64 (Trúng)</t>
        </is>
      </c>
      <c r="D120" s="3" t="inlineStr">
        <is>
          <t>51 (Không)</t>
        </is>
      </c>
      <c r="E120" s="3" t="inlineStr">
        <is>
          <t>12 (Trúng)</t>
        </is>
      </c>
      <c r="F120" s="3" t="inlineStr">
        <is>
          <t>---</t>
        </is>
      </c>
      <c r="G120" s="7" t="inlineStr">
        <is>
          <t>14, 32 (TRƯỢT ❌)</t>
        </is>
      </c>
      <c r="H120" s="6" t="inlineStr">
        <is>
          <t>TRÚNG N1 🎯</t>
        </is>
      </c>
      <c r="I120" s="3" t="inlineStr">
        <is>
          <t>00, 03, 05, 08, 12, 14, 17, 19, 21, 23, 26, 28, 30, 32, 35, 37, 41, 44, 46, 49, 50, 53, 55, 58, 62, 64, 67, 69, 71, 73, 76, 78, 80, 82, 85, 87, 91, 94, 96, 99 (40 số)</t>
        </is>
      </c>
      <c r="J120" s="3" t="inlineStr">
        <is>
          <t>00, 03, 05, 08, 12, 14, 17, 19, 21, 23, 26, 28, 30, 32, 35, 37, 41, 44, 46, 49 (20 số)</t>
        </is>
      </c>
      <c r="K120" s="3" t="inlineStr">
        <is>
          <t>00, 03, 05, 08, 12, 14, 17, 19, 21, 23, 26, 28, 30, 32, 35, 37, 41, 44, 46, 49 (20 số)</t>
        </is>
      </c>
    </row>
    <row r="121">
      <c r="A121" s="2" t="n">
        <v>119</v>
      </c>
      <c r="B121" s="2" t="inlineStr">
        <is>
          <t>Chủ nhật ngày 03-05-2026</t>
        </is>
      </c>
      <c r="C121" s="3" t="inlineStr">
        <is>
          <t>51 (Trúng)</t>
        </is>
      </c>
      <c r="D121" s="3" t="inlineStr">
        <is>
          <t>12 (Không)</t>
        </is>
      </c>
      <c r="E121" s="3" t="inlineStr">
        <is>
          <t>41 (Không)</t>
        </is>
      </c>
      <c r="F121" s="3" t="inlineStr">
        <is>
          <t>---</t>
        </is>
      </c>
      <c r="G121" s="7" t="inlineStr">
        <is>
          <t>24, 59 (TRƯỢT ❌)</t>
        </is>
      </c>
      <c r="H121" s="6" t="inlineStr">
        <is>
          <t>TRÚNG N1 🎯</t>
        </is>
      </c>
      <c r="I121" s="3" t="inlineStr">
        <is>
          <t>01, 04, 06, 09, 10, 13, 15, 18, 22, 24, 27, 29, 31, 33, 36, 38, 40, 42, 45, 47, 51, 54, 56, 59, 60, 63, 65, 68, 72, 74, 77, 79, 81, 83, 86, 88, 90, 92, 95, 97 (40 số)</t>
        </is>
      </c>
      <c r="J121" s="3" t="inlineStr">
        <is>
          <t>01, 04, 06, 09, 10, 13, 15, 18, 22, 24, 27, 29, 31, 33, 36, 38, 40, 42, 45, 47 (20 số)</t>
        </is>
      </c>
      <c r="K121" s="3" t="inlineStr">
        <is>
          <t>01, 04, 06, 09, 10, 13, 15, 18, 22, 24, 27, 29, 31, 33, 36, 38, 40, 42, 45, 47 (20 số)</t>
        </is>
      </c>
    </row>
    <row r="122">
      <c r="A122" s="2" t="n">
        <v>120</v>
      </c>
      <c r="B122" s="2" t="inlineStr">
        <is>
          <t>Thứ hai ngày 04-05-2026</t>
        </is>
      </c>
      <c r="C122" s="3" t="inlineStr">
        <is>
          <t>12 (Không)</t>
        </is>
      </c>
      <c r="D122" s="3" t="inlineStr">
        <is>
          <t>41 (Không)</t>
        </is>
      </c>
      <c r="E122" s="3" t="inlineStr">
        <is>
          <t>40 (Không)</t>
        </is>
      </c>
      <c r="F122" s="3" t="inlineStr">
        <is>
          <t>---</t>
        </is>
      </c>
      <c r="G122" s="7" t="inlineStr">
        <is>
          <t>15, 51 (TRƯỢT ❌)</t>
        </is>
      </c>
      <c r="H122" s="7" t="inlineStr">
        <is>
          <t>TRƯỢT KHUNG ❌</t>
        </is>
      </c>
      <c r="I12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22" s="3" t="inlineStr">
        <is>
          <t>50, 51, 54, 56, 59, 60, 63, 64, 65, 68, 69, 72, 73, 74, 77, 78, 79, 81, 82, 83, 86, 87, 88, 90, 91, 95, 96, 97 (28 số)</t>
        </is>
      </c>
      <c r="K122" s="3" t="inlineStr">
        <is>
          <t>50, 51, 54, 56, 59, 60, 63, 64, 65, 68, 69, 72, 73, 74, 77, 78, 79, 81, 82, 83, 86, 87, 88, 90, 91, 95, 96, 97 (28 số)</t>
        </is>
      </c>
    </row>
    <row r="123">
      <c r="A123" s="2" t="n">
        <v>121</v>
      </c>
      <c r="B123" s="2" t="inlineStr">
        <is>
          <t>Thứ ba ngày 05-05-2026</t>
        </is>
      </c>
      <c r="C123" s="3" t="inlineStr">
        <is>
          <t>41 (Trúng)</t>
        </is>
      </c>
      <c r="D123" s="3" t="inlineStr">
        <is>
          <t>40 (Không)</t>
        </is>
      </c>
      <c r="E123" s="3" t="inlineStr">
        <is>
          <t>47 (Không)</t>
        </is>
      </c>
      <c r="F123" s="3" t="inlineStr">
        <is>
          <t>---</t>
        </is>
      </c>
      <c r="G123" s="7" t="inlineStr">
        <is>
          <t>12, 31 (TRƯỢT ❌)</t>
        </is>
      </c>
      <c r="H123" s="6" t="inlineStr">
        <is>
          <t>TRÚNG N1 🎯</t>
        </is>
      </c>
      <c r="I12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23" s="3" t="inlineStr">
        <is>
          <t>50, 53, 54, 58, 59, 62, 63, 64, 67, 68, 69, 71, 72, 73, 76, 77, 78, 80, 81, 85, 86, 87, 90, 91, 94, 95, 96, 99 (28 số)</t>
        </is>
      </c>
      <c r="K123" s="3" t="inlineStr">
        <is>
          <t>50, 53, 54, 58, 59, 62, 63, 64, 67, 68, 69, 71, 72, 73, 76, 77, 78, 80, 81, 85, 86, 87, 90, 91, 94, 95, 96, 99 (28 số)</t>
        </is>
      </c>
    </row>
    <row r="124">
      <c r="A124" s="2" t="n">
        <v>122</v>
      </c>
      <c r="B124" s="2" t="inlineStr">
        <is>
          <t>Thứ tư ngày 06-05-2026</t>
        </is>
      </c>
      <c r="C124" s="3" t="inlineStr">
        <is>
          <t>40 (Trúng)</t>
        </is>
      </c>
      <c r="D124" s="3" t="inlineStr">
        <is>
          <t>47 (Không)</t>
        </is>
      </c>
      <c r="E124" s="3" t="inlineStr">
        <is>
          <t>92 (Không)</t>
        </is>
      </c>
      <c r="F124" s="3" t="inlineStr">
        <is>
          <t>---</t>
        </is>
      </c>
      <c r="G124" s="7" t="inlineStr">
        <is>
          <t>06, 41 (TRƯỢT ❌)</t>
        </is>
      </c>
      <c r="H124" s="6" t="inlineStr">
        <is>
          <t>TRÚNG N1 🎯</t>
        </is>
      </c>
      <c r="I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24" s="3" t="inlineStr">
        <is>
          <t>50, 51, 54, 56, 59, 60, 63, 64, 65, 68, 69, 72, 73, 74, 77, 78, 79, 81, 82, 83, 86, 87, 88, 90, 91, 95, 96, 97 (28 số)</t>
        </is>
      </c>
      <c r="K124" s="3" t="inlineStr">
        <is>
          <t>50, 51, 54, 56, 59, 60, 63, 64, 65, 68, 69, 72, 73, 74, 77, 78, 79, 81, 82, 83, 86, 87, 88, 90, 91, 95, 96, 97 (28 số)</t>
        </is>
      </c>
    </row>
    <row r="125">
      <c r="A125" s="2" t="n">
        <v>123</v>
      </c>
      <c r="B125" s="2" t="inlineStr">
        <is>
          <t>Thứ năm ngày 07-05-2026</t>
        </is>
      </c>
      <c r="C125" s="3" t="inlineStr">
        <is>
          <t>47 (Trúng)</t>
        </is>
      </c>
      <c r="D125" s="3" t="inlineStr">
        <is>
          <t>92 (Trúng)</t>
        </is>
      </c>
      <c r="E125" s="3" t="inlineStr">
        <is>
          <t>23 (Không)</t>
        </is>
      </c>
      <c r="F125" s="3" t="inlineStr">
        <is>
          <t>---</t>
        </is>
      </c>
      <c r="G125" s="7" t="inlineStr">
        <is>
          <t>15, 40 (TRƯỢT ❌)</t>
        </is>
      </c>
      <c r="H125" s="6" t="inlineStr">
        <is>
          <t>TRÚNG N1 🎯</t>
        </is>
      </c>
      <c r="I125" s="3" t="inlineStr">
        <is>
          <t>01, 04, 06, 09, 10, 13, 15, 18, 22, 24, 27, 29, 31, 33, 36, 38, 40, 42, 45, 47, 51, 54, 56, 59, 60, 63, 65, 68, 72, 74, 77, 79, 81, 83, 86, 88, 90, 92, 95, 97 (40 số)</t>
        </is>
      </c>
      <c r="J125" s="3" t="inlineStr">
        <is>
          <t>51, 54, 56, 59, 60, 63, 65, 68, 72, 74, 77, 79, 81, 83, 86, 88, 90, 92, 95, 97 (20 số)</t>
        </is>
      </c>
      <c r="K125" s="3" t="inlineStr">
        <is>
          <t>51, 54, 56, 59, 60, 63, 65, 68, 72, 74, 77, 79, 81, 83, 86, 88, 90, 92, 95, 97 (20 số)</t>
        </is>
      </c>
    </row>
    <row r="126">
      <c r="A126" s="2" t="n">
        <v>124</v>
      </c>
      <c r="B126" s="2" t="inlineStr">
        <is>
          <t>Thứ sáu ngày 08-05-2026</t>
        </is>
      </c>
      <c r="C126" s="3" t="inlineStr">
        <is>
          <t>92 (Trúng)</t>
        </is>
      </c>
      <c r="D126" s="3" t="inlineStr">
        <is>
          <t>23 (Không)</t>
        </is>
      </c>
      <c r="E126" s="3" t="inlineStr">
        <is>
          <t>17 (Trúng)</t>
        </is>
      </c>
      <c r="F126" s="3" t="inlineStr">
        <is>
          <t>---</t>
        </is>
      </c>
      <c r="G126" s="7" t="inlineStr">
        <is>
          <t>25, 42 (TRƯỢT ❌)</t>
        </is>
      </c>
      <c r="H126" s="6" t="inlineStr">
        <is>
          <t>TRÚNG N1 🎯</t>
        </is>
      </c>
      <c r="I1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26" s="3" t="inlineStr">
        <is>
          <t>01, 02, 03, 07, 08, 10, 11, 12, 16, 17, 20, 21, 24, 25, 26, 29, 30, 33, 34, 35, 38, 39, 42, 43, 44, 47, 48, 49 (28 số)</t>
        </is>
      </c>
      <c r="K126" s="3" t="inlineStr">
        <is>
          <t>01, 02, 03, 07, 08, 10, 11, 12, 16, 17, 20, 21, 24, 25, 26, 29, 30, 33, 34, 35, 38, 39, 42, 43, 44, 47, 48, 49 (28 số)</t>
        </is>
      </c>
    </row>
    <row r="127">
      <c r="A127" s="2" t="n">
        <v>125</v>
      </c>
      <c r="B127" s="2" t="inlineStr">
        <is>
          <t>Thứ bảy ngày 09-05-2026</t>
        </is>
      </c>
      <c r="C127" s="3" t="inlineStr">
        <is>
          <t>23 (Trúng)</t>
        </is>
      </c>
      <c r="D127" s="3" t="inlineStr">
        <is>
          <t>17 (Không)</t>
        </is>
      </c>
      <c r="E127" s="3" t="inlineStr">
        <is>
          <t>33 (Không)</t>
        </is>
      </c>
      <c r="F127" s="3" t="inlineStr">
        <is>
          <t>---</t>
        </is>
      </c>
      <c r="G127" s="7" t="inlineStr">
        <is>
          <t>05, 45 (TRƯỢT ❌)</t>
        </is>
      </c>
      <c r="H127" s="6" t="inlineStr">
        <is>
          <t>TRÚNG N1 🎯</t>
        </is>
      </c>
      <c r="I127" s="3" t="inlineStr">
        <is>
          <t>00, 04, 05, 09, 13, 14, 18, 19, 22, 23, 27, 28, 31, 32, 36, 37, 40, 41, 45, 46, 50, 54, 55, 59, 63, 64, 68, 69, 72, 73, 77, 78, 81, 82, 86, 87, 90, 91, 95, 96 (40 số)</t>
        </is>
      </c>
      <c r="J127" s="3" t="inlineStr">
        <is>
          <t>50, 54, 55, 59, 63, 64, 68, 69, 72, 73, 77, 78, 81, 82, 86, 87, 90, 91, 95, 96 (20 số)</t>
        </is>
      </c>
      <c r="K127" s="3" t="inlineStr">
        <is>
          <t>50, 54, 55, 59, 63, 64, 68, 69, 72, 73, 77, 78, 81, 82, 86, 87, 90, 91, 95, 96 (20 số)</t>
        </is>
      </c>
    </row>
    <row r="128">
      <c r="A128" s="2" t="n">
        <v>126</v>
      </c>
      <c r="B128" s="2" t="inlineStr">
        <is>
          <t>Chủ nhật ngày 10-05-2026</t>
        </is>
      </c>
      <c r="C128" s="3" t="inlineStr">
        <is>
          <t>17 (Trúng)</t>
        </is>
      </c>
      <c r="D128" s="3" t="inlineStr">
        <is>
          <t>33 (Không)</t>
        </is>
      </c>
      <c r="E128" s="3" t="inlineStr">
        <is>
          <t>38 (Không)</t>
        </is>
      </c>
      <c r="F128" s="3" t="inlineStr">
        <is>
          <t>---</t>
        </is>
      </c>
      <c r="G128" s="6" t="inlineStr">
        <is>
          <t>15, 17 (TRÚNG 🎯)</t>
        </is>
      </c>
      <c r="H128" s="6" t="inlineStr">
        <is>
          <t>TRÚNG N1 🎯</t>
        </is>
      </c>
      <c r="I128" s="3" t="inlineStr">
        <is>
          <t>01, 03, 06, 08, 10, 12, 15, 17, 21, 24, 26, 29, 30, 33, 35, 38, 42, 44, 47, 49, 51, 53, 56, 58, 60, 62, 65, 67, 71, 74, 76, 79, 80, 83, 85, 88, 92, 94, 97, 99 (40 số)</t>
        </is>
      </c>
      <c r="J128" s="3" t="inlineStr">
        <is>
          <t>51, 53, 56, 58, 60, 62, 65, 67, 71, 74, 76, 79, 80, 83, 85, 88, 92, 94, 97, 99 (20 số)</t>
        </is>
      </c>
      <c r="K128" s="3" t="inlineStr">
        <is>
          <t>51, 53, 56, 58, 60, 62, 65, 67, 71, 74, 76, 79, 80, 83, 85, 88, 92, 94, 97, 99 (20 số)</t>
        </is>
      </c>
    </row>
    <row r="129">
      <c r="A129" s="2" t="n">
        <v>127</v>
      </c>
      <c r="B129" s="2" t="inlineStr">
        <is>
          <t>Thứ hai ngày 11-05-2026</t>
        </is>
      </c>
      <c r="C129" s="3" t="inlineStr">
        <is>
          <t>33 (Không)</t>
        </is>
      </c>
      <c r="D129" s="3" t="inlineStr">
        <is>
          <t>38 (Không)</t>
        </is>
      </c>
      <c r="E129" s="3" t="inlineStr">
        <is>
          <t>69 (Không)</t>
        </is>
      </c>
      <c r="F129" s="3" t="inlineStr">
        <is>
          <t>---</t>
        </is>
      </c>
      <c r="G129" s="7" t="inlineStr">
        <is>
          <t>17, 18 (TRƯỢT ❌)</t>
        </is>
      </c>
      <c r="H129" s="7" t="inlineStr">
        <is>
          <t>TRƯỢT KHUNG ❌</t>
        </is>
      </c>
      <c r="I129" s="3" t="inlineStr">
        <is>
          <t>03, 04, 08, 09, 12, 13, 17, 18, 21, 22, 26, 27, 30, 31, 35, 36, 40, 44, 45, 49, 53, 54, 58, 59, 62, 63, 67, 68, 71, 72, 76, 77, 80, 81, 85, 86, 90, 94, 95, 99 (40 số)</t>
        </is>
      </c>
      <c r="J129" s="3" t="inlineStr">
        <is>
          <t>53, 54, 58, 59, 62, 63, 67, 68, 71, 72, 76, 77, 80, 81, 85, 86, 90, 94, 95, 99 (20 số)</t>
        </is>
      </c>
      <c r="K129" s="3" t="inlineStr">
        <is>
          <t>53, 54, 58, 59, 62, 63, 67, 68, 71, 72, 76, 77, 80, 81, 85, 86, 90, 94, 95, 99 (20 số)</t>
        </is>
      </c>
    </row>
    <row r="130">
      <c r="A130" s="2" t="n">
        <v>128</v>
      </c>
      <c r="B130" s="2" t="inlineStr">
        <is>
          <t>Thứ ba ngày 12-05-2026</t>
        </is>
      </c>
      <c r="C130" s="3" t="inlineStr">
        <is>
          <t>38 (Không)</t>
        </is>
      </c>
      <c r="D130" s="3" t="inlineStr">
        <is>
          <t>69 (Trúng)</t>
        </is>
      </c>
      <c r="E130" s="3" t="inlineStr">
        <is>
          <t>94 (Không)</t>
        </is>
      </c>
      <c r="F130" s="3" t="inlineStr">
        <is>
          <t>---</t>
        </is>
      </c>
      <c r="G130" s="7" t="inlineStr">
        <is>
          <t>27, 31 (TRƯỢT ❌)</t>
        </is>
      </c>
      <c r="H130" s="6" t="inlineStr">
        <is>
          <t>TRÚNG N2 (Siêu Lọc 🎯)</t>
        </is>
      </c>
      <c r="I130" s="3" t="inlineStr">
        <is>
          <t>00, 04, 05, 09, 13, 14, 18, 19, 22, 23, 27, 28, 31, 32, 36, 37, 40, 41, 45, 46, 50, 54, 55, 59, 63, 64, 68, 69, 72, 73, 77, 78, 81, 82, 86, 87, 90, 91, 95, 96 (40 số)</t>
        </is>
      </c>
      <c r="J130" s="3" t="inlineStr">
        <is>
          <t>50, 54, 55, 59, 63, 64, 68, 69, 72, 73, 77, 78, 81, 82, 86, 87, 90, 91, 95, 96 (20 số)</t>
        </is>
      </c>
      <c r="K130" s="3" t="inlineStr">
        <is>
          <t>50, 54, 55, 59, 63, 64, 68, 69, 72, 73, 77, 78, 81, 82, 86, 87, 90, 91, 95, 96 (20 số)</t>
        </is>
      </c>
    </row>
    <row r="131">
      <c r="A131" s="2" t="n">
        <v>129</v>
      </c>
      <c r="B131" s="2" t="inlineStr">
        <is>
          <t>Thứ tư ngày 13-05-2026</t>
        </is>
      </c>
      <c r="C131" s="3" t="inlineStr">
        <is>
          <t>69 (Không)</t>
        </is>
      </c>
      <c r="D131" s="3" t="inlineStr">
        <is>
          <t>94 (Không)</t>
        </is>
      </c>
      <c r="E131" s="3" t="inlineStr">
        <is>
          <t>04 (Trúng)</t>
        </is>
      </c>
      <c r="F131" s="3" t="inlineStr">
        <is>
          <t>---</t>
        </is>
      </c>
      <c r="G131" s="7" t="inlineStr">
        <is>
          <t>33, 38 (TRƯỢT ❌)</t>
        </is>
      </c>
      <c r="H131" s="6" t="inlineStr">
        <is>
          <t>TRÚNG N3 (Siêu Lọc 🎯)</t>
        </is>
      </c>
      <c r="I13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1" s="3" t="inlineStr">
        <is>
          <t>01, 03, 04, 08, 09, 10, 12, 13, 17, 18, 21, 22, 24, 26, 27, 29, 30, 31, 33, 35, 36, 38, 40, 42, 44, 45, 47, 49 (28 số)</t>
        </is>
      </c>
      <c r="K131" s="3" t="inlineStr">
        <is>
          <t>01, 03, 04, 08, 09, 10, 12, 13, 17, 18, 21, 22, 24, 26, 27, 29, 30, 31, 33, 35, 36, 38, 40, 42, 44, 45, 47, 49 (28 số)</t>
        </is>
      </c>
    </row>
    <row r="132">
      <c r="A132" s="2" t="n">
        <v>130</v>
      </c>
      <c r="B132" s="2" t="inlineStr">
        <is>
          <t>Thứ năm ngày 14-05-2026</t>
        </is>
      </c>
      <c r="C132" s="3" t="inlineStr">
        <is>
          <t>94 (Trúng)</t>
        </is>
      </c>
      <c r="D132" s="3" t="inlineStr">
        <is>
          <t>04 (Trúng)</t>
        </is>
      </c>
      <c r="E132" s="3" t="inlineStr">
        <is>
          <t>84 (Không)</t>
        </is>
      </c>
      <c r="F132" s="3" t="inlineStr">
        <is>
          <t>---</t>
        </is>
      </c>
      <c r="G132" s="6" t="inlineStr">
        <is>
          <t>04, 43 (TRÚNG 🎯)</t>
        </is>
      </c>
      <c r="H132" s="6" t="inlineStr">
        <is>
          <t>TRÚNG N1 🎯</t>
        </is>
      </c>
      <c r="I1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32" s="3" t="inlineStr">
        <is>
          <t>02, 03, 04, 07, 09, 11, 13, 16, 17, 18, 20, 21, 22, 25, 26, 27, 30, 31, 34, 35, 36, 39, 40, 43, 44, 45, 48, 49 (28 số)</t>
        </is>
      </c>
      <c r="K132" s="3" t="inlineStr">
        <is>
          <t>02, 03, 04, 07, 09, 11, 13, 16, 17, 18, 20, 21, 22, 25, 26, 27, 30, 31, 34, 35, 36, 39, 40, 43, 44, 45, 48, 49 (28 số)</t>
        </is>
      </c>
    </row>
    <row r="133">
      <c r="A133" s="2" t="n">
        <v>131</v>
      </c>
      <c r="B133" s="2" t="inlineStr">
        <is>
          <t>Thứ sáu ngày 15-05-2026</t>
        </is>
      </c>
      <c r="C133" s="3" t="inlineStr">
        <is>
          <t>04 (Trúng)</t>
        </is>
      </c>
      <c r="D133" s="3" t="inlineStr">
        <is>
          <t>84 (Không)</t>
        </is>
      </c>
      <c r="E133" s="3" t="inlineStr">
        <is>
          <t>61 (Không)</t>
        </is>
      </c>
      <c r="F133" s="3" t="inlineStr">
        <is>
          <t>---</t>
        </is>
      </c>
      <c r="G133" s="7" t="inlineStr">
        <is>
          <t>09, 33 (TRƯỢT ❌)</t>
        </is>
      </c>
      <c r="H133" s="6" t="inlineStr">
        <is>
          <t>TRÚNG N1 🎯</t>
        </is>
      </c>
      <c r="I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33" s="3" t="inlineStr">
        <is>
          <t>51, 53, 54, 56, 58, 59, 60, 62, 63, 67, 68, 71, 72, 74, 76, 77, 79, 80, 81, 83, 85, 86, 88, 90, 94, 95, 97, 99 (28 số)</t>
        </is>
      </c>
      <c r="K133" s="3" t="inlineStr">
        <is>
          <t>51, 53, 54, 58, 59, 60, 62, 63, 65, 67, 68, 71, 72, 74, 76, 77, 79, 80, 81, 83, 85, 86, 88, 90, 94, 95, 97, 99 (28 số)</t>
        </is>
      </c>
    </row>
    <row r="134">
      <c r="A134" s="2" t="n">
        <v>132</v>
      </c>
      <c r="B134" s="2" t="inlineStr">
        <is>
          <t>Thứ bảy ngày 16-05-2026</t>
        </is>
      </c>
      <c r="C134" s="3" t="inlineStr">
        <is>
          <t>84 (Trúng)</t>
        </is>
      </c>
      <c r="D134" s="3" t="inlineStr">
        <is>
          <t>61 (Không)</t>
        </is>
      </c>
      <c r="E134" s="3" t="inlineStr">
        <is>
          <t>54 (Không)</t>
        </is>
      </c>
      <c r="F134" s="3" t="inlineStr">
        <is>
          <t>---</t>
        </is>
      </c>
      <c r="G134" s="7" t="inlineStr">
        <is>
          <t>04, 60 (TRƯỢT ❌)</t>
        </is>
      </c>
      <c r="H134" s="6" t="inlineStr">
        <is>
          <t>TRÚNG N1 🎯</t>
        </is>
      </c>
      <c r="I13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34" s="3" t="inlineStr">
        <is>
          <t>01, 02, 04, 07, 09, 10, 11, 13, 16, 18, 20, 22, 24, 25, 27, 29, 31, 33, 34, 36, 38, 39, 40, 42, 43, 45, 47, 48 (28 số)</t>
        </is>
      </c>
      <c r="K134" s="3" t="inlineStr">
        <is>
          <t>01, 02, 04, 07, 09, 10, 11, 13, 16, 18, 20, 22, 24, 25, 27, 29, 31, 33, 34, 36, 38, 39, 40, 42, 43, 45, 47, 48 (28 số)</t>
        </is>
      </c>
    </row>
    <row r="135">
      <c r="A135" s="2" t="n">
        <v>133</v>
      </c>
      <c r="B135" s="2" t="inlineStr">
        <is>
          <t>Chủ nhật ngày 17-05-2026</t>
        </is>
      </c>
      <c r="C135" s="3" t="inlineStr">
        <is>
          <t>61 (Không)</t>
        </is>
      </c>
      <c r="D135" s="3" t="inlineStr">
        <is>
          <t>54 (Không)</t>
        </is>
      </c>
      <c r="E135" s="3" t="inlineStr">
        <is>
          <t>68 (Không)</t>
        </is>
      </c>
      <c r="F135" s="3" t="inlineStr">
        <is>
          <t>---</t>
        </is>
      </c>
      <c r="G135" s="7" t="inlineStr">
        <is>
          <t>09, 22 (TRƯỢT ❌)</t>
        </is>
      </c>
      <c r="H135" s="7" t="inlineStr">
        <is>
          <t>TRƯỢT KHUNG ❌</t>
        </is>
      </c>
      <c r="I135" s="3" t="inlineStr">
        <is>
          <t>01, 04, 06, 09, 10, 13, 15, 18, 22, 24, 27, 29, 31, 33, 36, 38, 40, 42, 45, 47, 51, 54, 56, 59, 60, 63, 65, 68, 72, 74, 77, 79, 81, 83, 86, 88, 90, 92, 95, 97 (40 số)</t>
        </is>
      </c>
      <c r="J135" s="3" t="inlineStr">
        <is>
          <t>01, 04, 06, 09, 10, 13, 15, 18, 22, 24, 27, 29, 31, 33, 36, 38, 40, 42, 45, 47 (20 số)</t>
        </is>
      </c>
      <c r="K135" s="3" t="inlineStr">
        <is>
          <t>01, 04, 06, 09, 10, 13, 15, 18, 22, 24, 27, 29, 31, 33, 36, 38, 40, 42, 45, 47 (20 số)</t>
        </is>
      </c>
    </row>
    <row r="136">
      <c r="A136" s="2" t="n">
        <v>134</v>
      </c>
      <c r="B136" s="2" t="inlineStr">
        <is>
          <t>Thứ hai ngày 18-05-2026</t>
        </is>
      </c>
      <c r="C136" s="3" t="inlineStr">
        <is>
          <t>54 (Không)</t>
        </is>
      </c>
      <c r="D136" s="3" t="inlineStr">
        <is>
          <t>68 (Không)</t>
        </is>
      </c>
      <c r="E136" s="3" t="inlineStr">
        <is>
          <t>85 (Không)</t>
        </is>
      </c>
      <c r="F136" s="3" t="inlineStr">
        <is>
          <t>---</t>
        </is>
      </c>
      <c r="G136" s="7" t="inlineStr">
        <is>
          <t>11, 49 (TRƯỢT ❌)</t>
        </is>
      </c>
      <c r="H136" s="7" t="inlineStr">
        <is>
          <t>TRƯỢT KHUNG ❌</t>
        </is>
      </c>
      <c r="I136" s="3" t="inlineStr">
        <is>
          <t>02, 03, 07, 08, 11, 12, 16, 17, 20, 21, 25, 26, 30, 34, 35, 39, 43, 44, 48, 49, 52, 53, 57, 58, 61, 62, 66, 67, 70, 71, 75, 76, 80, 84, 85, 89, 93, 94, 98, 99 (40 số)</t>
        </is>
      </c>
      <c r="J136" s="3" t="inlineStr">
        <is>
          <t>02, 03, 07, 08, 11, 12, 16, 17, 20, 21, 25, 26, 30, 34, 35, 39, 43, 44, 48, 49 (20 số)</t>
        </is>
      </c>
      <c r="K136" s="3" t="inlineStr">
        <is>
          <t>02, 03, 07, 08, 11, 12, 16, 17, 20, 21, 25, 26, 30, 34, 35, 39, 43, 44, 48, 49 (20 số)</t>
        </is>
      </c>
    </row>
    <row r="137">
      <c r="A137" s="2" t="n">
        <v>135</v>
      </c>
      <c r="B137" s="2" t="inlineStr">
        <is>
          <t>Thứ ba ngày 19-05-2026</t>
        </is>
      </c>
      <c r="C137" s="3" t="inlineStr">
        <is>
          <t>68 (Trúng)</t>
        </is>
      </c>
      <c r="D137" s="3" t="inlineStr">
        <is>
          <t>85 (Không)</t>
        </is>
      </c>
      <c r="E137" s="3" t="inlineStr">
        <is>
          <t>39 (Không)</t>
        </is>
      </c>
      <c r="F137" s="3" t="inlineStr">
        <is>
          <t>---</t>
        </is>
      </c>
      <c r="G137" s="7" t="inlineStr">
        <is>
          <t>17, 18 (TRƯỢT ❌)</t>
        </is>
      </c>
      <c r="H137" s="6" t="inlineStr">
        <is>
          <t>TRÚNG N1 🎯</t>
        </is>
      </c>
      <c r="I137" s="3" t="inlineStr">
        <is>
          <t>03, 04, 08, 09, 12, 13, 17, 18, 21, 22, 26, 27, 30, 31, 35, 36, 40, 44, 45, 49, 53, 54, 58, 59, 62, 63, 67, 68, 71, 72, 76, 77, 80, 81, 85, 86, 90, 94, 95, 99 (40 số)</t>
        </is>
      </c>
      <c r="J137" s="3" t="inlineStr">
        <is>
          <t>03, 04, 08, 09, 12, 13, 17, 18, 21, 22, 26, 27, 30, 31, 35, 36, 40, 44, 45, 49 (20 số)</t>
        </is>
      </c>
      <c r="K137" s="3" t="inlineStr">
        <is>
          <t>03, 04, 08, 09, 12, 13, 17, 18, 21, 22, 26, 27, 30, 31, 35, 36, 40, 44, 45, 49 (20 số)</t>
        </is>
      </c>
    </row>
    <row r="138">
      <c r="A138" s="2" t="n">
        <v>136</v>
      </c>
      <c r="B138" s="2" t="inlineStr">
        <is>
          <t>Thứ tư ngày 20-05-2026</t>
        </is>
      </c>
      <c r="C138" s="3" t="inlineStr">
        <is>
          <t>85 (Trúng)</t>
        </is>
      </c>
      <c r="D138" s="3" t="inlineStr">
        <is>
          <t>39 (Trúng)</t>
        </is>
      </c>
      <c r="E138" s="3" t="inlineStr">
        <is>
          <t>21 (Trúng)</t>
        </is>
      </c>
      <c r="F138" s="3" t="inlineStr">
        <is>
          <t>---</t>
        </is>
      </c>
      <c r="G138" s="7" t="inlineStr">
        <is>
          <t>10, 11 (TRƯỢT ❌)</t>
        </is>
      </c>
      <c r="H138" s="6" t="inlineStr">
        <is>
          <t>TRÚNG N1 🎯</t>
        </is>
      </c>
      <c r="I13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38" s="3" t="inlineStr">
        <is>
          <t>01, 02, 03, 07, 08, 10, 11, 12, 16, 17, 20, 21, 24, 25, 26, 29, 30, 33, 34, 35, 38, 39, 42, 43, 44, 47, 48, 49 (28 số)</t>
        </is>
      </c>
      <c r="K138" s="3" t="inlineStr">
        <is>
          <t>01, 02, 03, 07, 08, 10, 11, 12, 16, 17, 20, 21, 24, 25, 26, 29, 30, 33, 34, 35, 38, 39, 42, 43, 44, 47, 48, 49 (28 số)</t>
        </is>
      </c>
    </row>
    <row r="139">
      <c r="A139" s="2" t="n">
        <v>137</v>
      </c>
      <c r="B139" s="2" t="inlineStr">
        <is>
          <t>Thứ năm ngày 21-05-2026</t>
        </is>
      </c>
      <c r="C139" s="3" t="inlineStr">
        <is>
          <t>39 (Không)</t>
        </is>
      </c>
      <c r="D139" s="3" t="inlineStr">
        <is>
          <t>21 (Không)</t>
        </is>
      </c>
      <c r="E139" s="3" t="inlineStr">
        <is>
          <t>04 (Không)</t>
        </is>
      </c>
      <c r="F139" s="3" t="inlineStr">
        <is>
          <t>---</t>
        </is>
      </c>
      <c r="G139" s="7" t="inlineStr">
        <is>
          <t>38, 54 (TRƯỢT ❌)</t>
        </is>
      </c>
      <c r="H139" s="7" t="inlineStr">
        <is>
          <t>TRƯỢT KHUNG ❌</t>
        </is>
      </c>
      <c r="I139" s="3" t="inlineStr">
        <is>
          <t>01, 04, 06, 09, 10, 13, 15, 18, 22, 24, 27, 29, 31, 33, 36, 38, 40, 42, 45, 47, 51, 54, 56, 59, 60, 63, 65, 68, 72, 74, 77, 79, 81, 83, 86, 88, 90, 92, 95, 97 (40 số)</t>
        </is>
      </c>
      <c r="J139" s="3" t="inlineStr">
        <is>
          <t>51, 54, 56, 59, 60, 63, 65, 68, 72, 74, 77, 79, 81, 83, 86, 88, 90, 92, 95, 97 (20 số)</t>
        </is>
      </c>
      <c r="K139" s="3" t="inlineStr">
        <is>
          <t>51, 54, 56, 59, 60, 63, 65, 68, 72, 74, 77, 79, 81, 83, 86, 88, 90, 92, 95, 97 (20 số)</t>
        </is>
      </c>
    </row>
    <row r="140">
      <c r="A140" s="2" t="n">
        <v>138</v>
      </c>
      <c r="B140" s="2" t="inlineStr">
        <is>
          <t>Thứ sáu ngày 22-05-2026</t>
        </is>
      </c>
      <c r="C140" s="3" t="inlineStr">
        <is>
          <t>21 (Trúng)</t>
        </is>
      </c>
      <c r="D140" s="3" t="inlineStr">
        <is>
          <t>04 (Không)</t>
        </is>
      </c>
      <c r="E140" s="3" t="inlineStr">
        <is>
          <t>81 (Không)</t>
        </is>
      </c>
      <c r="F140" s="3" t="inlineStr">
        <is>
          <t>---</t>
        </is>
      </c>
      <c r="G140" s="7" t="inlineStr">
        <is>
          <t>12, 39 (TRƯỢT ❌)</t>
        </is>
      </c>
      <c r="H140" s="6" t="inlineStr">
        <is>
          <t>TRÚNG N1 🎯</t>
        </is>
      </c>
      <c r="I1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40" s="3" t="inlineStr">
        <is>
          <t>50, 52, 53, 57, 58, 61, 62, 64, 66, 67, 69, 70, 71, 73, 75, 76, 78, 80, 84, 85, 87, 89, 91, 93, 94, 96, 98, 99 (28 số)</t>
        </is>
      </c>
      <c r="K140" s="3" t="inlineStr">
        <is>
          <t>50, 52, 53, 57, 58, 61, 62, 64, 66, 67, 69, 70, 71, 73, 75, 76, 78, 80, 84, 85, 87, 89, 91, 93, 94, 96, 98, 99 (28 số)</t>
        </is>
      </c>
    </row>
    <row r="141">
      <c r="A141" s="2" t="n">
        <v>139</v>
      </c>
      <c r="B141" s="2" t="inlineStr">
        <is>
          <t>Thứ bảy ngày 23-05-2026</t>
        </is>
      </c>
      <c r="C141" s="3" t="inlineStr">
        <is>
          <t>04 (Trúng)</t>
        </is>
      </c>
      <c r="D141" s="3" t="inlineStr">
        <is>
          <t>81 (Trúng)</t>
        </is>
      </c>
      <c r="E141" s="3" t="inlineStr">
        <is>
          <t>11 (Không)</t>
        </is>
      </c>
      <c r="F141" s="3" t="inlineStr">
        <is>
          <t>---</t>
        </is>
      </c>
      <c r="G141" s="7" t="inlineStr">
        <is>
          <t>21, 26 (TRƯỢT ❌)</t>
        </is>
      </c>
      <c r="H141" s="6" t="inlineStr">
        <is>
          <t>TRÚNG N1 🎯</t>
        </is>
      </c>
      <c r="I14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41" s="3" t="inlineStr">
        <is>
          <t>52, 53, 54, 57, 58, 59, 61, 63, 66, 67, 68, 70, 71, 72, 75, 77, 80, 81, 84, 85, 86, 89, 90, 93, 94, 95, 98, 99 (28 số)</t>
        </is>
      </c>
      <c r="K141" s="3" t="inlineStr">
        <is>
          <t>52, 53, 54, 57, 58, 59, 61, 63, 66, 67, 68, 70, 71, 72, 75, 77, 80, 81, 84, 85, 86, 89, 90, 93, 94, 95, 98, 99 (28 số)</t>
        </is>
      </c>
    </row>
    <row r="142">
      <c r="A142" s="2" t="n">
        <v>140</v>
      </c>
      <c r="B142" s="2" t="inlineStr">
        <is>
          <t>Chủ nhật ngày 24-05-2026</t>
        </is>
      </c>
      <c r="C142" s="3" t="inlineStr">
        <is>
          <t>81 (Không)</t>
        </is>
      </c>
      <c r="D142" s="3" t="inlineStr">
        <is>
          <t>11 (Không)</t>
        </is>
      </c>
      <c r="E142" s="3" t="inlineStr">
        <is>
          <t>13 (Không)</t>
        </is>
      </c>
      <c r="F142" s="3" t="inlineStr">
        <is>
          <t>---</t>
        </is>
      </c>
      <c r="G142" s="7" t="inlineStr">
        <is>
          <t>06, 29 (TRƯỢT ❌)</t>
        </is>
      </c>
      <c r="H142" s="7" t="inlineStr">
        <is>
          <t>TRƯỢT KHUNG ❌</t>
        </is>
      </c>
      <c r="I142" s="3" t="inlineStr">
        <is>
          <t>01, 03, 06, 08, 10, 12, 15, 17, 21, 24, 26, 29, 30, 33, 35, 38, 42, 44, 47, 49, 51, 53, 56, 58, 60, 62, 65, 67, 71, 74, 76, 79, 80, 83, 85, 88, 92, 94, 97, 99 (40 số)</t>
        </is>
      </c>
      <c r="J142" s="3" t="inlineStr">
        <is>
          <t>01, 03, 06, 08, 10, 12, 15, 17, 21, 24, 26, 29, 30, 33, 35, 38, 42, 44, 47, 49 (20 số)</t>
        </is>
      </c>
      <c r="K142" s="3" t="inlineStr">
        <is>
          <t>01, 03, 06, 08, 10, 12, 15, 17, 21, 24, 26, 29, 30, 33, 35, 38, 42, 44, 47, 49 (20 số)</t>
        </is>
      </c>
    </row>
    <row r="143">
      <c r="A143" s="2" t="n">
        <v>141</v>
      </c>
      <c r="B143" s="2" t="inlineStr">
        <is>
          <t>Thứ hai ngày 25-05-2026</t>
        </is>
      </c>
      <c r="C143" s="3" t="inlineStr">
        <is>
          <t>11 (Trúng)</t>
        </is>
      </c>
      <c r="D143" s="3" t="inlineStr">
        <is>
          <t>13 (Không)</t>
        </is>
      </c>
      <c r="E143" s="3" t="inlineStr">
        <is>
          <t>50 (Không)</t>
        </is>
      </c>
      <c r="F143" s="3" t="inlineStr">
        <is>
          <t>---</t>
        </is>
      </c>
      <c r="G143" s="7" t="inlineStr">
        <is>
          <t>43, 81 (TRƯỢT ❌)</t>
        </is>
      </c>
      <c r="H143" s="6" t="inlineStr">
        <is>
          <t>TRÚNG N1 🎯</t>
        </is>
      </c>
      <c r="I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43" s="3" t="inlineStr">
        <is>
          <t>51, 52, 54, 56, 57, 59, 60, 61, 63, 66, 68, 70, 72, 74, 75, 77, 79, 81, 83, 84, 86, 88, 89, 90, 93, 95, 97, 98 (28 số)</t>
        </is>
      </c>
      <c r="K143" s="3" t="inlineStr">
        <is>
          <t>51, 52, 54, 56, 57, 59, 60, 61, 63, 66, 68, 70, 72, 74, 75, 77, 79, 81, 83, 84, 86, 88, 89, 90, 93, 95, 97, 98 (28 số)</t>
        </is>
      </c>
    </row>
    <row r="144">
      <c r="A144" s="2" t="n">
        <v>142</v>
      </c>
      <c r="B144" s="2" t="inlineStr">
        <is>
          <t>Thứ ba ngày 26-05-2026</t>
        </is>
      </c>
      <c r="C144" s="3" t="inlineStr">
        <is>
          <t>13 (Không)</t>
        </is>
      </c>
      <c r="D144" s="3" t="inlineStr">
        <is>
          <t>50 (Trúng)</t>
        </is>
      </c>
      <c r="E144" s="3" t="inlineStr">
        <is>
          <t>54 (Không)</t>
        </is>
      </c>
      <c r="F144" s="3" t="inlineStr">
        <is>
          <t>---</t>
        </is>
      </c>
      <c r="G144" s="7" t="inlineStr">
        <is>
          <t>11, 28 (TRƯỢT ❌)</t>
        </is>
      </c>
      <c r="H144" s="6" t="inlineStr">
        <is>
          <t>TRÚNG N2 (Siêu Lọc 🎯)</t>
        </is>
      </c>
      <c r="I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44" s="3" t="inlineStr">
        <is>
          <t>50, 51, 52, 56, 57, 60, 61, 64, 65, 66, 69, 70, 73, 74, 75, 78, 79, 82, 83, 84, 87, 88, 89, 91, 93, 96, 97, 98 (28 số)</t>
        </is>
      </c>
      <c r="K144" s="3" t="inlineStr">
        <is>
          <t>50, 51, 52, 56, 57, 60, 61, 64, 65, 66, 69, 70, 73, 74, 75, 78, 79, 82, 83, 84, 87, 88, 89, 91, 93, 96, 97, 98 (28 số)</t>
        </is>
      </c>
    </row>
    <row r="145">
      <c r="A145" s="2" t="n">
        <v>143</v>
      </c>
      <c r="B145" s="2" t="inlineStr">
        <is>
          <t>Thứ tư ngày 27-05-2026</t>
        </is>
      </c>
      <c r="C145" s="3" t="inlineStr">
        <is>
          <t>50 (Không)</t>
        </is>
      </c>
      <c r="D145" s="3" t="inlineStr">
        <is>
          <t>54 (Không)</t>
        </is>
      </c>
      <c r="E145" s="3" t="inlineStr">
        <is>
          <t>43 (Trúng)</t>
        </is>
      </c>
      <c r="F145" s="3" t="inlineStr">
        <is>
          <t>---</t>
        </is>
      </c>
      <c r="G145" s="7" t="inlineStr">
        <is>
          <t>13, 16 (TRƯỢT ❌)</t>
        </is>
      </c>
      <c r="H145" s="6" t="inlineStr">
        <is>
          <t>TRÚNG N3 (Siêu Lọc 🎯)</t>
        </is>
      </c>
      <c r="I145" s="3" t="inlineStr">
        <is>
          <t>02, 04, 07, 09, 11, 13, 16, 18, 20, 22, 25, 27, 31, 34, 36, 39, 40, 43, 45, 48, 52, 54, 57, 59, 61, 63, 66, 68, 70, 72, 75, 77, 81, 84, 86, 89, 90, 93, 95, 98 (40 số)</t>
        </is>
      </c>
      <c r="J145" s="3" t="inlineStr">
        <is>
          <t>02, 04, 07, 09, 11, 13, 16, 18, 20, 22, 25, 27, 31, 34, 36, 39, 40, 43, 45, 48 (20 số)</t>
        </is>
      </c>
      <c r="K145" s="3" t="inlineStr">
        <is>
          <t>02, 04, 07, 09, 11, 13, 16, 18, 20, 22, 25, 27, 31, 34, 36, 39, 40, 43, 45, 48 (20 số)</t>
        </is>
      </c>
    </row>
    <row r="146">
      <c r="A146" s="2" t="n">
        <v>144</v>
      </c>
      <c r="B146" s="2" t="inlineStr">
        <is>
          <t>Thứ năm ngày 28-05-2026</t>
        </is>
      </c>
      <c r="C146" s="3" t="inlineStr">
        <is>
          <t>54 (Không)</t>
        </is>
      </c>
      <c r="D146" s="3" t="inlineStr">
        <is>
          <t>43 (Trúng)</t>
        </is>
      </c>
      <c r="E146" s="3" t="inlineStr">
        <is>
          <t>42 (Trúng)</t>
        </is>
      </c>
      <c r="F146" s="3" t="inlineStr">
        <is>
          <t>---</t>
        </is>
      </c>
      <c r="G146" s="7" t="inlineStr">
        <is>
          <t>00, 16 (TRƯỢT ❌)</t>
        </is>
      </c>
      <c r="H146" s="6" t="inlineStr">
        <is>
          <t>TRÚNG N2 (Siêu Lọc 🎯)</t>
        </is>
      </c>
      <c r="I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 (60 số)</t>
        </is>
      </c>
      <c r="J146" s="3" t="inlineStr">
        <is>
          <t>00, 01, 02, 07, 10, 11, 14, 15, 16, 19, 20, 23, 24, 25, 28, 29, 32, 33, 34, 37, 38, 39, 41, 42, 43, 46, 47, 48 (28 số)</t>
        </is>
      </c>
      <c r="K146" s="3" t="inlineStr">
        <is>
          <t>00, 01, 02, 07, 10, 11, 14, 15, 16, 19, 20, 23, 24, 25, 28, 29, 32, 33, 34, 37, 38, 39, 41, 42, 43, 46, 47, 48 (28 số)</t>
        </is>
      </c>
    </row>
    <row r="147">
      <c r="A147" s="2" t="n">
        <v>145</v>
      </c>
      <c r="B147" s="2" t="inlineStr">
        <is>
          <t>Thứ sáu ngày 29-05-2026</t>
        </is>
      </c>
      <c r="C147" s="3" t="inlineStr">
        <is>
          <t>43 (Trúng)</t>
        </is>
      </c>
      <c r="D147" s="3" t="inlineStr">
        <is>
          <t>42 (Không)</t>
        </is>
      </c>
      <c r="E147" s="3" t="inlineStr">
        <is>
          <t>53 (Trúng)</t>
        </is>
      </c>
      <c r="F147" s="3" t="inlineStr">
        <is>
          <t>---</t>
        </is>
      </c>
      <c r="G147" s="7" t="inlineStr">
        <is>
          <t>16, 17 (TRƯỢT ❌)</t>
        </is>
      </c>
      <c r="H147" s="6" t="inlineStr">
        <is>
          <t>TRÚNG N1 🎯</t>
        </is>
      </c>
      <c r="I147" s="3" t="inlineStr">
        <is>
          <t>02, 03, 07, 08, 11, 12, 16, 17, 20, 21, 25, 26, 30, 34, 35, 39, 43, 44, 48, 49, 52, 53, 57, 58, 61, 62, 66, 67, 70, 71, 75, 76, 80, 84, 85, 89, 93, 94, 98, 99 (40 số)</t>
        </is>
      </c>
      <c r="J147" s="3" t="inlineStr">
        <is>
          <t>52, 53, 57, 58, 61, 62, 66, 67, 70, 71, 75, 76, 80, 84, 85, 89, 93, 94, 98, 99 (20 số)</t>
        </is>
      </c>
      <c r="K147" s="3" t="inlineStr">
        <is>
          <t>52, 53, 57, 58, 61, 62, 66, 67, 70, 71, 75, 76, 80, 84, 85, 89, 93, 94, 98, 99 (20 số)</t>
        </is>
      </c>
    </row>
    <row r="148">
      <c r="A148" s="2" t="n">
        <v>146</v>
      </c>
      <c r="B148" s="2" t="inlineStr">
        <is>
          <t>Thứ bảy ngày 30-05-2026</t>
        </is>
      </c>
      <c r="C148" s="3" t="inlineStr">
        <is>
          <t>42 (Trúng)</t>
        </is>
      </c>
      <c r="D148" s="3" t="inlineStr">
        <is>
          <t>53 (Không)</t>
        </is>
      </c>
      <c r="E148" s="3" t="inlineStr">
        <is>
          <t>23 (Không)</t>
        </is>
      </c>
      <c r="F148" s="3" t="inlineStr">
        <is>
          <t>---</t>
        </is>
      </c>
      <c r="G148" s="7" t="inlineStr">
        <is>
          <t>51, 56 (TRƯỢT ❌)</t>
        </is>
      </c>
      <c r="H148" s="6" t="inlineStr">
        <is>
          <t>TRÚNG N1 🎯</t>
        </is>
      </c>
      <c r="I148" s="3" t="inlineStr">
        <is>
          <t>00, 01, 05, 06, 10, 14, 15, 19, 23, 24, 28, 29, 32, 33, 37, 38, 41, 42, 46, 47, 50, 51, 55, 56, 60, 64, 65, 69, 73, 74, 78, 79, 82, 83, 87, 88, 91, 92, 96, 97 (40 số)</t>
        </is>
      </c>
      <c r="J148" s="3" t="inlineStr">
        <is>
          <t>50, 51, 55, 56, 60, 64, 65, 69, 73, 74, 78, 79, 82, 83, 87, 88, 91, 92, 96, 97 (20 số)</t>
        </is>
      </c>
      <c r="K148" s="3" t="inlineStr">
        <is>
          <t>50, 51, 55, 56, 60, 64, 65, 69, 73, 74, 78, 79, 82, 83, 87, 88, 91, 92, 96, 97 (20 số)</t>
        </is>
      </c>
    </row>
    <row r="149">
      <c r="A149" s="2" t="n">
        <v>147</v>
      </c>
      <c r="B149" s="2" t="inlineStr">
        <is>
          <t>Chủ nhật ngày 31-05-2026</t>
        </is>
      </c>
      <c r="C149" s="3" t="inlineStr">
        <is>
          <t>53 (Không)</t>
        </is>
      </c>
      <c r="D149" s="3" t="inlineStr">
        <is>
          <t>23 (Trúng)</t>
        </is>
      </c>
      <c r="E149" s="3" t="inlineStr">
        <is>
          <t>36 (Trúng)</t>
        </is>
      </c>
      <c r="F149" s="3" t="inlineStr">
        <is>
          <t>---</t>
        </is>
      </c>
      <c r="G149" s="7" t="inlineStr">
        <is>
          <t>39, 73 (TRƯỢT ❌)</t>
        </is>
      </c>
      <c r="H149" s="6" t="inlineStr">
        <is>
          <t>TRÚNG N2 (Siêu Lọc 🎯)</t>
        </is>
      </c>
      <c r="I1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49" s="3" t="inlineStr">
        <is>
          <t>02, 04, 07, 09, 11, 13, 14, 16, 18, 19, 20, 22, 23, 25, 27, 28, 31, 32, 34, 36, 37, 39, 40, 41, 43, 45, 46, 48 (28 số)</t>
        </is>
      </c>
      <c r="K149" s="3" t="inlineStr">
        <is>
          <t>02, 04, 07, 09, 11, 13, 14, 16, 18, 19, 20, 22, 23, 25, 27, 28, 31, 32, 34, 36, 37, 39, 40, 41, 43, 45, 46, 48 (28 số)</t>
        </is>
      </c>
    </row>
    <row r="150">
      <c r="A150" s="2" t="n">
        <v>148</v>
      </c>
      <c r="B150" s="2" t="inlineStr">
        <is>
          <t>Thứ hai ngày 01-06-2026</t>
        </is>
      </c>
      <c r="C150" s="3" t="inlineStr">
        <is>
          <t>23 (Không)</t>
        </is>
      </c>
      <c r="D150" s="3" t="inlineStr">
        <is>
          <t>36 (Không)</t>
        </is>
      </c>
      <c r="E150" s="3" t="inlineStr">
        <is>
          <t>83 (Trúng)</t>
        </is>
      </c>
      <c r="F150" s="3" t="inlineStr">
        <is>
          <t>---</t>
        </is>
      </c>
      <c r="G150" s="7" t="inlineStr">
        <is>
          <t>10, 20 (TRƯỢT ❌)</t>
        </is>
      </c>
      <c r="H150" s="6" t="inlineStr">
        <is>
          <t>TRÚNG N3 (Siêu Lọc 🎯)</t>
        </is>
      </c>
      <c r="I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0" s="3" t="inlineStr">
        <is>
          <t>51, 52, 53, 56, 57, 58, 60, 61, 62, 66, 67, 70, 71, 74, 75, 76, 79, 80, 83, 84, 85, 88, 89, 93, 94, 97, 98, 99 (28 số)</t>
        </is>
      </c>
      <c r="K150" s="3" t="inlineStr">
        <is>
          <t>51, 52, 53, 56, 57, 58, 60, 61, 62, 66, 67, 70, 71, 74, 75, 76, 79, 80, 83, 84, 85, 88, 89, 93, 94, 97, 98, 99 (28 số)</t>
        </is>
      </c>
    </row>
    <row r="151">
      <c r="A151" s="2" t="n">
        <v>149</v>
      </c>
      <c r="B151" s="2" t="inlineStr">
        <is>
          <t>Thứ ba ngày 02-06-2026</t>
        </is>
      </c>
      <c r="C151" s="3" t="inlineStr">
        <is>
          <t>36 (Trúng)</t>
        </is>
      </c>
      <c r="D151" s="3" t="inlineStr">
        <is>
          <t>83 (Trúng)</t>
        </is>
      </c>
      <c r="E151" s="3" t="inlineStr">
        <is>
          <t>78 (Trúng)</t>
        </is>
      </c>
      <c r="F151" s="3" t="inlineStr">
        <is>
          <t>---</t>
        </is>
      </c>
      <c r="G151" s="7" t="inlineStr">
        <is>
          <t>23, 32 (TRƯỢT ❌)</t>
        </is>
      </c>
      <c r="H151" s="6" t="inlineStr">
        <is>
          <t>TRÚNG N1 🎯</t>
        </is>
      </c>
      <c r="I15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51" s="3" t="inlineStr">
        <is>
          <t>50, 51, 54, 56, 59, 60, 63, 64, 65, 68, 69, 72, 73, 74, 77, 78, 79, 81, 82, 83, 86, 87, 88, 90, 91, 95, 96, 97 (28 số)</t>
        </is>
      </c>
      <c r="K151" s="3" t="inlineStr">
        <is>
          <t>50, 51, 54, 56, 59, 60, 63, 64, 65, 68, 69, 72, 73, 74, 77, 78, 79, 81, 82, 83, 86, 87, 88, 90, 91, 95, 96, 97 (28 số)</t>
        </is>
      </c>
    </row>
    <row r="152">
      <c r="A152" s="2" t="n">
        <v>150</v>
      </c>
      <c r="B152" s="2" t="inlineStr">
        <is>
          <t>Thứ tư ngày 03-06-2026</t>
        </is>
      </c>
      <c r="C152" s="3" t="inlineStr">
        <is>
          <t>83 (Không)</t>
        </is>
      </c>
      <c r="D152" s="3" t="inlineStr">
        <is>
          <t>78 (Không)</t>
        </is>
      </c>
      <c r="E152" s="3" t="inlineStr">
        <is>
          <t>65 (Không)</t>
        </is>
      </c>
      <c r="F152" s="3" t="inlineStr">
        <is>
          <t>---</t>
        </is>
      </c>
      <c r="G152" s="7" t="inlineStr">
        <is>
          <t>34, 36 (TRƯỢT ❌)</t>
        </is>
      </c>
      <c r="H152" s="7" t="inlineStr">
        <is>
          <t>TRƯỢT KHUNG ❌</t>
        </is>
      </c>
      <c r="I152" s="3" t="inlineStr">
        <is>
          <t>02, 04, 07, 09, 11, 13, 16, 18, 20, 22, 25, 27, 31, 34, 36, 39, 40, 43, 45, 48, 52, 54, 57, 59, 61, 63, 66, 68, 70, 72, 75, 77, 81, 84, 86, 89, 90, 93, 95, 98 (40 số)</t>
        </is>
      </c>
      <c r="J152" s="3" t="inlineStr">
        <is>
          <t>02, 04, 07, 09, 11, 13, 16, 18, 20, 22, 25, 27, 31, 34, 36, 39, 40, 43, 45, 48 (20 số)</t>
        </is>
      </c>
      <c r="K152" s="3" t="inlineStr">
        <is>
          <t>02, 04, 07, 09, 11, 13, 16, 18, 20, 22, 25, 27, 31, 34, 36, 39, 40, 43, 45, 48 (20 số)</t>
        </is>
      </c>
    </row>
    <row r="153">
      <c r="A153" s="2" t="n">
        <v>151</v>
      </c>
      <c r="B153" s="2" t="inlineStr">
        <is>
          <t>Thứ năm ngày 04-06-2026</t>
        </is>
      </c>
      <c r="C153" s="3" t="inlineStr">
        <is>
          <t>78 (Không)</t>
        </is>
      </c>
      <c r="D153" s="3" t="inlineStr">
        <is>
          <t>65 (Không)</t>
        </is>
      </c>
      <c r="E153" s="3" t="inlineStr">
        <is>
          <t>93 (Không)</t>
        </is>
      </c>
      <c r="F153" s="3" t="inlineStr">
        <is>
          <t>---</t>
        </is>
      </c>
      <c r="G153" s="7" t="inlineStr">
        <is>
          <t>16, 33 (TRƯỢT ❌)</t>
        </is>
      </c>
      <c r="H153" s="7" t="inlineStr">
        <is>
          <t>TRƯỢT KHUNG ❌</t>
        </is>
      </c>
      <c r="I15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53" s="3" t="inlineStr">
        <is>
          <t>01, 02, 03, 07, 08, 10, 11, 12, 16, 17, 20, 21, 24, 25, 26, 29, 30, 33, 34, 35, 38, 39, 42, 43, 44, 47, 48, 49 (28 số)</t>
        </is>
      </c>
      <c r="K153" s="3" t="inlineStr">
        <is>
          <t>01, 02, 03, 07, 08, 10, 11, 12, 16, 17, 20, 21, 24, 25, 26, 29, 30, 33, 34, 35, 38, 39, 42, 43, 44, 47, 48, 49 (28 số)</t>
        </is>
      </c>
    </row>
    <row r="154">
      <c r="A154" s="2" t="n">
        <v>152</v>
      </c>
      <c r="B154" s="2" t="inlineStr">
        <is>
          <t>Thứ sáu ngày 05-06-2026</t>
        </is>
      </c>
      <c r="C154" s="3" t="inlineStr">
        <is>
          <t>65 (Không)</t>
        </is>
      </c>
      <c r="D154" s="3" t="inlineStr">
        <is>
          <t>93 (Không)</t>
        </is>
      </c>
      <c r="E154" s="3" t="inlineStr">
        <is>
          <t>05 (Không)</t>
        </is>
      </c>
      <c r="F154" s="3" t="inlineStr">
        <is>
          <t>---</t>
        </is>
      </c>
      <c r="G154" s="7" t="inlineStr">
        <is>
          <t>49, 52 (TRƯỢT ❌)</t>
        </is>
      </c>
      <c r="H154" s="7" t="inlineStr">
        <is>
          <t>TRƯỢT KHUNG ❌</t>
        </is>
      </c>
      <c r="I154" s="3" t="inlineStr">
        <is>
          <t>02, 03, 07, 08, 11, 12, 16, 17, 20, 21, 25, 26, 30, 34, 35, 39, 43, 44, 48, 49, 52, 53, 57, 58, 61, 62, 66, 67, 70, 71, 75, 76, 80, 84, 85, 89, 93, 94, 98, 99 (40 số)</t>
        </is>
      </c>
      <c r="J154" s="3" t="inlineStr">
        <is>
          <t>02, 03, 07, 08, 11, 12, 16, 17, 20, 21, 25, 26, 30, 34, 35, 39, 43, 44, 48, 49 (20 số)</t>
        </is>
      </c>
      <c r="K154" s="3" t="inlineStr">
        <is>
          <t>02, 03, 07, 08, 11, 12, 16, 17, 20, 21, 25, 26, 30, 34, 35, 39, 43, 44, 48, 49 (20 số)</t>
        </is>
      </c>
    </row>
    <row r="155">
      <c r="A155" s="2" t="n">
        <v>153</v>
      </c>
      <c r="B155" s="2" t="inlineStr">
        <is>
          <t>Thứ bảy ngày 06-06-2026</t>
        </is>
      </c>
      <c r="C155" s="3" t="inlineStr">
        <is>
          <t>93 (Không)</t>
        </is>
      </c>
      <c r="D155" s="3" t="inlineStr">
        <is>
          <t>05 (Trúng)</t>
        </is>
      </c>
      <c r="E155" s="3" t="inlineStr">
        <is>
          <t>51 (Không)</t>
        </is>
      </c>
      <c r="F155" s="3" t="inlineStr">
        <is>
          <t>---</t>
        </is>
      </c>
      <c r="G155" s="7" t="inlineStr">
        <is>
          <t>32, 53 (TRƯỢT ❌)</t>
        </is>
      </c>
      <c r="H155" s="6" t="inlineStr">
        <is>
          <t>TRÚNG N2 (Siêu Lọc 🎯)</t>
        </is>
      </c>
      <c r="I155" s="3" t="inlineStr">
        <is>
          <t>00, 03, 05, 08, 12, 14, 17, 19, 21, 23, 26, 28, 30, 32, 35, 37, 41, 44, 46, 49, 50, 53, 55, 58, 62, 64, 67, 69, 71, 73, 76, 78, 80, 82, 85, 87, 91, 94, 96, 99 (40 số)</t>
        </is>
      </c>
      <c r="J155" s="3" t="inlineStr">
        <is>
          <t>00, 03, 05, 08, 12, 14, 17, 19, 21, 23, 26, 28, 30, 32, 35, 37, 41, 44, 46, 49 (20 số)</t>
        </is>
      </c>
      <c r="K155" s="3" t="inlineStr">
        <is>
          <t>00, 03, 05, 08, 12, 14, 17, 19, 21, 23, 26, 28, 30, 32, 35, 37, 41, 44, 46, 49 (20 số)</t>
        </is>
      </c>
    </row>
    <row r="156">
      <c r="A156" s="2" t="n">
        <v>154</v>
      </c>
      <c r="B156" s="2" t="inlineStr">
        <is>
          <t>Chủ nhật ngày 07-06-2026</t>
        </is>
      </c>
      <c r="C156" s="3" t="inlineStr">
        <is>
          <t>05 (Trúng)</t>
        </is>
      </c>
      <c r="D156" s="3" t="inlineStr">
        <is>
          <t>51 (Không)</t>
        </is>
      </c>
      <c r="E156" s="3" t="inlineStr">
        <is>
          <t>08 (Không)</t>
        </is>
      </c>
      <c r="F156" s="3" t="inlineStr">
        <is>
          <t>---</t>
        </is>
      </c>
      <c r="G156" s="7" t="inlineStr">
        <is>
          <t>09, 11 (TRƯỢT ❌)</t>
        </is>
      </c>
      <c r="H156" s="6" t="inlineStr">
        <is>
          <t>TRÚNG N1 🎯</t>
        </is>
      </c>
      <c r="I15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6" s="3" t="inlineStr">
        <is>
          <t>50, 52, 54, 57, 59, 61, 63, 64, 66, 68, 69, 70, 72, 73, 75, 77, 78, 81, 84, 86, 87, 89, 90, 91, 93, 95, 96, 98 (28 số)</t>
        </is>
      </c>
      <c r="K156" s="3" t="inlineStr">
        <is>
          <t>50, 52, 54, 57, 59, 61, 63, 64, 66, 68, 69, 70, 72, 73, 75, 77, 78, 81, 84, 86, 87, 89, 90, 91, 93, 95, 96, 98 (28 số)</t>
        </is>
      </c>
    </row>
    <row r="157">
      <c r="A157" s="2" t="n">
        <v>155</v>
      </c>
      <c r="B157" s="2" t="inlineStr">
        <is>
          <t>Thứ hai ngày 08-06-2026</t>
        </is>
      </c>
      <c r="C157" s="3" t="inlineStr">
        <is>
          <t>51 (Không)</t>
        </is>
      </c>
      <c r="D157" s="3" t="inlineStr">
        <is>
          <t>08 (Không)</t>
        </is>
      </c>
      <c r="E157" s="3" t="inlineStr">
        <is>
          <t>83 (Không)</t>
        </is>
      </c>
      <c r="F157" s="3" t="inlineStr">
        <is>
          <t>---</t>
        </is>
      </c>
      <c r="G157" s="7" t="inlineStr">
        <is>
          <t>07, 21 (TRƯỢT ❌)</t>
        </is>
      </c>
      <c r="H157" s="7" t="inlineStr">
        <is>
          <t>TRƯỢT KHUNG ❌</t>
        </is>
      </c>
      <c r="I15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57" s="3" t="inlineStr">
        <is>
          <t>02, 03, 04, 07, 09, 11, 13, 16, 17, 18, 20, 21, 22, 25, 26, 27, 30, 31, 34, 35, 36, 39, 40, 43, 44, 45, 48, 49 (28 số)</t>
        </is>
      </c>
      <c r="K157" s="3" t="inlineStr">
        <is>
          <t>02, 03, 04, 07, 09, 11, 13, 16, 17, 18, 20, 21, 22, 25, 26, 27, 30, 31, 34, 35, 36, 39, 40, 43, 44, 45, 48, 49 (28 số)</t>
        </is>
      </c>
    </row>
    <row r="158">
      <c r="A158" s="2" t="n">
        <v>156</v>
      </c>
      <c r="B158" s="2" t="inlineStr">
        <is>
          <t>Thứ ba ngày 09-06-2026</t>
        </is>
      </c>
      <c r="C158" s="3" t="inlineStr">
        <is>
          <t>08 (Không)</t>
        </is>
      </c>
      <c r="D158" s="3" t="inlineStr">
        <is>
          <t>83 (Trúng)</t>
        </is>
      </c>
      <c r="E158" s="3" t="inlineStr">
        <is>
          <t>89 (Không)</t>
        </is>
      </c>
      <c r="F158" s="3" t="inlineStr">
        <is>
          <t>---</t>
        </is>
      </c>
      <c r="G158" s="7" t="inlineStr">
        <is>
          <t>10, 47 (TRƯỢT ❌)</t>
        </is>
      </c>
      <c r="H158" s="6" t="inlineStr">
        <is>
          <t>TRÚNG N2 (Siêu Lọc 🎯)</t>
        </is>
      </c>
      <c r="I158" s="3" t="inlineStr">
        <is>
          <t>01, 04, 06, 09, 10, 13, 15, 18, 22, 24, 27, 29, 31, 33, 36, 38, 40, 42, 45, 47, 51, 54, 56, 59, 60, 63, 65, 68, 72, 74, 77, 79, 81, 83, 86, 88, 90, 92, 95, 97 (40 số)</t>
        </is>
      </c>
      <c r="J158" s="3" t="inlineStr">
        <is>
          <t>51, 54, 56, 59, 60, 63, 65, 68, 72, 74, 77, 79, 81, 83, 86, 88, 90, 92, 95, 97 (20 số)</t>
        </is>
      </c>
      <c r="K158" s="3" t="inlineStr">
        <is>
          <t>51, 54, 56, 59, 60, 63, 65, 68, 72, 74, 77, 79, 81, 83, 86, 88, 90, 92, 95, 97 (20 số)</t>
        </is>
      </c>
    </row>
    <row r="159">
      <c r="A159" s="2" t="n">
        <v>157</v>
      </c>
      <c r="B159" s="2" t="inlineStr">
        <is>
          <t>Thứ tư ngày 10-06-2026</t>
        </is>
      </c>
      <c r="C159" s="3" t="inlineStr">
        <is>
          <t>83 (Không)</t>
        </is>
      </c>
      <c r="D159" s="3" t="inlineStr">
        <is>
          <t>89 (Không)</t>
        </is>
      </c>
      <c r="E159" s="3" t="inlineStr">
        <is>
          <t>14 (Trúng)</t>
        </is>
      </c>
      <c r="F159" s="3" t="inlineStr">
        <is>
          <t>---</t>
        </is>
      </c>
      <c r="G159" s="7" t="inlineStr">
        <is>
          <t>05, 07 (TRƯỢT ❌)</t>
        </is>
      </c>
      <c r="H159" s="6" t="inlineStr">
        <is>
          <t>TRÚNG N3 (Siêu Lọc 🎯)</t>
        </is>
      </c>
      <c r="I15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59" s="3" t="inlineStr">
        <is>
          <t>02, 04, 07, 09, 11, 13, 14, 16, 18, 19, 20, 22, 23, 25, 27, 28, 31, 32, 34, 36, 37, 39, 40, 41, 43, 45, 46, 48 (28 số)</t>
        </is>
      </c>
      <c r="K159" s="3" t="inlineStr">
        <is>
          <t>02, 04, 07, 09, 11, 13, 14, 16, 18, 19, 20, 22, 23, 25, 27, 28, 31, 32, 34, 36, 37, 39, 40, 41, 43, 45, 46, 48 (28 số)</t>
        </is>
      </c>
    </row>
    <row r="160">
      <c r="A160" s="2" t="n">
        <v>158</v>
      </c>
      <c r="B160" s="2" t="inlineStr">
        <is>
          <t>Thứ năm ngày 11-06-2026</t>
        </is>
      </c>
      <c r="C160" s="3" t="inlineStr">
        <is>
          <t>89 (Trúng)</t>
        </is>
      </c>
      <c r="D160" s="3" t="inlineStr">
        <is>
          <t>14 (Không)</t>
        </is>
      </c>
      <c r="E160" s="3" t="inlineStr">
        <is>
          <t>00 (Không)</t>
        </is>
      </c>
      <c r="F160" s="3" t="inlineStr">
        <is>
          <t>---</t>
        </is>
      </c>
      <c r="G160" s="7" t="inlineStr">
        <is>
          <t>20, 54 (TRƯỢT ❌)</t>
        </is>
      </c>
      <c r="H160" s="6" t="inlineStr">
        <is>
          <t>TRÚNG N1 🎯</t>
        </is>
      </c>
      <c r="I16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60" s="3" t="inlineStr">
        <is>
          <t>01, 02, 04, 07, 09, 10, 11, 13, 16, 18, 20, 22, 24, 25, 27, 29, 31, 33, 34, 36, 38, 39, 40, 42, 43, 45, 47, 48 (28 số)</t>
        </is>
      </c>
      <c r="K160" s="3" t="inlineStr">
        <is>
          <t>01, 02, 04, 07, 09, 10, 11, 13, 16, 18, 20, 22, 24, 25, 27, 29, 31, 33, 34, 36, 38, 39, 40, 42, 43, 45, 47, 48 (28 số)</t>
        </is>
      </c>
    </row>
    <row r="161">
      <c r="A161" s="2" t="n">
        <v>159</v>
      </c>
      <c r="B161" s="2" t="inlineStr">
        <is>
          <t>Thứ sáu ngày 12-06-2026</t>
        </is>
      </c>
      <c r="C161" s="3" t="inlineStr">
        <is>
          <t>14 (Không)</t>
        </is>
      </c>
      <c r="D161" s="3" t="inlineStr">
        <is>
          <t>00 (Không)</t>
        </is>
      </c>
      <c r="E161" s="3" t="inlineStr">
        <is>
          <t>80 (Trúng)</t>
        </is>
      </c>
      <c r="F161" s="3" t="inlineStr">
        <is>
          <t>---</t>
        </is>
      </c>
      <c r="G161" s="7" t="inlineStr">
        <is>
          <t>26, 76 (TRƯỢT ❌)</t>
        </is>
      </c>
      <c r="H161" s="6" t="inlineStr">
        <is>
          <t>TRÚNG N3 (Siêu Lọc 🎯)</t>
        </is>
      </c>
      <c r="I161" s="3" t="inlineStr">
        <is>
          <t>02, 03, 07, 08, 11, 12, 16, 17, 20, 21, 25, 26, 30, 34, 35, 39, 43, 44, 48, 49, 52, 53, 57, 58, 61, 62, 66, 67, 70, 71, 75, 76, 80, 84, 85, 89, 93, 94, 98, 99 (40 số)</t>
        </is>
      </c>
      <c r="J161" s="3" t="inlineStr">
        <is>
          <t>52, 53, 57, 58, 61, 62, 66, 67, 70, 71, 75, 76, 80, 84, 85, 89, 93, 94, 98, 99 (20 số)</t>
        </is>
      </c>
      <c r="K161" s="3" t="inlineStr">
        <is>
          <t>52, 53, 57, 58, 61, 62, 66, 67, 70, 71, 75, 76, 80, 84, 85, 89, 93, 94, 98, 99 (20 số)</t>
        </is>
      </c>
    </row>
    <row r="162">
      <c r="A162" s="2" t="n">
        <v>160</v>
      </c>
      <c r="B162" s="2" t="inlineStr">
        <is>
          <t>Thứ bảy ngày 13-06-2026</t>
        </is>
      </c>
      <c r="C162" s="3" t="inlineStr">
        <is>
          <t>00 (Không)</t>
        </is>
      </c>
      <c r="D162" s="3" t="inlineStr">
        <is>
          <t>80 (Trúng)</t>
        </is>
      </c>
      <c r="E162" s="3" t="inlineStr">
        <is>
          <t>84 (Trúng)</t>
        </is>
      </c>
      <c r="F162" s="3" t="inlineStr">
        <is>
          <t>---</t>
        </is>
      </c>
      <c r="G162" s="7" t="inlineStr">
        <is>
          <t>01, 44 (TRƯỢT ❌)</t>
        </is>
      </c>
      <c r="H162" s="6" t="inlineStr">
        <is>
          <t>TRÚNG N2 (Siêu Lọc 🎯)</t>
        </is>
      </c>
      <c r="I16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62" s="3" t="inlineStr">
        <is>
          <t>51, 52, 53, 56, 57, 58, 60, 61, 62, 66, 67, 70, 71, 74, 75, 76, 79, 80, 83, 84, 85, 88, 89, 93, 94, 97, 98, 99 (28 số)</t>
        </is>
      </c>
      <c r="K162" s="3" t="inlineStr">
        <is>
          <t>51, 52, 53, 57, 58, 60, 61, 62, 65, 66, 67, 70, 71, 74, 75, 76, 79, 80, 83, 84, 85, 88, 89, 93, 94, 97, 98, 99 (28 số)</t>
        </is>
      </c>
    </row>
    <row r="163">
      <c r="A163" s="2" t="n">
        <v>161</v>
      </c>
      <c r="B163" s="2" t="inlineStr">
        <is>
          <t>Chủ nhật ngày 14-06-2026</t>
        </is>
      </c>
      <c r="C163" s="3" t="inlineStr">
        <is>
          <t>80 (Trúng)</t>
        </is>
      </c>
      <c r="D163" s="3" t="inlineStr">
        <is>
          <t>84 (Không)</t>
        </is>
      </c>
      <c r="E163" s="3" t="inlineStr">
        <is>
          <t>03 (Trúng)</t>
        </is>
      </c>
      <c r="F163" s="3" t="inlineStr">
        <is>
          <t>---</t>
        </is>
      </c>
      <c r="G163" s="7" t="inlineStr">
        <is>
          <t>00, 48 (TRƯỢT ❌)</t>
        </is>
      </c>
      <c r="H163" s="6" t="inlineStr">
        <is>
          <t>TRÚNG N1 🎯</t>
        </is>
      </c>
      <c r="I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63" s="3" t="inlineStr">
        <is>
          <t>02, 03, 07, 08, 11, 12, 14, 16, 17, 19, 20, 21, 23, 25, 26, 28, 30, 32, 34, 35, 37, 39, 41, 43, 44, 46, 48, 49 (28 số)</t>
        </is>
      </c>
      <c r="K163" s="3" t="inlineStr">
        <is>
          <t>02, 03, 07, 08, 11, 12, 14, 16, 17, 19, 20, 21, 23, 25, 26, 28, 30, 32, 34, 35, 37, 39, 41, 43, 44, 46, 48, 49 (28 số)</t>
        </is>
      </c>
    </row>
    <row r="164">
      <c r="A164" s="2" t="n">
        <v>162</v>
      </c>
      <c r="B164" s="2" t="inlineStr">
        <is>
          <t>Thứ hai ngày 15-06-2026</t>
        </is>
      </c>
      <c r="C164" s="3" t="inlineStr">
        <is>
          <t>84 (Không)</t>
        </is>
      </c>
      <c r="D164" s="3" t="inlineStr">
        <is>
          <t>03 (Trúng)</t>
        </is>
      </c>
      <c r="E164" s="3" t="inlineStr">
        <is>
          <t>32 (Không)</t>
        </is>
      </c>
      <c r="F164" s="3" t="inlineStr">
        <is>
          <t>---</t>
        </is>
      </c>
      <c r="G164" s="7" t="inlineStr">
        <is>
          <t>27, 62 (TRƯỢT ❌)</t>
        </is>
      </c>
      <c r="H164" s="6" t="inlineStr">
        <is>
          <t>TRÚNG N2 (Siêu Lọc 🎯)</t>
        </is>
      </c>
      <c r="I164" s="3" t="inlineStr">
        <is>
          <t>03, 04, 08, 09, 12, 13, 17, 18, 21, 22, 26, 27, 30, 31, 35, 36, 40, 44, 45, 49, 53, 54, 58, 59, 62, 63, 67, 68, 71, 72, 76, 77, 80, 81, 85, 86, 90, 94, 95, 99 (40 số)</t>
        </is>
      </c>
      <c r="J164" s="3" t="inlineStr">
        <is>
          <t>03, 04, 08, 09, 12, 13, 17, 18, 21, 22, 26, 27, 30, 31, 35, 36, 40, 44, 45, 49 (20 số)</t>
        </is>
      </c>
      <c r="K164" s="3" t="inlineStr">
        <is>
          <t>03, 04, 08, 09, 12, 13, 17, 18, 21, 22, 26, 27, 30, 31, 35, 36, 40, 44, 45, 49 (20 số)</t>
        </is>
      </c>
    </row>
    <row r="165">
      <c r="A165" s="2" t="n">
        <v>163</v>
      </c>
      <c r="B165" s="2" t="inlineStr">
        <is>
          <t>Thứ ba ngày 16-06-2026</t>
        </is>
      </c>
      <c r="C165" s="3" t="inlineStr">
        <is>
          <t>03 (Không)</t>
        </is>
      </c>
      <c r="D165" s="3" t="inlineStr">
        <is>
          <t>32 (Không)</t>
        </is>
      </c>
      <c r="E165" s="3" t="inlineStr">
        <is>
          <t>55 (Không)</t>
        </is>
      </c>
      <c r="F165" s="3" t="inlineStr">
        <is>
          <t>---</t>
        </is>
      </c>
      <c r="G165" s="6" t="inlineStr">
        <is>
          <t>11, 55 (TRÚNG 🎯)</t>
        </is>
      </c>
      <c r="H165" s="7" t="inlineStr">
        <is>
          <t>TRƯỢT KHUNG ❌</t>
        </is>
      </c>
      <c r="I1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65" s="3" t="inlineStr">
        <is>
          <t>50, 52, 54, 57, 59, 61, 63, 64, 66, 68, 69, 70, 72, 73, 75, 77, 78, 81, 84, 86, 87, 89, 90, 91, 93, 95, 96, 98 (28 số)</t>
        </is>
      </c>
      <c r="K165" s="3" t="inlineStr">
        <is>
          <t>50, 52, 54, 57, 59, 61, 63, 64, 66, 68, 69, 70, 72, 73, 75, 77, 78, 81, 84, 86, 87, 89, 90, 91, 93, 95, 96, 98 (28 số)</t>
        </is>
      </c>
    </row>
    <row r="166">
      <c r="A166" s="2" t="n">
        <v>164</v>
      </c>
      <c r="B166" s="2" t="inlineStr">
        <is>
          <t>Thứ tư ngày 17-06-2026</t>
        </is>
      </c>
      <c r="C166" s="3" t="inlineStr">
        <is>
          <t>32 (Không)</t>
        </is>
      </c>
      <c r="D166" s="3" t="inlineStr">
        <is>
          <t>55 (Không)</t>
        </is>
      </c>
      <c r="E166" s="3" t="inlineStr">
        <is>
          <t>60 (Không)</t>
        </is>
      </c>
      <c r="F166" s="3" t="inlineStr">
        <is>
          <t>---</t>
        </is>
      </c>
      <c r="G166" s="7" t="inlineStr">
        <is>
          <t>03, 16 (TRƯỢT ❌)</t>
        </is>
      </c>
      <c r="H166" s="7" t="inlineStr">
        <is>
          <t>TRƯỢT KHUNG ❌</t>
        </is>
      </c>
      <c r="I166" s="3" t="inlineStr">
        <is>
          <t>02, 03, 07, 08, 11, 12, 16, 17, 20, 21, 25, 26, 30, 34, 35, 39, 43, 44, 48, 49, 52, 53, 57, 58, 61, 62, 66, 67, 70, 71, 75, 76, 80, 84, 85, 89, 93, 94, 98, 99 (40 số)</t>
        </is>
      </c>
      <c r="J166" s="3" t="inlineStr">
        <is>
          <t>52, 53, 57, 58, 61, 62, 66, 67, 70, 71, 75, 76, 80, 84, 85, 89, 93, 94, 98, 99 (20 số)</t>
        </is>
      </c>
      <c r="K166" s="3" t="inlineStr">
        <is>
          <t>52, 53, 57, 58, 61, 62, 66, 67, 70, 71, 75, 76, 80, 84, 85, 89, 93, 94, 98, 99 (20 số)</t>
        </is>
      </c>
    </row>
    <row r="167">
      <c r="A167" s="2" t="n">
        <v>165</v>
      </c>
      <c r="B167" s="2" t="inlineStr">
        <is>
          <t>Thứ năm ngày 18-06-2026</t>
        </is>
      </c>
      <c r="C167" s="3" t="inlineStr">
        <is>
          <t>55 (Trúng)</t>
        </is>
      </c>
      <c r="D167" s="3" t="inlineStr">
        <is>
          <t>60 (Không)</t>
        </is>
      </c>
      <c r="E167" s="3" t="inlineStr">
        <is>
          <t>83 (Không)</t>
        </is>
      </c>
      <c r="F167" s="3" t="inlineStr">
        <is>
          <t>---</t>
        </is>
      </c>
      <c r="G167" s="7" t="inlineStr">
        <is>
          <t>05, 08 (TRƯỢT ❌)</t>
        </is>
      </c>
      <c r="H167" s="6" t="inlineStr">
        <is>
          <t>TRÚNG N1 🎯</t>
        </is>
      </c>
      <c r="I16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67" s="3" t="inlineStr">
        <is>
          <t>00, 01, 03, 08, 10, 12, 14, 15, 17, 19, 21, 23, 24, 26, 28, 29, 30, 32, 33, 35, 37, 38, 41, 42, 44, 46, 47, 49 (28 số)</t>
        </is>
      </c>
      <c r="K167" s="3" t="inlineStr">
        <is>
          <t>00, 01, 03, 08, 10, 12, 14, 15, 17, 19, 21, 23, 24, 26, 28, 29, 30, 32, 33, 35, 37, 38, 41, 42, 44, 46, 47, 49 (28 số)</t>
        </is>
      </c>
    </row>
    <row r="168">
      <c r="A168" s="2" t="n">
        <v>166</v>
      </c>
      <c r="B168" s="2" t="inlineStr">
        <is>
          <t>Thứ sáu ngày 19-06-2026</t>
        </is>
      </c>
      <c r="C168" s="3" t="inlineStr">
        <is>
          <t>60 (Không)</t>
        </is>
      </c>
      <c r="D168" s="3" t="inlineStr">
        <is>
          <t>83 (Không)</t>
        </is>
      </c>
      <c r="E168" s="3" t="inlineStr">
        <is>
          <t>36 (Không)</t>
        </is>
      </c>
      <c r="F168" s="3" t="inlineStr">
        <is>
          <t>---</t>
        </is>
      </c>
      <c r="G168" s="7" t="inlineStr">
        <is>
          <t>35, 44 (TRƯỢT ❌)</t>
        </is>
      </c>
      <c r="H168" s="7" t="inlineStr">
        <is>
          <t>TRƯỢT KHUNG ❌</t>
        </is>
      </c>
      <c r="I168" s="3" t="inlineStr">
        <is>
          <t>00, 03, 05, 08, 12, 14, 17, 19, 21, 23, 26, 28, 30, 32, 35, 37, 41, 44, 46, 49, 50, 53, 55, 58, 62, 64, 67, 69, 71, 73, 76, 78, 80, 82, 85, 87, 91, 94, 96, 99 (40 số)</t>
        </is>
      </c>
      <c r="J168" s="3" t="inlineStr">
        <is>
          <t>00, 03, 05, 08, 12, 14, 17, 19, 21, 23, 26, 28, 30, 32, 35, 37, 41, 44, 46, 49 (20 số)</t>
        </is>
      </c>
      <c r="K168" s="3" t="inlineStr">
        <is>
          <t>00, 03, 05, 08, 12, 14, 17, 19, 21, 23, 26, 28, 30, 32, 35, 37, 41, 44, 46, 49 (20 số)</t>
        </is>
      </c>
    </row>
    <row r="169">
      <c r="A169" s="2" t="n">
        <v>167</v>
      </c>
      <c r="B169" s="2" t="inlineStr">
        <is>
          <t>Thứ bảy ngày 20-06-2026</t>
        </is>
      </c>
      <c r="C169" s="3" t="inlineStr">
        <is>
          <t>83 (Không)</t>
        </is>
      </c>
      <c r="D169" s="3" t="inlineStr">
        <is>
          <t>36 (Không)</t>
        </is>
      </c>
      <c r="E169" s="3" t="inlineStr">
        <is>
          <t>37 (Trúng)</t>
        </is>
      </c>
      <c r="F169" s="3" t="inlineStr">
        <is>
          <t>---</t>
        </is>
      </c>
      <c r="G169" s="7" t="inlineStr">
        <is>
          <t>76, 85 (TRƯỢT ❌)</t>
        </is>
      </c>
      <c r="H169" s="6" t="inlineStr">
        <is>
          <t>TRÚNG N3 (Siêu Lọc 🎯)</t>
        </is>
      </c>
      <c r="I169" s="3" t="inlineStr">
        <is>
          <t>00, 03, 05, 08, 12, 14, 17, 19, 21, 23, 26, 28, 30, 32, 35, 37, 41, 44, 46, 49, 50, 53, 55, 58, 62, 64, 67, 69, 71, 73, 76, 78, 80, 82, 85, 87, 91, 94, 96, 99 (40 số)</t>
        </is>
      </c>
      <c r="J169" s="3" t="inlineStr">
        <is>
          <t>00, 03, 05, 08, 12, 14, 17, 19, 21, 23, 26, 28, 30, 32, 35, 37, 41, 44, 46, 49 (20 số)</t>
        </is>
      </c>
      <c r="K169" s="3" t="inlineStr">
        <is>
          <t>00, 03, 05, 08, 12, 14, 17, 19, 21, 23, 26, 28, 30, 32, 35, 37, 41, 44, 46, 49 (20 số)</t>
        </is>
      </c>
    </row>
    <row r="170">
      <c r="A170" s="2" t="n">
        <v>168</v>
      </c>
      <c r="B170" s="2" t="inlineStr">
        <is>
          <t>Chủ nhật ngày 21-06-2026</t>
        </is>
      </c>
      <c r="C170" s="3" t="inlineStr">
        <is>
          <t>36 (Không)</t>
        </is>
      </c>
      <c r="D170" s="3" t="inlineStr">
        <is>
          <t>37 (Không)</t>
        </is>
      </c>
      <c r="E170" s="3" t="inlineStr">
        <is>
          <t>51 (Trúng)</t>
        </is>
      </c>
      <c r="F170" s="3" t="inlineStr">
        <is>
          <t>---</t>
        </is>
      </c>
      <c r="G170" s="7" t="inlineStr">
        <is>
          <t>07, 33 (TRƯỢT ❌)</t>
        </is>
      </c>
      <c r="H170" s="6" t="inlineStr">
        <is>
          <t>TRÚNG N3 (Siêu Lọc 🎯)</t>
        </is>
      </c>
      <c r="I17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70" s="3" t="inlineStr">
        <is>
          <t>51, 52, 53, 56, 57, 58, 60, 61, 62, 66, 67, 70, 71, 74, 75, 76, 79, 80, 83, 84, 85, 88, 89, 93, 94, 97, 98, 99 (28 số)</t>
        </is>
      </c>
      <c r="K170" s="3" t="inlineStr">
        <is>
          <t>51, 52, 53, 56, 57, 58, 60, 61, 62, 66, 67, 70, 71, 74, 75, 76, 79, 80, 83, 84, 85, 88, 89, 93, 94, 97, 98, 99 (28 số)</t>
        </is>
      </c>
    </row>
    <row r="171">
      <c r="A171" s="2" t="n">
        <v>169</v>
      </c>
      <c r="B171" s="2" t="inlineStr">
        <is>
          <t>Thứ hai ngày 22-06-2026</t>
        </is>
      </c>
      <c r="C171" s="3" t="inlineStr">
        <is>
          <t>37 (Trúng)</t>
        </is>
      </c>
      <c r="D171" s="3" t="inlineStr">
        <is>
          <t>51 (Trúng)</t>
        </is>
      </c>
      <c r="E171" s="3" t="inlineStr">
        <is>
          <t>16 (Không)</t>
        </is>
      </c>
      <c r="F171" s="3" t="inlineStr">
        <is>
          <t>---</t>
        </is>
      </c>
      <c r="G171" s="7" t="inlineStr">
        <is>
          <t>23, 36 (TRƯỢT ❌)</t>
        </is>
      </c>
      <c r="H171" s="6" t="inlineStr">
        <is>
          <t>TRÚNG N1 🎯</t>
        </is>
      </c>
      <c r="I17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71" s="3" t="inlineStr">
        <is>
          <t>50, 51, 54, 56, 59, 60, 63, 64, 65, 68, 69, 72, 73, 74, 77, 78, 79, 81, 82, 83, 86, 87, 88, 90, 91, 95, 96, 97 (28 số)</t>
        </is>
      </c>
      <c r="K171" s="3" t="inlineStr">
        <is>
          <t>50, 51, 54, 56, 59, 60, 63, 64, 65, 68, 69, 72, 73, 74, 77, 78, 79, 81, 82, 83, 86, 87, 88, 90, 91, 95, 96, 97 (28 số)</t>
        </is>
      </c>
    </row>
    <row r="172">
      <c r="A172" s="2" t="n">
        <v>170</v>
      </c>
      <c r="B172" s="2" t="inlineStr">
        <is>
          <t>Thứ ba ngày 23-06-2026</t>
        </is>
      </c>
      <c r="C172" s="3" t="inlineStr">
        <is>
          <t>51 (Trúng)</t>
        </is>
      </c>
      <c r="D172" s="3" t="inlineStr">
        <is>
          <t>16 (Trúng)</t>
        </is>
      </c>
      <c r="E172" s="3" t="inlineStr">
        <is>
          <t>04 (Không)</t>
        </is>
      </c>
      <c r="F172" s="3" t="inlineStr">
        <is>
          <t>---</t>
        </is>
      </c>
      <c r="G172" s="7" t="inlineStr">
        <is>
          <t>38, 83 (TRƯỢT ❌)</t>
        </is>
      </c>
      <c r="H172" s="6" t="inlineStr">
        <is>
          <t>TRÚNG N1 🎯</t>
        </is>
      </c>
      <c r="I172" s="3" t="inlineStr">
        <is>
          <t>01, 02, 06, 07, 10, 11, 15, 16, 20, 24, 25, 29, 33, 34, 38, 39, 42, 43, 47, 48, 51, 52, 56, 57, 60, 61, 65, 66, 70, 74, 75, 79, 83, 84, 88, 89, 92, 93, 97, 98 (40 số)</t>
        </is>
      </c>
      <c r="J172" s="3" t="inlineStr">
        <is>
          <t>01, 02, 06, 07, 10, 11, 15, 16, 20, 24, 25, 29, 33, 34, 38, 39, 42, 43, 47, 48 (20 số)</t>
        </is>
      </c>
      <c r="K172" s="3" t="inlineStr">
        <is>
          <t>01, 02, 06, 07, 10, 11, 15, 16, 20, 24, 25, 29, 33, 34, 38, 39, 42, 43, 47, 48 (20 số)</t>
        </is>
      </c>
    </row>
    <row r="173">
      <c r="A173" s="2" t="n">
        <v>171</v>
      </c>
      <c r="B173" s="2" t="inlineStr">
        <is>
          <t>Thứ tư ngày 24-06-2026</t>
        </is>
      </c>
      <c r="C173" s="3" t="inlineStr">
        <is>
          <t>16 (Trúng)</t>
        </is>
      </c>
      <c r="D173" s="3" t="inlineStr">
        <is>
          <t>04 (Không)</t>
        </is>
      </c>
      <c r="E173" s="3" t="inlineStr">
        <is>
          <t>53 (Không)</t>
        </is>
      </c>
      <c r="F173" s="3" t="inlineStr">
        <is>
          <t>---</t>
        </is>
      </c>
      <c r="G173" s="7" t="inlineStr">
        <is>
          <t>54, 66 (TRƯỢT ❌)</t>
        </is>
      </c>
      <c r="H173" s="6" t="inlineStr">
        <is>
          <t>TRÚNG N1 🎯</t>
        </is>
      </c>
      <c r="I173" s="3" t="inlineStr">
        <is>
          <t>02, 04, 07, 09, 11, 13, 16, 18, 20, 22, 25, 27, 31, 34, 36, 39, 40, 43, 45, 48, 52, 54, 57, 59, 61, 63, 66, 68, 70, 72, 75, 77, 81, 84, 86, 89, 90, 93, 95, 98 (40 số)</t>
        </is>
      </c>
      <c r="J173" s="3" t="inlineStr">
        <is>
          <t>52, 54, 57, 59, 61, 63, 66, 68, 70, 72, 75, 77, 81, 84, 86, 89, 90, 93, 95, 98 (20 số)</t>
        </is>
      </c>
      <c r="K173" s="3" t="inlineStr">
        <is>
          <t>52, 54, 57, 59, 61, 63, 66, 68, 70, 72, 75, 77, 81, 84, 86, 89, 90, 93, 95, 98 (20 số)</t>
        </is>
      </c>
    </row>
    <row r="174">
      <c r="A174" s="2" t="n">
        <v>172</v>
      </c>
      <c r="B174" s="2" t="inlineStr">
        <is>
          <t>Thứ năm ngày 25-06-2026</t>
        </is>
      </c>
      <c r="C174" s="3" t="inlineStr">
        <is>
          <t>04 (Trúng)</t>
        </is>
      </c>
      <c r="D174" s="3" t="inlineStr">
        <is>
          <t>53 (Trúng)</t>
        </is>
      </c>
      <c r="E174" s="3" t="inlineStr">
        <is>
          <t>52 (Không)</t>
        </is>
      </c>
      <c r="F174" s="3" t="inlineStr">
        <is>
          <t>---</t>
        </is>
      </c>
      <c r="G174" s="7" t="inlineStr">
        <is>
          <t>03, 36 (TRƯỢT ❌)</t>
        </is>
      </c>
      <c r="H174" s="6" t="inlineStr">
        <is>
          <t>TRÚNG N1 🎯</t>
        </is>
      </c>
      <c r="I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174" s="3" t="inlineStr">
        <is>
          <t>51, 53, 54, 56, 58, 59, 60, 62, 63, 67, 68, 71, 72, 74, 76, 77, 79, 80, 81, 83, 85, 86, 88, 90, 94, 95, 97, 99 (28 số)</t>
        </is>
      </c>
      <c r="K174" s="3" t="inlineStr">
        <is>
          <t>51, 53, 54, 58, 59, 60, 62, 63, 65, 67, 68, 71, 72, 74, 76, 77, 79, 80, 81, 83, 85, 86, 88, 90, 94, 95, 97, 99 (28 số)</t>
        </is>
      </c>
    </row>
    <row r="175">
      <c r="A175" s="2" t="n">
        <v>173</v>
      </c>
      <c r="B175" s="2" t="inlineStr">
        <is>
          <t>Thứ sáu ngày 26-06-2026</t>
        </is>
      </c>
      <c r="C175" s="3" t="inlineStr">
        <is>
          <t>53 (Không)</t>
        </is>
      </c>
      <c r="D175" s="3" t="inlineStr">
        <is>
          <t>52 (Không)</t>
        </is>
      </c>
      <c r="E175" s="3" t="inlineStr">
        <is>
          <t>42 (Không)</t>
        </is>
      </c>
      <c r="F175" s="3" t="inlineStr">
        <is>
          <t>---</t>
        </is>
      </c>
      <c r="G175" s="7" t="inlineStr">
        <is>
          <t>07, 32 (TRƯỢT ❌)</t>
        </is>
      </c>
      <c r="H175" s="7" t="inlineStr">
        <is>
          <t>TRƯỢT KHUNG ❌</t>
        </is>
      </c>
      <c r="I175" s="3" t="inlineStr">
        <is>
          <t>00, 02, 05, 07, 11, 14, 16, 19, 20, 23, 25, 28, 32, 34, 37, 39, 41, 43, 46, 48, 50, 52, 55, 57, 61, 64, 66, 69, 70, 73, 75, 78, 82, 84, 87, 89, 91, 93, 96, 98 (40 số)</t>
        </is>
      </c>
      <c r="J175" s="3" t="inlineStr">
        <is>
          <t>00, 02, 05, 07, 11, 14, 16, 19, 20, 23, 25, 28, 32, 34, 37, 39, 41, 43, 46, 48 (20 số)</t>
        </is>
      </c>
      <c r="K175" s="3" t="inlineStr">
        <is>
          <t>00, 02, 05, 07, 11, 14, 16, 19, 20, 23, 25, 28, 32, 34, 37, 39, 41, 43, 46, 48 (20 số)</t>
        </is>
      </c>
    </row>
    <row r="176">
      <c r="A176" s="2" t="n">
        <v>174</v>
      </c>
      <c r="B176" s="2" t="inlineStr">
        <is>
          <t>Thứ bảy ngày 27-06-2026</t>
        </is>
      </c>
      <c r="C176" s="3" t="inlineStr">
        <is>
          <t>52 (Trúng)</t>
        </is>
      </c>
      <c r="D176" s="3" t="inlineStr">
        <is>
          <t>42 (Không)</t>
        </is>
      </c>
      <c r="E176" s="3" t="inlineStr">
        <is>
          <t>68 (Không)</t>
        </is>
      </c>
      <c r="F176" s="3" t="inlineStr">
        <is>
          <t>---</t>
        </is>
      </c>
      <c r="G176" s="6" t="inlineStr">
        <is>
          <t>48, 68 (TRÚNG 🎯)</t>
        </is>
      </c>
      <c r="H176" s="6" t="inlineStr">
        <is>
          <t>TRÚNG N1 🎯</t>
        </is>
      </c>
      <c r="I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76" s="3" t="inlineStr">
        <is>
          <t>02, 04, 07, 09, 11, 13, 14, 16, 18, 19, 20, 22, 23, 25, 27, 28, 31, 32, 34, 36, 37, 39, 40, 41, 43, 45, 46, 48 (28 số)</t>
        </is>
      </c>
      <c r="K176" s="3" t="inlineStr">
        <is>
          <t>02, 04, 07, 09, 11, 13, 14, 16, 18, 19, 20, 22, 23, 25, 27, 28, 31, 32, 34, 36, 37, 39, 40, 41, 43, 45, 46, 48 (28 số)</t>
        </is>
      </c>
    </row>
    <row r="177">
      <c r="A177" s="2" t="n">
        <v>175</v>
      </c>
      <c r="B177" s="2" t="inlineStr">
        <is>
          <t>Chủ nhật ngày 28-06-2026</t>
        </is>
      </c>
      <c r="C177" s="3" t="inlineStr">
        <is>
          <t>42 (Không)</t>
        </is>
      </c>
      <c r="D177" s="3" t="inlineStr">
        <is>
          <t>68 (Không)</t>
        </is>
      </c>
      <c r="E177" s="3" t="inlineStr">
        <is>
          <t>54 (Không)</t>
        </is>
      </c>
      <c r="F177" s="3" t="inlineStr">
        <is>
          <t>---</t>
        </is>
      </c>
      <c r="G177" s="7" t="inlineStr">
        <is>
          <t>41, 55 (TRƯỢT ❌)</t>
        </is>
      </c>
      <c r="H177" s="7" t="inlineStr">
        <is>
          <t>TRƯỢT KHUNG ❌</t>
        </is>
      </c>
      <c r="I177" s="3" t="inlineStr">
        <is>
          <t>00, 03, 05, 08, 12, 14, 17, 19, 21, 23, 26, 28, 30, 32, 35, 37, 41, 44, 46, 49, 50, 53, 55, 58, 62, 64, 67, 69, 71, 73, 76, 78, 80, 82, 85, 87, 91, 94, 96, 99 (40 số)</t>
        </is>
      </c>
      <c r="J177" s="3" t="inlineStr">
        <is>
          <t>50, 53, 55, 58, 62, 64, 67, 69, 71, 73, 76, 78, 80, 82, 85, 87, 91, 94, 96, 99 (20 số)</t>
        </is>
      </c>
      <c r="K177" s="3" t="inlineStr">
        <is>
          <t>50, 53, 55, 58, 62, 64, 67, 69, 71, 73, 76, 78, 80, 82, 85, 87, 91, 94, 96, 99 (20 số)</t>
        </is>
      </c>
    </row>
    <row r="178">
      <c r="A178" s="2" t="n">
        <v>176</v>
      </c>
      <c r="B178" s="2" t="inlineStr">
        <is>
          <t>Thứ hai ngày 29-06-2026</t>
        </is>
      </c>
      <c r="C178" s="3" t="inlineStr">
        <is>
          <t>68 (Không)</t>
        </is>
      </c>
      <c r="D178" s="3" t="inlineStr">
        <is>
          <t>54 (Không)</t>
        </is>
      </c>
      <c r="E178" s="3" t="inlineStr">
        <is>
          <t>39 (Trúng)</t>
        </is>
      </c>
      <c r="F178" s="3" t="inlineStr">
        <is>
          <t>---</t>
        </is>
      </c>
      <c r="G178" s="7" t="inlineStr">
        <is>
          <t>08, 70 (TRƯỢT ❌)</t>
        </is>
      </c>
      <c r="H178" s="6" t="inlineStr">
        <is>
          <t>TRÚNG N3 (Siêu Lọc 🎯)</t>
        </is>
      </c>
      <c r="I178" s="3" t="inlineStr">
        <is>
          <t>02, 03, 07, 08, 11, 12, 16, 17, 20, 21, 25, 26, 30, 34, 35, 39, 43, 44, 48, 49, 52, 53, 57, 58, 61, 62, 66, 67, 70, 71, 75, 76, 80, 84, 85, 89, 93, 94, 98, 99 (40 số)</t>
        </is>
      </c>
      <c r="J178" s="3" t="inlineStr">
        <is>
          <t>02, 03, 07, 08, 11, 12, 16, 17, 20, 21, 25, 26, 30, 34, 35, 39, 43, 44, 48, 49 (20 số)</t>
        </is>
      </c>
      <c r="K178" s="3" t="inlineStr">
        <is>
          <t>02, 03, 07, 08, 11, 12, 16, 17, 20, 21, 25, 26, 30, 34, 35, 39, 43, 44, 48, 49 (20 số)</t>
        </is>
      </c>
    </row>
    <row r="179">
      <c r="A179" s="2" t="n">
        <v>177</v>
      </c>
      <c r="B179" s="2" t="inlineStr">
        <is>
          <t>Thứ ba ngày 30-06-2026</t>
        </is>
      </c>
      <c r="C179" s="3" t="inlineStr">
        <is>
          <t>54 (Trúng)</t>
        </is>
      </c>
      <c r="D179" s="3" t="inlineStr">
        <is>
          <t>39 (Không)</t>
        </is>
      </c>
      <c r="E179" s="3" t="inlineStr">
        <is>
          <t>65 (Không)</t>
        </is>
      </c>
      <c r="F179" s="3" t="inlineStr">
        <is>
          <t>---</t>
        </is>
      </c>
      <c r="G179" s="7" t="inlineStr">
        <is>
          <t>33, 68 (TRƯỢT ❌)</t>
        </is>
      </c>
      <c r="H179" s="6" t="inlineStr">
        <is>
          <t>TRÚNG N1 🎯</t>
        </is>
      </c>
      <c r="I179" s="3" t="inlineStr">
        <is>
          <t>01, 04, 06, 09, 10, 13, 15, 18, 22, 24, 27, 29, 31, 33, 36, 38, 40, 42, 45, 47, 51, 54, 56, 59, 60, 63, 65, 68, 72, 74, 77, 79, 81, 83, 86, 88, 90, 92, 95, 97 (40 số)</t>
        </is>
      </c>
      <c r="J179" s="3" t="inlineStr">
        <is>
          <t>01, 04, 06, 09, 10, 13, 15, 18, 22, 24, 27, 29, 31, 33, 36, 38, 40, 42, 45, 47 (20 số)</t>
        </is>
      </c>
      <c r="K179" s="3" t="inlineStr">
        <is>
          <t>01, 04, 06, 09, 10, 13, 15, 18, 22, 24, 27, 29, 31, 33, 36, 38, 40, 42, 45, 47 (20 số)</t>
        </is>
      </c>
    </row>
    <row r="180">
      <c r="A180" s="2" t="n">
        <v>178</v>
      </c>
      <c r="B180" s="2" t="inlineStr">
        <is>
          <t>Thứ tư ngày 01-07-2026</t>
        </is>
      </c>
      <c r="C180" s="3" t="inlineStr">
        <is>
          <t>39 (Trúng)</t>
        </is>
      </c>
      <c r="D180" s="3" t="inlineStr">
        <is>
          <t>65 (Không)</t>
        </is>
      </c>
      <c r="E180" s="3" t="inlineStr">
        <is>
          <t>87 (Trúng)</t>
        </is>
      </c>
      <c r="F180" s="3" t="inlineStr">
        <is>
          <t>---</t>
        </is>
      </c>
      <c r="G180" s="7" t="inlineStr">
        <is>
          <t>07, 35 (TRƯỢT ❌)</t>
        </is>
      </c>
      <c r="H180" s="6" t="inlineStr">
        <is>
          <t>TRÚNG N1 🎯</t>
        </is>
      </c>
      <c r="I18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0" s="3" t="inlineStr">
        <is>
          <t>50, 52, 53, 57, 58, 61, 62, 64, 66, 67, 69, 70, 71, 73, 75, 76, 78, 80, 84, 85, 87, 89, 91, 93, 94, 96, 98, 99 (28 số)</t>
        </is>
      </c>
      <c r="K180" s="3" t="inlineStr">
        <is>
          <t>50, 52, 53, 57, 58, 61, 62, 64, 66, 67, 69, 70, 71, 73, 75, 76, 78, 80, 84, 85, 87, 89, 91, 93, 94, 96, 98, 99 (28 số)</t>
        </is>
      </c>
    </row>
    <row r="181">
      <c r="A181" s="2" t="n">
        <v>179</v>
      </c>
      <c r="B181" s="2" t="inlineStr">
        <is>
          <t>Thứ năm ngày 02-07-2026</t>
        </is>
      </c>
      <c r="C181" s="3" t="inlineStr">
        <is>
          <t>65 (Trúng)</t>
        </is>
      </c>
      <c r="D181" s="3" t="inlineStr">
        <is>
          <t>87 (Không)</t>
        </is>
      </c>
      <c r="E181" s="3" t="inlineStr">
        <is>
          <t>71 (Không)</t>
        </is>
      </c>
      <c r="F181" s="3" t="inlineStr">
        <is>
          <t>---</t>
        </is>
      </c>
      <c r="G181" s="7" t="inlineStr">
        <is>
          <t>33, 59 (TRƯỢT ❌)</t>
        </is>
      </c>
      <c r="H181" s="6" t="inlineStr">
        <is>
          <t>TRÚNG N1 🎯</t>
        </is>
      </c>
      <c r="I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81" s="3" t="inlineStr">
        <is>
          <t>00, 01, 04, 09, 10, 13, 14, 15, 18, 19, 22, 23, 24, 27, 28, 29, 31, 32, 33, 36, 37, 38, 40, 41, 42, 45, 46, 47 (28 số)</t>
        </is>
      </c>
      <c r="K181" s="3" t="inlineStr">
        <is>
          <t>00, 01, 04, 09, 10, 13, 14, 15, 18, 19, 22, 23, 24, 27, 28, 29, 31, 32, 33, 36, 37, 38, 40, 41, 42, 45, 46, 47 (28 số)</t>
        </is>
      </c>
    </row>
    <row r="182">
      <c r="A182" s="2" t="n">
        <v>180</v>
      </c>
      <c r="B182" s="2" t="inlineStr">
        <is>
          <t>Thứ sáu ngày 03-07-2026</t>
        </is>
      </c>
      <c r="C182" s="3" t="inlineStr">
        <is>
          <t>87 (Không)</t>
        </is>
      </c>
      <c r="D182" s="3" t="inlineStr">
        <is>
          <t>71 (Không)</t>
        </is>
      </c>
      <c r="E182" s="3" t="inlineStr">
        <is>
          <t>97 (Không)</t>
        </is>
      </c>
      <c r="F182" s="3" t="inlineStr">
        <is>
          <t>---</t>
        </is>
      </c>
      <c r="G182" s="7" t="inlineStr">
        <is>
          <t>13, 65 (TRƯỢT ❌)</t>
        </is>
      </c>
      <c r="H182" s="7" t="inlineStr">
        <is>
          <t>TRƯỢT KHUNG ❌</t>
        </is>
      </c>
      <c r="I182" s="3" t="inlineStr">
        <is>
          <t>01, 04, 06, 09, 10, 13, 15, 18, 22, 24, 27, 29, 31, 33, 36, 38, 40, 42, 45, 47, 51, 54, 56, 59, 60, 63, 65, 68, 72, 74, 77, 79, 81, 83, 86, 88, 90, 92, 95, 97 (40 số)</t>
        </is>
      </c>
      <c r="J182" s="3" t="inlineStr">
        <is>
          <t>01, 04, 06, 09, 10, 13, 15, 18, 22, 24, 27, 29, 31, 33, 36, 38, 40, 42, 45, 47 (20 số)</t>
        </is>
      </c>
      <c r="K182" s="3" t="inlineStr">
        <is>
          <t>01, 04, 06, 09, 10, 13, 15, 18, 22, 24, 27, 29, 31, 33, 36, 38, 40, 42, 45, 47 (20 số)</t>
        </is>
      </c>
    </row>
    <row r="183">
      <c r="A183" s="2" t="n">
        <v>181</v>
      </c>
      <c r="B183" s="2" t="inlineStr">
        <is>
          <t>Thứ bảy ngày 04-07-2026</t>
        </is>
      </c>
      <c r="C183" s="3" t="inlineStr">
        <is>
          <t>71 (Không)</t>
        </is>
      </c>
      <c r="D183" s="3" t="inlineStr">
        <is>
          <t>97 (Không)</t>
        </is>
      </c>
      <c r="E183" s="3" t="inlineStr">
        <is>
          <t>79 (Không)</t>
        </is>
      </c>
      <c r="F183" s="3" t="inlineStr">
        <is>
          <t>---</t>
        </is>
      </c>
      <c r="G183" s="7" t="inlineStr">
        <is>
          <t>54, 73 (TRƯỢT ❌)</t>
        </is>
      </c>
      <c r="H183" s="7" t="inlineStr">
        <is>
          <t>TRƯỢT KHUNG ❌</t>
        </is>
      </c>
      <c r="I183" s="3" t="inlineStr">
        <is>
          <t>00, 04, 05, 09, 13, 14, 18, 19, 22, 23, 27, 28, 31, 32, 36, 37, 40, 41, 45, 46, 50, 54, 55, 59, 63, 64, 68, 69, 72, 73, 77, 78, 81, 82, 86, 87, 90, 91, 95, 96 (40 số)</t>
        </is>
      </c>
      <c r="J183" s="3" t="inlineStr">
        <is>
          <t>00, 04, 05, 09, 13, 14, 18, 19, 22, 23, 27, 28, 31, 32, 36, 37, 40, 41, 45, 46 (20 số)</t>
        </is>
      </c>
      <c r="K183" s="3" t="inlineStr">
        <is>
          <t>00, 04, 05, 09, 13, 14, 18, 19, 22, 23, 27, 28, 31, 32, 36, 37, 40, 41, 45, 46 (20 số)</t>
        </is>
      </c>
    </row>
    <row r="184">
      <c r="A184" s="2" t="n">
        <v>182</v>
      </c>
      <c r="B184" s="2" t="inlineStr">
        <is>
          <t>Chủ nhật ngày 05-07-2026</t>
        </is>
      </c>
      <c r="C184" s="3" t="inlineStr">
        <is>
          <t>97 (Không)</t>
        </is>
      </c>
      <c r="D184" s="3" t="inlineStr">
        <is>
          <t>79 (Không)</t>
        </is>
      </c>
      <c r="E184" s="3" t="inlineStr">
        <is>
          <t>89 (Không)</t>
        </is>
      </c>
      <c r="F184" s="3" t="inlineStr">
        <is>
          <t>---</t>
        </is>
      </c>
      <c r="G184" s="7" t="inlineStr">
        <is>
          <t>03, 35 (TRƯỢT ❌)</t>
        </is>
      </c>
      <c r="H184" s="7" t="inlineStr">
        <is>
          <t>TRƯỢT KHUNG ❌</t>
        </is>
      </c>
      <c r="I184" s="3" t="inlineStr">
        <is>
          <t>03, 08, 12, 17, 21, 26, 30, 35, 44, 49, 53, 58, 62, 67, 71, 76, 80, 85, 94, 99 (20 số)</t>
        </is>
      </c>
      <c r="J184" s="3" t="inlineStr">
        <is>
          <t>03, 08, 12, 17, 21, 26, 30, 35, 44, 49 (10 số)</t>
        </is>
      </c>
      <c r="K184" s="3" t="inlineStr">
        <is>
          <t>03, 08, 12, 17, 21, 26, 30, 35, 44, 49 (10 số)</t>
        </is>
      </c>
    </row>
    <row r="185">
      <c r="A185" s="2" t="n">
        <v>183</v>
      </c>
      <c r="B185" s="2" t="inlineStr">
        <is>
          <t>Thứ hai ngày 06-07-2026</t>
        </is>
      </c>
      <c r="C185" s="3" t="inlineStr">
        <is>
          <t>79 (Không)</t>
        </is>
      </c>
      <c r="D185" s="3" t="inlineStr">
        <is>
          <t>89 (Không)</t>
        </is>
      </c>
      <c r="E185" s="3" t="inlineStr">
        <is>
          <t>85 (Không)</t>
        </is>
      </c>
      <c r="F185" s="3" t="inlineStr">
        <is>
          <t>---</t>
        </is>
      </c>
      <c r="G185" s="7" t="inlineStr">
        <is>
          <t>20, 30 (TRƯỢT ❌)</t>
        </is>
      </c>
      <c r="H185" s="7" t="inlineStr">
        <is>
          <t>TRƯỢT KHUNG ❌</t>
        </is>
      </c>
      <c r="I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185" s="3" t="inlineStr">
        <is>
          <t>02, 03, 07, 08, 11, 12, 14, 16, 17, 19, 20, 21, 23, 25, 26, 28, 30, 32, 34, 35, 37, 39, 41, 43, 44, 46, 48, 49 (28 số)</t>
        </is>
      </c>
      <c r="K185" s="3" t="inlineStr">
        <is>
          <t>02, 03, 07, 08, 11, 12, 14, 16, 17, 19, 20, 21, 23, 25, 26, 28, 30, 32, 34, 35, 37, 39, 41, 43, 44, 46, 48, 49 (28 số)</t>
        </is>
      </c>
    </row>
    <row r="186">
      <c r="A186" s="2" t="n">
        <v>184</v>
      </c>
      <c r="B186" s="2" t="inlineStr">
        <is>
          <t>Thứ ba ngày 07-07-2026</t>
        </is>
      </c>
      <c r="C186" s="3" t="inlineStr">
        <is>
          <t>89 (Không)</t>
        </is>
      </c>
      <c r="D186" s="3" t="inlineStr">
        <is>
          <t>85 (Không)</t>
        </is>
      </c>
      <c r="E186" s="3" t="inlineStr">
        <is>
          <t>67 (Không)</t>
        </is>
      </c>
      <c r="F186" s="3" t="inlineStr">
        <is>
          <t>---</t>
        </is>
      </c>
      <c r="G186" s="7" t="inlineStr">
        <is>
          <t>54, 62 (TRƯỢT ❌)</t>
        </is>
      </c>
      <c r="H186" s="7" t="inlineStr">
        <is>
          <t>TRƯỢT KHUNG ❌</t>
        </is>
      </c>
      <c r="I186" s="3" t="inlineStr">
        <is>
          <t>03, 04, 08, 09, 12, 13, 17, 18, 21, 22, 26, 27, 30, 31, 35, 36, 40, 44, 45, 49, 53, 54, 58, 59, 62, 63, 67, 68, 71, 72, 76, 77, 80, 81, 85, 86, 90, 94, 95, 99 (40 số)</t>
        </is>
      </c>
      <c r="J186" s="3" t="inlineStr">
        <is>
          <t>03, 04, 08, 09, 12, 13, 17, 18, 21, 22, 26, 27, 30, 31, 35, 36, 40, 44, 45, 49 (20 số)</t>
        </is>
      </c>
      <c r="K186" s="3" t="inlineStr">
        <is>
          <t>03, 04, 08, 09, 12, 13, 17, 18, 21, 22, 26, 27, 30, 31, 35, 36, 40, 44, 45, 49 (20 số)</t>
        </is>
      </c>
    </row>
    <row r="187">
      <c r="A187" s="2" t="n">
        <v>185</v>
      </c>
      <c r="B187" s="2" t="inlineStr">
        <is>
          <t>Thứ tư ngày 08-07-2026</t>
        </is>
      </c>
      <c r="C187" s="3" t="inlineStr">
        <is>
          <t>85 (Không)</t>
        </is>
      </c>
      <c r="D187" s="3" t="inlineStr">
        <is>
          <t>67 (Không)</t>
        </is>
      </c>
      <c r="E187" s="3" t="inlineStr">
        <is>
          <t>01 (Trúng)</t>
        </is>
      </c>
      <c r="F187" s="3" t="inlineStr">
        <is>
          <t>---</t>
        </is>
      </c>
      <c r="G187" s="6" t="inlineStr">
        <is>
          <t>01, 20 (TRÚNG 🎯)</t>
        </is>
      </c>
      <c r="H187" s="6" t="inlineStr">
        <is>
          <t>TRÚNG N3 (Siêu Lọc 🎯)</t>
        </is>
      </c>
      <c r="I1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 (60 số)</t>
        </is>
      </c>
      <c r="J187" s="3" t="inlineStr">
        <is>
          <t>01, 02, 04, 07, 09, 10, 11, 13, 16, 18, 20, 22, 24, 25, 27, 29, 31, 33, 34, 36, 38, 39, 40, 42, 43, 45, 47, 48 (28 số)</t>
        </is>
      </c>
      <c r="K187" s="3" t="inlineStr">
        <is>
          <t>01, 02, 04, 07, 09, 10, 11, 13, 16, 18, 20, 22, 24, 25, 27, 29, 31, 33, 34, 36, 38, 39, 40, 42, 43, 45, 47, 48 (28 số)</t>
        </is>
      </c>
    </row>
    <row r="188">
      <c r="A188" s="2" t="n">
        <v>186</v>
      </c>
      <c r="B188" s="2" t="inlineStr">
        <is>
          <t>Thứ năm ngày 09-07-2026</t>
        </is>
      </c>
      <c r="C188" s="3" t="inlineStr">
        <is>
          <t>67 (Không)</t>
        </is>
      </c>
      <c r="D188" s="3" t="inlineStr">
        <is>
          <t>01 (Không)</t>
        </is>
      </c>
      <c r="E188" s="3" t="inlineStr">
        <is>
          <t>94 (Không)</t>
        </is>
      </c>
      <c r="F188" s="3" t="inlineStr">
        <is>
          <t>---</t>
        </is>
      </c>
      <c r="G188" s="7" t="inlineStr">
        <is>
          <t>05, 13 (TRƯỢT ❌)</t>
        </is>
      </c>
      <c r="H188" s="7" t="inlineStr">
        <is>
          <t>TRƯỢT KHUNG ❌</t>
        </is>
      </c>
      <c r="I188" s="3" t="inlineStr">
        <is>
          <t>00, 04, 05, 09, 13, 14, 18, 19, 22, 23, 27, 28, 31, 32, 36, 37, 40, 41, 45, 46, 50, 54, 55, 59, 63, 64, 68, 69, 72, 73, 77, 78, 81, 82, 86, 87, 90, 91, 95, 96 (40 số)</t>
        </is>
      </c>
      <c r="J188" s="3" t="inlineStr">
        <is>
          <t>00, 04, 05, 09, 13, 14, 18, 19, 22, 23, 27, 28, 31, 32, 36, 37, 40, 41, 45, 46 (20 số)</t>
        </is>
      </c>
      <c r="K188" s="3" t="inlineStr">
        <is>
          <t>00, 04, 05, 09, 13, 14, 18, 19, 22, 23, 27, 28, 31, 32, 36, 37, 40, 41, 45, 46 (20 số)</t>
        </is>
      </c>
    </row>
    <row r="189">
      <c r="A189" s="2" t="n">
        <v>187</v>
      </c>
      <c r="B189" s="2" t="inlineStr">
        <is>
          <t>Thứ sáu ngày 10-07-2026</t>
        </is>
      </c>
      <c r="C189" s="3" t="inlineStr">
        <is>
          <t>01 (Không)</t>
        </is>
      </c>
      <c r="D189" s="3" t="inlineStr">
        <is>
          <t>94 (Không)</t>
        </is>
      </c>
      <c r="E189" s="3" t="inlineStr">
        <is>
          <t>99 (Không)</t>
        </is>
      </c>
      <c r="F189" s="3" t="inlineStr">
        <is>
          <t>---</t>
        </is>
      </c>
      <c r="G189" s="7" t="inlineStr">
        <is>
          <t>20, 31 (TRƯỢT ❌)</t>
        </is>
      </c>
      <c r="H189" s="7" t="inlineStr">
        <is>
          <t>TRƯỢT KHUNG ❌</t>
        </is>
      </c>
      <c r="I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89" s="3" t="inlineStr">
        <is>
          <t>50, 52, 54, 57, 59, 61, 63, 64, 66, 68, 69, 70, 72, 73, 75, 77, 78, 81, 84, 86, 87, 89, 90, 91, 93, 95, 96, 98 (28 số)</t>
        </is>
      </c>
      <c r="K189" s="3" t="inlineStr">
        <is>
          <t>50, 52, 54, 57, 59, 61, 63, 64, 66, 68, 69, 70, 72, 73, 75, 77, 78, 81, 84, 86, 87, 89, 90, 91, 93, 95, 96, 98 (28 số)</t>
        </is>
      </c>
    </row>
    <row r="190">
      <c r="A190" s="2" t="n">
        <v>188</v>
      </c>
      <c r="B190" s="2" t="inlineStr">
        <is>
          <t>Thứ bảy ngày 11-07-2026</t>
        </is>
      </c>
      <c r="C190" s="3" t="inlineStr">
        <is>
          <t>94 (Trúng)</t>
        </is>
      </c>
      <c r="D190" s="3" t="inlineStr">
        <is>
          <t>99 (Không)</t>
        </is>
      </c>
      <c r="E190" s="3" t="inlineStr">
        <is>
          <t>47 (Trúng)</t>
        </is>
      </c>
      <c r="F190" s="3" t="inlineStr">
        <is>
          <t>---</t>
        </is>
      </c>
      <c r="G190" s="7" t="inlineStr">
        <is>
          <t>01, 06 (TRƯỢT ❌)</t>
        </is>
      </c>
      <c r="H190" s="6" t="inlineStr">
        <is>
          <t>TRÚNG N1 🎯</t>
        </is>
      </c>
      <c r="I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90" s="3" t="inlineStr">
        <is>
          <t>00, 01, 03, 08, 10, 12, 14, 15, 17, 19, 21, 23, 24, 26, 28, 29, 30, 32, 33, 35, 37, 38, 41, 42, 44, 46, 47, 49 (28 số)</t>
        </is>
      </c>
      <c r="K190" s="3" t="inlineStr">
        <is>
          <t>00, 01, 03, 08, 10, 12, 14, 15, 17, 19, 21, 23, 24, 26, 28, 29, 30, 32, 33, 35, 37, 38, 41, 42, 44, 46, 47, 49 (28 số)</t>
        </is>
      </c>
    </row>
    <row r="191">
      <c r="A191" s="2" t="n">
        <v>189</v>
      </c>
      <c r="B191" s="2" t="inlineStr">
        <is>
          <t>Chủ nhật ngày 12-07-2026</t>
        </is>
      </c>
      <c r="C191" s="3" t="inlineStr">
        <is>
          <t>99 (Không)</t>
        </is>
      </c>
      <c r="D191" s="3" t="inlineStr">
        <is>
          <t>47 (Không)</t>
        </is>
      </c>
      <c r="E191" s="3" t="inlineStr">
        <is>
          <t>19 (Trúng)</t>
        </is>
      </c>
      <c r="F191" s="3" t="inlineStr">
        <is>
          <t>---</t>
        </is>
      </c>
      <c r="G191" s="7" t="inlineStr">
        <is>
          <t>05, 34 (TRƯỢT ❌)</t>
        </is>
      </c>
      <c r="H191" s="6" t="inlineStr">
        <is>
          <t>TRÚNG N3 (Siêu Lọc 🎯)</t>
        </is>
      </c>
      <c r="I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1" s="3" t="inlineStr">
        <is>
          <t>02, 04, 07, 09, 11, 13, 14, 16, 18, 19, 20, 22, 23, 25, 27, 28, 31, 32, 34, 36, 37, 39, 40, 41, 43, 45, 46, 48 (28 số)</t>
        </is>
      </c>
      <c r="K191" s="3" t="inlineStr">
        <is>
          <t>02, 04, 07, 09, 11, 13, 14, 16, 18, 19, 20, 22, 23, 25, 27, 28, 31, 32, 34, 36, 37, 39, 40, 41, 43, 45, 46, 48 (28 số)</t>
        </is>
      </c>
    </row>
    <row r="192">
      <c r="A192" s="2" t="n">
        <v>190</v>
      </c>
      <c r="B192" s="2" t="inlineStr">
        <is>
          <t>Thứ hai ngày 13-07-2026</t>
        </is>
      </c>
      <c r="C192" s="3" t="inlineStr">
        <is>
          <t>47 (Trúng)</t>
        </is>
      </c>
      <c r="D192" s="3" t="inlineStr">
        <is>
          <t>19 (Không)</t>
        </is>
      </c>
      <c r="E192" s="3" t="inlineStr">
        <is>
          <t>63 (Không)</t>
        </is>
      </c>
      <c r="F192" s="3" t="inlineStr">
        <is>
          <t>---</t>
        </is>
      </c>
      <c r="G192" s="7" t="inlineStr">
        <is>
          <t>05, 76 (TRƯỢT ❌)</t>
        </is>
      </c>
      <c r="H192" s="6" t="inlineStr">
        <is>
          <t>TRÚNG N1 🎯</t>
        </is>
      </c>
      <c r="I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 (60 số)</t>
        </is>
      </c>
      <c r="J192" s="3" t="inlineStr">
        <is>
          <t>50, 51, 53, 56, 58, 60, 62, 64, 65, 67, 69, 71, 73, 74, 76, 78, 79, 80, 82, 83, 85, 87, 88, 91, 94, 96, 97, 99 (28 số)</t>
        </is>
      </c>
      <c r="K192" s="3" t="inlineStr">
        <is>
          <t>50, 51, 53, 56, 58, 60, 62, 64, 65, 67, 69, 71, 73, 74, 76, 78, 79, 80, 82, 83, 85, 87, 88, 91, 94, 96, 97, 99 (28 số)</t>
        </is>
      </c>
    </row>
    <row r="193">
      <c r="A193" s="2" t="n">
        <v>191</v>
      </c>
      <c r="B193" s="2" t="inlineStr">
        <is>
          <t>Thứ ba ngày 14-07-2026</t>
        </is>
      </c>
      <c r="C193" s="3" t="inlineStr">
        <is>
          <t>19 (Trúng)</t>
        </is>
      </c>
      <c r="D193" s="3" t="inlineStr">
        <is>
          <t>63 (Trúng)</t>
        </is>
      </c>
      <c r="E193" s="3" t="inlineStr">
        <is>
          <t>39 (Không)</t>
        </is>
      </c>
      <c r="F193" s="3" t="inlineStr">
        <is>
          <t>---</t>
        </is>
      </c>
      <c r="G193" s="6" t="inlineStr">
        <is>
          <t>05, 39 (TRÚNG 🎯)</t>
        </is>
      </c>
      <c r="H193" s="6" t="inlineStr">
        <is>
          <t>TRÚNG N1 🎯</t>
        </is>
      </c>
      <c r="I19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193" s="3" t="inlineStr">
        <is>
          <t>50, 52, 54, 57, 59, 61, 63, 64, 66, 68, 69, 70, 72, 73, 75, 77, 78, 81, 84, 86, 87, 89, 90, 91, 93, 95, 96, 98 (28 số)</t>
        </is>
      </c>
      <c r="K193" s="3" t="inlineStr">
        <is>
          <t>50, 52, 54, 57, 59, 61, 63, 64, 66, 68, 69, 70, 72, 73, 75, 77, 78, 81, 84, 86, 87, 89, 90, 91, 93, 95, 96, 98 (28 số)</t>
        </is>
      </c>
    </row>
    <row r="194">
      <c r="A194" s="2" t="n">
        <v>192</v>
      </c>
      <c r="B194" s="2" t="inlineStr">
        <is>
          <t>Thứ tư ngày 15-07-2026</t>
        </is>
      </c>
      <c r="C194" s="3" t="inlineStr">
        <is>
          <t>63 (Trúng)</t>
        </is>
      </c>
      <c r="D194" s="3" t="inlineStr">
        <is>
          <t>39 (Không)</t>
        </is>
      </c>
      <c r="E194" s="3" t="inlineStr">
        <is>
          <t>90 (Không)</t>
        </is>
      </c>
      <c r="F194" s="3" t="inlineStr">
        <is>
          <t>---</t>
        </is>
      </c>
      <c r="G194" s="7" t="inlineStr">
        <is>
          <t>05, 19 (TRƯỢT ❌)</t>
        </is>
      </c>
      <c r="H194" s="6" t="inlineStr">
        <is>
          <t>TRÚNG N1 🎯</t>
        </is>
      </c>
      <c r="I19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194" s="3" t="inlineStr">
        <is>
          <t>03, 04, 08, 09, 12, 13, 14, 17, 18, 19, 21, 22, 23, 26, 27, 28, 30, 31, 32, 35, 36, 37, 40, 41, 44, 45, 46, 49 (28 số)</t>
        </is>
      </c>
      <c r="K194" s="3" t="inlineStr">
        <is>
          <t>03, 04, 08, 09, 12, 13, 14, 17, 18, 19, 21, 22, 23, 26, 27, 28, 30, 31, 32, 35, 36, 37, 40, 41, 44, 45, 46, 49 (28 số)</t>
        </is>
      </c>
    </row>
    <row r="195">
      <c r="A195" s="2" t="n">
        <v>193</v>
      </c>
      <c r="B195" s="2" t="inlineStr">
        <is>
          <t>Thứ năm ngày 16-07-2026</t>
        </is>
      </c>
      <c r="C195" s="3" t="inlineStr">
        <is>
          <t>39 (Trúng)</t>
        </is>
      </c>
      <c r="D195" s="3" t="inlineStr">
        <is>
          <t>90 (Không)</t>
        </is>
      </c>
      <c r="E195" s="3" t="inlineStr">
        <is>
          <t>38 (Không)</t>
        </is>
      </c>
      <c r="F195" s="3" t="inlineStr">
        <is>
          <t>---</t>
        </is>
      </c>
      <c r="G195" s="7" t="inlineStr">
        <is>
          <t>49, 61 (TRƯỢT ❌)</t>
        </is>
      </c>
      <c r="H195" s="6" t="inlineStr">
        <is>
          <t>TRÚNG N1 🎯</t>
        </is>
      </c>
      <c r="I195" s="3" t="inlineStr">
        <is>
          <t>02, 03, 07, 08, 11, 12, 16, 17, 20, 21, 25, 26, 30, 34, 35, 39, 43, 44, 48, 49, 52, 53, 57, 58, 61, 62, 66, 67, 70, 71, 75, 76, 80, 84, 85, 89, 93, 94, 98, 99 (40 số)</t>
        </is>
      </c>
      <c r="J195" s="3" t="inlineStr">
        <is>
          <t>52, 53, 57, 58, 61, 62, 66, 67, 70, 71, 75, 76, 80, 84, 85, 89, 93, 94, 98, 99 (20 số)</t>
        </is>
      </c>
      <c r="K195" s="3" t="inlineStr">
        <is>
          <t>52, 53, 57, 58, 61, 62, 66, 67, 70, 71, 75, 76, 80, 84, 85, 89, 93, 94, 98, 99 (20 số)</t>
        </is>
      </c>
    </row>
    <row r="196">
      <c r="A196" s="2" t="n">
        <v>194</v>
      </c>
      <c r="B196" s="2" t="inlineStr">
        <is>
          <t>Thứ sáu ngày 17-07-2026</t>
        </is>
      </c>
      <c r="C196" s="3" t="inlineStr">
        <is>
          <t>90 (Trúng)</t>
        </is>
      </c>
      <c r="D196" s="3" t="inlineStr">
        <is>
          <t>38 (Trúng)</t>
        </is>
      </c>
      <c r="E196" s="3" t="inlineStr">
        <is>
          <t>28 (Trúng)</t>
        </is>
      </c>
      <c r="F196" s="3" t="inlineStr">
        <is>
          <t>---</t>
        </is>
      </c>
      <c r="G196" s="7" t="inlineStr">
        <is>
          <t>10, 13 (TRƯỢT ❌)</t>
        </is>
      </c>
      <c r="H196" s="6" t="inlineStr">
        <is>
          <t>TRÚNG N1 🎯</t>
        </is>
      </c>
      <c r="I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196" s="3" t="inlineStr">
        <is>
          <t>00, 01, 04, 09, 10, 13, 14, 15, 18, 19, 22, 23, 24, 27, 28, 29, 31, 32, 33, 36, 37, 38, 40, 41, 42, 45, 46, 47 (28 số)</t>
        </is>
      </c>
      <c r="K196" s="3" t="inlineStr">
        <is>
          <t>00, 01, 04, 09, 10, 13, 14, 15, 18, 19, 22, 23, 24, 27, 28, 29, 31, 32, 33, 36, 37, 38, 40, 41, 42, 45, 46, 47 (28 số)</t>
        </is>
      </c>
    </row>
    <row r="197">
      <c r="A197" s="2" t="n">
        <v>195</v>
      </c>
      <c r="B197" s="2" t="inlineStr">
        <is>
          <t>Thứ bảy ngày 18-07-2026</t>
        </is>
      </c>
      <c r="C197" s="3" t="inlineStr">
        <is>
          <t>38 (Không)</t>
        </is>
      </c>
      <c r="D197" s="3" t="inlineStr">
        <is>
          <t>28 (Không)</t>
        </is>
      </c>
      <c r="E197" s="3" t="inlineStr">
        <is>
          <t>70 (Không)</t>
        </is>
      </c>
      <c r="F197" s="3" t="inlineStr">
        <is>
          <t>---</t>
        </is>
      </c>
      <c r="G197" s="7" t="inlineStr">
        <is>
          <t>09, 18 (TRƯỢT ❌)</t>
        </is>
      </c>
      <c r="H197" s="7" t="inlineStr">
        <is>
          <t>TRƯỢT KHUNG ❌</t>
        </is>
      </c>
      <c r="I197" s="3" t="inlineStr">
        <is>
          <t>00, 04, 05, 09, 13, 14, 18, 19, 22, 23, 27, 28, 31, 32, 36, 37, 40, 41, 45, 46, 50, 54, 55, 59, 63, 64, 68, 69, 72, 73, 77, 78, 81, 82, 86, 87, 90, 91, 95, 96 (40 số)</t>
        </is>
      </c>
      <c r="J197" s="3" t="inlineStr">
        <is>
          <t>50, 54, 55, 59, 63, 64, 68, 69, 72, 73, 77, 78, 81, 82, 86, 87, 90, 91, 95, 96 (20 số)</t>
        </is>
      </c>
      <c r="K197" s="3" t="inlineStr">
        <is>
          <t>50, 54, 55, 59, 63, 64, 68, 69, 72, 73, 77, 78, 81, 82, 86, 87, 90, 91, 95, 96 (20 số)</t>
        </is>
      </c>
    </row>
    <row r="198">
      <c r="A198" s="2" t="n">
        <v>196</v>
      </c>
      <c r="B198" s="2" t="inlineStr">
        <is>
          <t>Chủ nhật ngày 19-07-2026</t>
        </is>
      </c>
      <c r="C198" s="3" t="inlineStr">
        <is>
          <t>28 (Không)</t>
        </is>
      </c>
      <c r="D198" s="3" t="inlineStr">
        <is>
          <t>70 (Trúng)</t>
        </is>
      </c>
      <c r="E198" s="3" t="inlineStr">
        <is>
          <t>54 (Trúng)</t>
        </is>
      </c>
      <c r="F198" s="3" t="inlineStr">
        <is>
          <t>---</t>
        </is>
      </c>
      <c r="G198" s="7" t="inlineStr">
        <is>
          <t>26, 57 (TRƯỢT ❌)</t>
        </is>
      </c>
      <c r="H198" s="6" t="inlineStr">
        <is>
          <t>TRÚNG N2 (Siêu Lọc 🎯)</t>
        </is>
      </c>
      <c r="I1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198" s="3" t="inlineStr">
        <is>
          <t>52, 53, 54, 57, 58, 59, 61, 63, 66, 67, 68, 70, 71, 72, 75, 77, 80, 81, 84, 85, 86, 89, 90, 93, 94, 95, 98, 99 (28 số)</t>
        </is>
      </c>
      <c r="K198" s="3" t="inlineStr">
        <is>
          <t>52, 53, 54, 57, 58, 59, 61, 63, 66, 67, 68, 70, 71, 72, 75, 77, 80, 81, 84, 85, 86, 89, 90, 93, 94, 95, 98, 99 (28 số)</t>
        </is>
      </c>
    </row>
    <row r="199">
      <c r="A199" s="2" t="n">
        <v>197</v>
      </c>
      <c r="B199" s="2" t="inlineStr">
        <is>
          <t>Thứ hai ngày 20-07-2026</t>
        </is>
      </c>
      <c r="C199" s="3" t="inlineStr">
        <is>
          <t>70 (Trúng)</t>
        </is>
      </c>
      <c r="D199" s="3" t="inlineStr">
        <is>
          <t>54 (Không)</t>
        </is>
      </c>
      <c r="E199" s="3" t="inlineStr">
        <is>
          <t>54 (Không)</t>
        </is>
      </c>
      <c r="F199" s="3" t="inlineStr">
        <is>
          <t>---</t>
        </is>
      </c>
      <c r="G199" s="7" t="inlineStr">
        <is>
          <t>01, 44 (TRƯỢT ❌)</t>
        </is>
      </c>
      <c r="H199" s="6" t="inlineStr">
        <is>
          <t>TRÚNG N1 🎯</t>
        </is>
      </c>
      <c r="I1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199" s="3" t="inlineStr">
        <is>
          <t>01, 02, 03, 07, 08, 10, 11, 12, 16, 17, 20, 21, 24, 25, 26, 29, 30, 33, 34, 35, 38, 39, 42, 43, 44, 47, 48, 49 (28 số)</t>
        </is>
      </c>
      <c r="K199" s="3" t="inlineStr">
        <is>
          <t>01, 02, 03, 07, 08, 10, 11, 12, 16, 17, 20, 21, 24, 25, 26, 29, 30, 33, 34, 35, 38, 39, 42, 43, 44, 47, 48, 49 (28 số)</t>
        </is>
      </c>
    </row>
    <row r="200">
      <c r="A200" s="2" t="n">
        <v>198</v>
      </c>
      <c r="B200" s="2" t="inlineStr">
        <is>
          <t>Thứ ba ngày 21-07-2026</t>
        </is>
      </c>
      <c r="C200" s="3" t="inlineStr">
        <is>
          <t>54 (Không)</t>
        </is>
      </c>
      <c r="D200" s="3" t="inlineStr">
        <is>
          <t>54 (Không)</t>
        </is>
      </c>
      <c r="E200" s="3" t="inlineStr">
        <is>
          <t>38 (Trúng)</t>
        </is>
      </c>
      <c r="F200" s="3" t="inlineStr">
        <is>
          <t>---</t>
        </is>
      </c>
      <c r="G200" s="7" t="inlineStr">
        <is>
          <t>83, 94 (TRƯỢT ❌)</t>
        </is>
      </c>
      <c r="H200" s="6" t="inlineStr">
        <is>
          <t>TRÚNG N3 (Siêu Lọc 🎯)</t>
        </is>
      </c>
      <c r="I200" s="3" t="inlineStr">
        <is>
          <t>01, 03, 06, 08, 10, 12, 15, 17, 21, 24, 26, 29, 30, 33, 35, 38, 42, 44, 47, 49, 51, 53, 56, 58, 60, 62, 65, 67, 71, 74, 76, 79, 80, 83, 85, 88, 92, 94, 97, 99 (40 số)</t>
        </is>
      </c>
      <c r="J200" s="3" t="inlineStr">
        <is>
          <t>01, 03, 06, 08, 10, 12, 15, 17, 21, 24, 26, 29, 30, 33, 35, 38, 42, 44, 47, 49 (20 số)</t>
        </is>
      </c>
      <c r="K200" s="3" t="inlineStr">
        <is>
          <t>01, 03, 06, 08, 10, 12, 15, 17, 21, 24, 26, 29, 30, 33, 35, 38, 42, 44, 47, 49 (20 số)</t>
        </is>
      </c>
    </row>
    <row r="201">
      <c r="A201" s="2" t="n">
        <v>199</v>
      </c>
      <c r="B201" s="2" t="inlineStr">
        <is>
          <t>Thứ tư ngày 22-07-2026</t>
        </is>
      </c>
      <c r="C201" s="3" t="inlineStr">
        <is>
          <t>54 (Trúng)</t>
        </is>
      </c>
      <c r="D201" s="3" t="inlineStr">
        <is>
          <t>38 (Không)</t>
        </is>
      </c>
      <c r="E201" s="3" t="inlineStr">
        <is>
          <t>28 (Trúng)</t>
        </is>
      </c>
      <c r="F201" s="3" t="inlineStr">
        <is>
          <t>---</t>
        </is>
      </c>
      <c r="G201" s="7" t="inlineStr">
        <is>
          <t>05, 12 (TRƯỢT ❌)</t>
        </is>
      </c>
      <c r="H201" s="6" t="inlineStr">
        <is>
          <t>TRÚNG N1 🎯</t>
        </is>
      </c>
      <c r="I20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01" s="3" t="inlineStr">
        <is>
          <t>03, 04, 08, 09, 12, 13, 14, 17, 18, 19, 21, 22, 23, 26, 27, 28, 30, 31, 32, 35, 36, 37, 40, 41, 44, 45, 46, 49 (28 số)</t>
        </is>
      </c>
      <c r="K201" s="3" t="inlineStr">
        <is>
          <t>03, 04, 08, 09, 12, 13, 14, 17, 18, 19, 21, 22, 23, 26, 27, 28, 30, 31, 32, 35, 36, 37, 40, 41, 44, 45, 46, 49 (28 số)</t>
        </is>
      </c>
    </row>
    <row r="202">
      <c r="A202" s="2" t="n">
        <v>200</v>
      </c>
      <c r="B202" s="2" t="inlineStr">
        <is>
          <t>Thứ năm ngày 23-07-2026</t>
        </is>
      </c>
      <c r="C202" s="3" t="inlineStr">
        <is>
          <t>38 (Không)</t>
        </is>
      </c>
      <c r="D202" s="3" t="inlineStr">
        <is>
          <t>28 (Không)</t>
        </is>
      </c>
      <c r="E202" s="3" t="inlineStr">
        <is>
          <t>16 (Không)</t>
        </is>
      </c>
      <c r="F202" s="3" t="inlineStr">
        <is>
          <t>---</t>
        </is>
      </c>
      <c r="G202" s="7" t="inlineStr">
        <is>
          <t>54, 63 (TRƯỢT ❌)</t>
        </is>
      </c>
      <c r="H202" s="7" t="inlineStr">
        <is>
          <t>TRƯỢT KHUNG ❌</t>
        </is>
      </c>
      <c r="I20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 (60 số)</t>
        </is>
      </c>
      <c r="J202" s="3" t="inlineStr">
        <is>
          <t>52, 53, 54, 57, 58, 59, 61, 63, 66, 67, 68, 70, 71, 72, 75, 77, 80, 81, 84, 85, 86, 89, 90, 93, 94, 95, 98, 99 (28 số)</t>
        </is>
      </c>
      <c r="K202" s="3" t="inlineStr">
        <is>
          <t>52, 53, 54, 57, 58, 59, 61, 63, 66, 67, 68, 70, 71, 72, 75, 77, 80, 81, 84, 85, 86, 89, 90, 93, 94, 95, 98, 99 (28 số)</t>
        </is>
      </c>
    </row>
    <row r="203">
      <c r="A203" s="2" t="n">
        <v>201</v>
      </c>
      <c r="B203" s="2" t="inlineStr">
        <is>
          <t>Thứ sáu ngày 24-07-2026</t>
        </is>
      </c>
      <c r="C203" s="3" t="inlineStr">
        <is>
          <t>28 (Không)</t>
        </is>
      </c>
      <c r="D203" s="3" t="inlineStr">
        <is>
          <t>16 (Không)</t>
        </is>
      </c>
      <c r="E203" s="3" t="inlineStr">
        <is>
          <t>96 (Không)</t>
        </is>
      </c>
      <c r="F203" s="3" t="inlineStr">
        <is>
          <t>---</t>
        </is>
      </c>
      <c r="G203" s="7" t="inlineStr">
        <is>
          <t>24, 38 (TRƯỢT ❌)</t>
        </is>
      </c>
      <c r="H203" s="7" t="inlineStr">
        <is>
          <t>TRƯỢT KHUNG ❌</t>
        </is>
      </c>
      <c r="I20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3" s="3" t="inlineStr">
        <is>
          <t>51, 53, 54, 56, 58, 59, 60, 62, 63, 67, 68, 71, 72, 74, 76, 77, 79, 80, 81, 83, 85, 86, 88, 90, 94, 95, 97, 99 (28 số)</t>
        </is>
      </c>
      <c r="K203" s="3" t="inlineStr">
        <is>
          <t>51, 53, 54, 56, 58, 59, 60, 62, 63, 67, 68, 71, 72, 74, 76, 77, 79, 80, 81, 83, 85, 86, 88, 90, 94, 95, 97, 99 (28 số)</t>
        </is>
      </c>
    </row>
    <row r="204">
      <c r="A204" s="2" t="n">
        <v>202</v>
      </c>
      <c r="B204" s="2" t="inlineStr">
        <is>
          <t>Thứ bảy ngày 25-07-2026</t>
        </is>
      </c>
      <c r="C204" s="3" t="inlineStr">
        <is>
          <t>16 (Trúng)</t>
        </is>
      </c>
      <c r="D204" s="3" t="inlineStr">
        <is>
          <t>96 (Trúng)</t>
        </is>
      </c>
      <c r="E204" s="3" t="inlineStr">
        <is>
          <t>00 (Không)</t>
        </is>
      </c>
      <c r="F204" s="3" t="inlineStr">
        <is>
          <t>---</t>
        </is>
      </c>
      <c r="G204" s="7" t="inlineStr">
        <is>
          <t>02, 28 (TRƯỢT ❌)</t>
        </is>
      </c>
      <c r="H204" s="6" t="inlineStr">
        <is>
          <t>TRÚNG N1 🎯</t>
        </is>
      </c>
      <c r="I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04" s="3" t="inlineStr">
        <is>
          <t>50, 52, 53, 57, 58, 61, 62, 64, 66, 67, 69, 70, 71, 73, 75, 76, 78, 80, 84, 85, 87, 89, 91, 93, 94, 96, 98, 99 (28 số)</t>
        </is>
      </c>
      <c r="K204" s="3" t="inlineStr">
        <is>
          <t>50, 52, 53, 57, 58, 61, 62, 64, 66, 67, 69, 70, 71, 73, 75, 76, 78, 80, 84, 85, 87, 89, 91, 93, 94, 96, 98, 99 (28 số)</t>
        </is>
      </c>
    </row>
    <row r="205">
      <c r="A205" s="2" t="n">
        <v>203</v>
      </c>
      <c r="B205" s="2" t="inlineStr">
        <is>
          <t>Chủ nhật ngày 26-07-2026</t>
        </is>
      </c>
      <c r="C205" s="3" t="inlineStr">
        <is>
          <t>96 (Trúng)</t>
        </is>
      </c>
      <c r="D205" s="3" t="inlineStr">
        <is>
          <t>00 (Trúng)</t>
        </is>
      </c>
      <c r="E205" s="3" t="inlineStr">
        <is>
          <t>83 (Không)</t>
        </is>
      </c>
      <c r="F205" s="3" t="inlineStr">
        <is>
          <t>---</t>
        </is>
      </c>
      <c r="G205" s="7" t="inlineStr">
        <is>
          <t>16, 25 (TRƯỢT ❌)</t>
        </is>
      </c>
      <c r="H205" s="6" t="inlineStr">
        <is>
          <t>TRÚNG N1 🎯</t>
        </is>
      </c>
      <c r="I205" s="3" t="inlineStr">
        <is>
          <t>00, 02, 05, 07, 11, 14, 16, 19, 20, 23, 25, 28, 32, 34, 37, 39, 41, 43, 46, 48, 50, 52, 55, 57, 61, 64, 66, 69, 70, 73, 75, 78, 82, 84, 87, 89, 91, 93, 96, 98 (40 số)</t>
        </is>
      </c>
      <c r="J205" s="3" t="inlineStr">
        <is>
          <t>00, 02, 05, 07, 11, 14, 16, 19, 20, 23, 25, 28, 32, 34, 37, 39, 41, 43, 46, 48 (20 số)</t>
        </is>
      </c>
      <c r="K205" s="3" t="inlineStr">
        <is>
          <t>00, 02, 05, 07, 11, 14, 16, 19, 20, 23, 25, 28, 32, 34, 37, 39, 41, 43, 46, 48 (20 số)</t>
        </is>
      </c>
    </row>
    <row r="206">
      <c r="A206" s="2" t="n">
        <v>204</v>
      </c>
      <c r="B206" s="2" t="inlineStr">
        <is>
          <t>Thứ hai ngày 27-07-2026</t>
        </is>
      </c>
      <c r="C206" s="3" t="inlineStr">
        <is>
          <t>00 (Trúng)</t>
        </is>
      </c>
      <c r="D206" s="3" t="inlineStr">
        <is>
          <t>83 (Trúng)</t>
        </is>
      </c>
      <c r="E206" s="3" t="inlineStr">
        <is>
          <t>34 (Không)</t>
        </is>
      </c>
      <c r="F206" s="3" t="inlineStr">
        <is>
          <t>---</t>
        </is>
      </c>
      <c r="G206" s="7" t="inlineStr">
        <is>
          <t>29, 55 (TRƯỢT ❌)</t>
        </is>
      </c>
      <c r="H206" s="6" t="inlineStr">
        <is>
          <t>TRÚNG N1 🎯</t>
        </is>
      </c>
      <c r="I206" s="3" t="inlineStr">
        <is>
          <t>00, 01, 05, 06, 10, 14, 15, 19, 23, 24, 28, 29, 32, 33, 37, 38, 41, 42, 46, 47, 50, 51, 55, 56, 60, 64, 65, 69, 73, 74, 78, 79, 82, 83, 87, 88, 91, 92, 96, 97 (40 số)</t>
        </is>
      </c>
      <c r="J206" s="3" t="inlineStr">
        <is>
          <t>50, 51, 55, 56, 60, 64, 65, 69, 73, 74, 78, 79, 82, 83, 87, 88, 91, 92, 96, 97 (20 số)</t>
        </is>
      </c>
      <c r="K206" s="3" t="inlineStr">
        <is>
          <t>50, 51, 55, 56, 60, 64, 65, 69, 73, 74, 78, 79, 82, 83, 87, 88, 91, 92, 96, 97 (20 số)</t>
        </is>
      </c>
    </row>
    <row r="207">
      <c r="A207" s="2" t="n">
        <v>205</v>
      </c>
      <c r="B207" s="2" t="inlineStr">
        <is>
          <t>Thứ ba ngày 28-07-2026</t>
        </is>
      </c>
      <c r="C207" s="3" t="inlineStr">
        <is>
          <t>83 (Trúng)</t>
        </is>
      </c>
      <c r="D207" s="3" t="inlineStr">
        <is>
          <t>34 (Không)</t>
        </is>
      </c>
      <c r="E207" s="3" t="inlineStr">
        <is>
          <t>10 (Trúng)</t>
        </is>
      </c>
      <c r="F207" s="3" t="inlineStr">
        <is>
          <t>---</t>
        </is>
      </c>
      <c r="G207" s="7" t="inlineStr">
        <is>
          <t>08, 56 (TRƯỢT ❌)</t>
        </is>
      </c>
      <c r="H207" s="6" t="inlineStr">
        <is>
          <t>TRÚNG N1 🎯</t>
        </is>
      </c>
      <c r="I20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07" s="3" t="inlineStr">
        <is>
          <t>01, 03, 04, 08, 09, 10, 12, 13, 17, 18, 21, 22, 24, 26, 27, 29, 30, 31, 33, 35, 36, 38, 40, 42, 44, 45, 47, 49 (28 số)</t>
        </is>
      </c>
      <c r="K207" s="3" t="inlineStr">
        <is>
          <t>01, 03, 04, 08, 09, 10, 12, 13, 17, 18, 21, 22, 24, 26, 27, 29, 30, 31, 33, 35, 36, 38, 40, 42, 44, 45, 47, 49 (28 số)</t>
        </is>
      </c>
    </row>
    <row r="208">
      <c r="A208" s="2" t="n">
        <v>206</v>
      </c>
      <c r="B208" s="2" t="inlineStr">
        <is>
          <t>Thứ tư ngày 29-07-2026</t>
        </is>
      </c>
      <c r="C208" s="3" t="inlineStr">
        <is>
          <t>34 (Trúng)</t>
        </is>
      </c>
      <c r="D208" s="3" t="inlineStr">
        <is>
          <t>10 (Không)</t>
        </is>
      </c>
      <c r="E208" s="3" t="inlineStr">
        <is>
          <t>23 (Không)</t>
        </is>
      </c>
      <c r="F208" s="3" t="inlineStr">
        <is>
          <t>---</t>
        </is>
      </c>
      <c r="G208" s="7" t="inlineStr">
        <is>
          <t>43, 48 (TRƯỢT ❌)</t>
        </is>
      </c>
      <c r="H208" s="6" t="inlineStr">
        <is>
          <t>TRÚNG N1 🎯</t>
        </is>
      </c>
      <c r="I208" s="3" t="inlineStr">
        <is>
          <t>02, 07, 11, 16, 20, 25, 34, 39, 43, 48, 52, 57, 61, 66, 70, 75, 84, 89, 93, 98 (20 số)</t>
        </is>
      </c>
      <c r="J208" s="3" t="inlineStr">
        <is>
          <t>52, 57, 61, 66, 70, 75, 84, 89, 93, 98 (10 số)</t>
        </is>
      </c>
      <c r="K208" s="3" t="inlineStr">
        <is>
          <t>52, 57, 61, 66, 70, 75, 84, 89, 93, 98 (10 số)</t>
        </is>
      </c>
    </row>
    <row r="209">
      <c r="A209" s="2" t="n">
        <v>207</v>
      </c>
      <c r="B209" s="2" t="inlineStr">
        <is>
          <t>Thứ năm ngày 30-07-2026</t>
        </is>
      </c>
      <c r="C209" s="3" t="inlineStr">
        <is>
          <t>10 (Trúng)</t>
        </is>
      </c>
      <c r="D209" s="3" t="inlineStr">
        <is>
          <t>23 (Không)</t>
        </is>
      </c>
      <c r="E209" s="3" t="inlineStr">
        <is>
          <t>09 (Không)</t>
        </is>
      </c>
      <c r="F209" s="3" t="inlineStr">
        <is>
          <t>---</t>
        </is>
      </c>
      <c r="G209" s="7" t="inlineStr">
        <is>
          <t>06, 36 (TRƯỢT ❌)</t>
        </is>
      </c>
      <c r="H209" s="6" t="inlineStr">
        <is>
          <t>TRÚNG N1 🎯</t>
        </is>
      </c>
      <c r="I20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09" s="3" t="inlineStr">
        <is>
          <t>50, 51, 54, 56, 59, 60, 63, 64, 65, 68, 69, 72, 73, 74, 77, 78, 79, 81, 82, 83, 86, 87, 88, 90, 91, 95, 96, 97 (28 số)</t>
        </is>
      </c>
      <c r="K209" s="3" t="inlineStr">
        <is>
          <t>50, 51, 54, 56, 59, 60, 63, 64, 65, 68, 69, 72, 73, 74, 77, 78, 79, 81, 82, 83, 86, 87, 88, 90, 91, 95, 96, 97 (28 số)</t>
        </is>
      </c>
    </row>
    <row r="210">
      <c r="A210" s="2" t="n">
        <v>208</v>
      </c>
      <c r="B210" s="2" t="inlineStr">
        <is>
          <t>Thứ sáu ngày 31-07-2026</t>
        </is>
      </c>
      <c r="C210" s="3" t="inlineStr">
        <is>
          <t>23 (Không)</t>
        </is>
      </c>
      <c r="D210" s="3" t="inlineStr">
        <is>
          <t>09 (Không)</t>
        </is>
      </c>
      <c r="E210" s="3" t="inlineStr">
        <is>
          <t>47 (Không)</t>
        </is>
      </c>
      <c r="F210" s="3" t="inlineStr">
        <is>
          <t>---</t>
        </is>
      </c>
      <c r="G210" s="7" t="inlineStr">
        <is>
          <t>04, 10 (TRƯỢT ❌)</t>
        </is>
      </c>
      <c r="H210" s="7" t="inlineStr">
        <is>
          <t>TRƯỢT KHUNG ❌</t>
        </is>
      </c>
      <c r="I210" s="3" t="inlineStr">
        <is>
          <t>01, 04, 06, 09, 10, 13, 15, 18, 22, 24, 27, 29, 31, 33, 36, 38, 40, 42, 45, 47, 51, 54, 56, 59, 60, 63, 65, 68, 72, 74, 77, 79, 81, 83, 86, 88, 90, 92, 95, 97 (40 số)</t>
        </is>
      </c>
      <c r="J210" s="3" t="inlineStr">
        <is>
          <t>51, 54, 56, 59, 60, 63, 65, 68, 72, 74, 77, 79, 81, 83, 86, 88, 90, 92, 95, 97 (20 số)</t>
        </is>
      </c>
      <c r="K210" s="3" t="inlineStr">
        <is>
          <t>51, 54, 56, 59, 60, 63, 65, 68, 72, 74, 77, 79, 81, 83, 86, 88, 90, 92, 95, 97 (20 số)</t>
        </is>
      </c>
    </row>
    <row r="211">
      <c r="A211" s="2" t="n">
        <v>209</v>
      </c>
      <c r="B211" s="2" t="inlineStr">
        <is>
          <t>Thứ bảy ngày 01-08-2026</t>
        </is>
      </c>
      <c r="C211" s="3" t="inlineStr">
        <is>
          <t>09 (Không)</t>
        </is>
      </c>
      <c r="D211" s="3" t="inlineStr">
        <is>
          <t>47 (Không)</t>
        </is>
      </c>
      <c r="E211" s="3" t="inlineStr">
        <is>
          <t>25 (Không)</t>
        </is>
      </c>
      <c r="F211" s="3" t="inlineStr">
        <is>
          <t>---</t>
        </is>
      </c>
      <c r="G211" s="7" t="inlineStr">
        <is>
          <t>52, 56 (TRƯỢT ❌)</t>
        </is>
      </c>
      <c r="H211" s="7" t="inlineStr">
        <is>
          <t>TRƯỢT KHUNG ❌</t>
        </is>
      </c>
      <c r="I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 (60 số)</t>
        </is>
      </c>
      <c r="J211" s="3" t="inlineStr">
        <is>
          <t>51, 52, 53, 56, 57, 58, 60, 61, 62, 66, 67, 70, 71, 74, 75, 76, 79, 80, 83, 84, 85, 88, 89, 93, 94, 97, 98, 99 (28 số)</t>
        </is>
      </c>
      <c r="K211" s="3" t="inlineStr">
        <is>
          <t>51, 52, 53, 56, 57, 58, 60, 61, 62, 66, 67, 70, 71, 74, 75, 76, 79, 80, 83, 84, 85, 88, 89, 93, 94, 97, 98, 99 (28 số)</t>
        </is>
      </c>
    </row>
    <row r="212">
      <c r="A212" s="2" t="n">
        <v>210</v>
      </c>
      <c r="B212" s="2" t="inlineStr">
        <is>
          <t>Chủ nhật ngày 02-08-2026</t>
        </is>
      </c>
      <c r="C212" s="3" t="inlineStr">
        <is>
          <t>47 (Không)</t>
        </is>
      </c>
      <c r="D212" s="3" t="inlineStr">
        <is>
          <t>25 (Không)</t>
        </is>
      </c>
      <c r="E212" s="3" t="inlineStr">
        <is>
          <t>60 (Không)</t>
        </is>
      </c>
      <c r="F212" s="3" t="inlineStr">
        <is>
          <t>---</t>
        </is>
      </c>
      <c r="G212" s="7" t="inlineStr">
        <is>
          <t>52, 80 (TRƯỢT ❌)</t>
        </is>
      </c>
      <c r="H212" s="7" t="inlineStr">
        <is>
          <t>TRƯỢT KHUNG ❌</t>
        </is>
      </c>
      <c r="I2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2" s="3" t="inlineStr">
        <is>
          <t>50, 52, 53, 57, 58, 61, 62, 64, 66, 67, 69, 70, 71, 73, 75, 76, 78, 80, 84, 85, 87, 89, 91, 93, 94, 96, 98, 99 (28 số)</t>
        </is>
      </c>
      <c r="K212" s="3" t="inlineStr">
        <is>
          <t>50, 52, 53, 57, 58, 61, 62, 64, 66, 67, 69, 70, 71, 73, 75, 76, 78, 80, 84, 85, 87, 89, 91, 93, 94, 96, 98, 99 (28 số)</t>
        </is>
      </c>
    </row>
    <row r="213">
      <c r="A213" s="2" t="n">
        <v>211</v>
      </c>
      <c r="B213" s="2" t="inlineStr">
        <is>
          <t>Thứ hai ngày 03-08-2026</t>
        </is>
      </c>
      <c r="C213" s="3" t="inlineStr">
        <is>
          <t>25 (Không)</t>
        </is>
      </c>
      <c r="D213" s="3" t="inlineStr">
        <is>
          <t>60 (Trúng)</t>
        </is>
      </c>
      <c r="E213" s="3" t="inlineStr">
        <is>
          <t>67 (Không)</t>
        </is>
      </c>
      <c r="F213" s="3" t="inlineStr">
        <is>
          <t>---</t>
        </is>
      </c>
      <c r="G213" s="7" t="inlineStr">
        <is>
          <t>04, 29 (TRƯỢT ❌)</t>
        </is>
      </c>
      <c r="H213" s="6" t="inlineStr">
        <is>
          <t>TRÚNG N2 (Siêu Lọc 🎯)</t>
        </is>
      </c>
      <c r="I213" s="3" t="inlineStr">
        <is>
          <t>01, 04, 06, 09, 10, 13, 15, 18, 22, 24, 27, 29, 31, 33, 36, 38, 40, 42, 45, 47, 51, 54, 56, 59, 60, 63, 65, 68, 72, 74, 77, 79, 81, 83, 86, 88, 90, 92, 95, 97 (40 số)</t>
        </is>
      </c>
      <c r="J213" s="3" t="inlineStr">
        <is>
          <t>51, 54, 56, 59, 60, 63, 65, 68, 72, 74, 77, 79, 81, 83, 86, 88, 90, 92, 95, 97 (20 số)</t>
        </is>
      </c>
      <c r="K213" s="3" t="inlineStr">
        <is>
          <t>51, 54, 56, 59, 60, 63, 65, 68, 72, 74, 77, 79, 81, 83, 86, 88, 90, 92, 95, 97 (20 số)</t>
        </is>
      </c>
    </row>
    <row r="214">
      <c r="A214" s="2" t="n">
        <v>212</v>
      </c>
      <c r="B214" s="2" t="inlineStr">
        <is>
          <t>Thứ ba ngày 04-08-2026</t>
        </is>
      </c>
      <c r="C214" s="3" t="inlineStr">
        <is>
          <t>60 (Không)</t>
        </is>
      </c>
      <c r="D214" s="3" t="inlineStr">
        <is>
          <t>67 (Không)</t>
        </is>
      </c>
      <c r="E214" s="3" t="inlineStr">
        <is>
          <t>79 (Không)</t>
        </is>
      </c>
      <c r="F214" s="3" t="inlineStr">
        <is>
          <t>---</t>
        </is>
      </c>
      <c r="G214" s="7" t="inlineStr">
        <is>
          <t>25, 44 (TRƯỢT ❌)</t>
        </is>
      </c>
      <c r="H214" s="7" t="inlineStr">
        <is>
          <t>TRƯỢT KHUNG ❌</t>
        </is>
      </c>
      <c r="I2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 (60 số)</t>
        </is>
      </c>
      <c r="J214" s="3" t="inlineStr">
        <is>
          <t>02, 03, 07, 08, 11, 12, 14, 16, 17, 19, 20, 21, 23, 25, 26, 28, 30, 32, 34, 35, 37, 39, 41, 43, 44, 46, 48, 49 (28 số)</t>
        </is>
      </c>
      <c r="K214" s="3" t="inlineStr">
        <is>
          <t>02, 03, 07, 08, 11, 12, 14, 16, 17, 19, 20, 21, 23, 25, 26, 28, 30, 32, 34, 35, 37, 39, 41, 43, 44, 46, 48, 49 (28 số)</t>
        </is>
      </c>
    </row>
    <row r="215">
      <c r="A215" s="2" t="n">
        <v>213</v>
      </c>
      <c r="B215" s="2" t="inlineStr">
        <is>
          <t>Thứ tư ngày 05-08-2026</t>
        </is>
      </c>
      <c r="C215" s="3" t="inlineStr">
        <is>
          <t>67 (Không)</t>
        </is>
      </c>
      <c r="D215" s="3" t="inlineStr">
        <is>
          <t>79 (Không)</t>
        </is>
      </c>
      <c r="E215" s="3" t="inlineStr">
        <is>
          <t>22 (Trúng)</t>
        </is>
      </c>
      <c r="F215" s="3" t="inlineStr">
        <is>
          <t>---</t>
        </is>
      </c>
      <c r="G215" s="7" t="inlineStr">
        <is>
          <t>18, 75 (TRƯỢT ❌)</t>
        </is>
      </c>
      <c r="H215" s="6" t="inlineStr">
        <is>
          <t>TRÚNG N3 (Siêu Lọc 🎯)</t>
        </is>
      </c>
      <c r="I215" s="3" t="inlineStr">
        <is>
          <t>02, 04, 07, 09, 11, 13, 16, 18, 20, 22, 25, 27, 31, 34, 36, 39, 40, 43, 45, 48, 52, 54, 57, 59, 61, 63, 66, 68, 70, 72, 75, 77, 81, 84, 86, 89, 90, 93, 95, 98 (40 số)</t>
        </is>
      </c>
      <c r="J215" s="3" t="inlineStr">
        <is>
          <t>02, 04, 07, 09, 11, 13, 16, 18, 20, 22, 25, 27, 31, 34, 36, 39, 40, 43, 45, 48 (20 số)</t>
        </is>
      </c>
      <c r="K215" s="3" t="inlineStr">
        <is>
          <t>02, 04, 07, 09, 11, 13, 16, 18, 20, 22, 25, 27, 31, 34, 36, 39, 40, 43, 45, 48 (20 số)</t>
        </is>
      </c>
    </row>
    <row r="216">
      <c r="A216" s="2" t="n">
        <v>214</v>
      </c>
      <c r="B216" s="2" t="inlineStr">
        <is>
          <t>Thứ năm ngày 06-08-2026</t>
        </is>
      </c>
      <c r="C216" s="3" t="inlineStr">
        <is>
          <t>79 (Không)</t>
        </is>
      </c>
      <c r="D216" s="3" t="inlineStr">
        <is>
          <t>22 (Trúng)</t>
        </is>
      </c>
      <c r="E216" s="3" t="inlineStr">
        <is>
          <t>21 (Trúng)</t>
        </is>
      </c>
      <c r="F216" s="3" t="inlineStr">
        <is>
          <t>---</t>
        </is>
      </c>
      <c r="G216" s="7" t="inlineStr">
        <is>
          <t>35, 67 (TRƯỢT ❌)</t>
        </is>
      </c>
      <c r="H216" s="6" t="inlineStr">
        <is>
          <t>TRÚNG N2 (Siêu Lọc 🎯)</t>
        </is>
      </c>
      <c r="I2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6" s="3" t="inlineStr">
        <is>
          <t>03, 04, 08, 09, 12, 13, 14, 17, 18, 19, 21, 22, 23, 26, 27, 28, 30, 31, 32, 35, 36, 37, 40, 41, 44, 45, 46, 49 (28 số)</t>
        </is>
      </c>
      <c r="K216" s="3" t="inlineStr">
        <is>
          <t>03, 04, 08, 09, 12, 13, 14, 17, 18, 19, 21, 22, 23, 26, 27, 28, 30, 31, 32, 35, 36, 37, 40, 41, 44, 45, 46, 49 (28 số)</t>
        </is>
      </c>
    </row>
    <row r="217">
      <c r="A217" s="2" t="n">
        <v>215</v>
      </c>
      <c r="B217" s="2" t="inlineStr">
        <is>
          <t>Thứ sáu ngày 07-08-2026</t>
        </is>
      </c>
      <c r="C217" s="3" t="inlineStr">
        <is>
          <t>22 (Trúng)</t>
        </is>
      </c>
      <c r="D217" s="3" t="inlineStr">
        <is>
          <t>21 (Không)</t>
        </is>
      </c>
      <c r="E217" s="3" t="inlineStr">
        <is>
          <t>57 (Không)</t>
        </is>
      </c>
      <c r="F217" s="3" t="inlineStr">
        <is>
          <t>---</t>
        </is>
      </c>
      <c r="G217" s="7" t="inlineStr">
        <is>
          <t>44, 47 (TRƯỢT ❌)</t>
        </is>
      </c>
      <c r="H217" s="6" t="inlineStr">
        <is>
          <t>TRÚNG N1 🎯</t>
        </is>
      </c>
      <c r="I21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7" s="3" t="inlineStr">
        <is>
          <t>51, 53, 54, 56, 58, 59, 60, 62, 63, 67, 68, 71, 72, 74, 76, 77, 79, 80, 81, 83, 85, 86, 88, 90, 94, 95, 97, 99 (28 số)</t>
        </is>
      </c>
      <c r="K217" s="3" t="inlineStr">
        <is>
          <t>51, 53, 54, 56, 58, 59, 60, 62, 63, 67, 68, 71, 72, 74, 76, 77, 79, 80, 81, 83, 85, 86, 88, 90, 94, 95, 97, 99 (28 số)</t>
        </is>
      </c>
    </row>
    <row r="218">
      <c r="A218" s="2" t="n">
        <v>216</v>
      </c>
      <c r="B218" s="2" t="inlineStr">
        <is>
          <t>Thứ bảy ngày 08-08-2026</t>
        </is>
      </c>
      <c r="C218" s="3" t="inlineStr">
        <is>
          <t>21 (Trúng)</t>
        </is>
      </c>
      <c r="D218" s="3" t="inlineStr">
        <is>
          <t>57 (Không)</t>
        </is>
      </c>
      <c r="E218" s="3" t="inlineStr">
        <is>
          <t>91 (Trúng)</t>
        </is>
      </c>
      <c r="F218" s="3" t="inlineStr">
        <is>
          <t>---</t>
        </is>
      </c>
      <c r="G218" s="7" t="inlineStr">
        <is>
          <t>22, 78 (TRƯỢT ❌)</t>
        </is>
      </c>
      <c r="H218" s="6" t="inlineStr">
        <is>
          <t>TRÚNG N1 🎯</t>
        </is>
      </c>
      <c r="I21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18" s="3" t="inlineStr">
        <is>
          <t>50, 53, 54, 58, 59, 62, 63, 64, 67, 68, 69, 71, 72, 73, 76, 77, 78, 80, 81, 85, 86, 87, 90, 91, 94, 95, 96, 99 (28 số)</t>
        </is>
      </c>
      <c r="K218" s="3" t="inlineStr">
        <is>
          <t>50, 53, 54, 58, 59, 62, 63, 64, 67, 68, 69, 71, 72, 73, 76, 77, 78, 80, 81, 85, 86, 87, 90, 91, 94, 95, 96, 99 (28 số)</t>
        </is>
      </c>
    </row>
    <row r="219">
      <c r="A219" s="2" t="n">
        <v>217</v>
      </c>
      <c r="B219" s="2" t="inlineStr">
        <is>
          <t>Chủ nhật ngày 09-08-2026</t>
        </is>
      </c>
      <c r="C219" s="3" t="inlineStr">
        <is>
          <t>57 (Không)</t>
        </is>
      </c>
      <c r="D219" s="3" t="inlineStr">
        <is>
          <t>91 (Không)</t>
        </is>
      </c>
      <c r="E219" s="3" t="inlineStr">
        <is>
          <t>26 (Trúng)</t>
        </is>
      </c>
      <c r="F219" s="3" t="inlineStr">
        <is>
          <t>---</t>
        </is>
      </c>
      <c r="G219" s="7" t="inlineStr">
        <is>
          <t>21, 29 (TRƯỢT ❌)</t>
        </is>
      </c>
      <c r="H219" s="6" t="inlineStr">
        <is>
          <t>TRÚNG N3 (Siêu Lọc 🎯)</t>
        </is>
      </c>
      <c r="I21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19" s="3" t="inlineStr">
        <is>
          <t>01, 03, 04, 08, 09, 10, 12, 13, 17, 18, 21, 22, 24, 26, 27, 29, 30, 31, 33, 35, 36, 38, 40, 42, 44, 45, 47, 49 (28 số)</t>
        </is>
      </c>
      <c r="K219" s="3" t="inlineStr">
        <is>
          <t>01, 03, 04, 08, 09, 10, 12, 13, 17, 18, 21, 22, 24, 26, 27, 29, 30, 31, 33, 35, 36, 38, 40, 42, 44, 45, 47, 49 (28 số)</t>
        </is>
      </c>
    </row>
    <row r="220">
      <c r="A220" s="2" t="n">
        <v>218</v>
      </c>
      <c r="B220" s="2" t="inlineStr">
        <is>
          <t>Thứ hai ngày 10-08-2026</t>
        </is>
      </c>
      <c r="C220" s="3" t="inlineStr">
        <is>
          <t>91 (Không)</t>
        </is>
      </c>
      <c r="D220" s="3" t="inlineStr">
        <is>
          <t>26 (Không)</t>
        </is>
      </c>
      <c r="E220" s="3" t="inlineStr">
        <is>
          <t>44 (Không)</t>
        </is>
      </c>
      <c r="F220" s="3" t="inlineStr">
        <is>
          <t>---</t>
        </is>
      </c>
      <c r="G220" s="7" t="inlineStr">
        <is>
          <t>02, 57 (TRƯỢT ❌)</t>
        </is>
      </c>
      <c r="H220" s="7" t="inlineStr">
        <is>
          <t>TRƯỢT KHUNG ❌</t>
        </is>
      </c>
      <c r="I220" s="3" t="inlineStr">
        <is>
          <t>02, 04, 07, 09, 11, 13, 16, 18, 20, 22, 25, 27, 31, 34, 36, 39, 40, 43, 45, 48, 52, 54, 57, 59, 61, 63, 66, 68, 70, 72, 75, 77, 81, 84, 86, 89, 90, 93, 95, 98 (40 số)</t>
        </is>
      </c>
      <c r="J220" s="3" t="inlineStr">
        <is>
          <t>02, 04, 07, 09, 11, 13, 16, 18, 20, 22, 25, 27, 31, 34, 36, 39, 40, 43, 45, 48 (20 số)</t>
        </is>
      </c>
      <c r="K220" s="3" t="inlineStr">
        <is>
          <t>02, 04, 07, 09, 11, 13, 16, 18, 20, 22, 25, 27, 31, 34, 36, 39, 40, 43, 45, 48 (20 số)</t>
        </is>
      </c>
    </row>
    <row r="221">
      <c r="A221" s="2" t="n">
        <v>219</v>
      </c>
      <c r="B221" s="2" t="inlineStr">
        <is>
          <t>Thứ ba ngày 11-08-2026</t>
        </is>
      </c>
      <c r="C221" s="3" t="inlineStr">
        <is>
          <t>26 (Không)</t>
        </is>
      </c>
      <c r="D221" s="3" t="inlineStr">
        <is>
          <t>44 (Không)</t>
        </is>
      </c>
      <c r="E221" s="3" t="inlineStr">
        <is>
          <t>18 (Không)</t>
        </is>
      </c>
      <c r="F221" s="3" t="inlineStr">
        <is>
          <t>---</t>
        </is>
      </c>
      <c r="G221" s="7" t="inlineStr">
        <is>
          <t>22, 40 (TRƯỢT ❌)</t>
        </is>
      </c>
      <c r="H221" s="7" t="inlineStr">
        <is>
          <t>TRƯỢT KHUNG ❌</t>
        </is>
      </c>
      <c r="I221" s="3" t="inlineStr">
        <is>
          <t>01, 04, 06, 09, 10, 13, 15, 18, 22, 24, 27, 29, 31, 33, 36, 38, 40, 42, 45, 47, 51, 54, 56, 59, 60, 63, 65, 68, 72, 74, 77, 79, 81, 83, 86, 88, 90, 92, 95, 97 (40 số)</t>
        </is>
      </c>
      <c r="J221" s="3" t="inlineStr">
        <is>
          <t>51, 54, 56, 59, 60, 63, 65, 68, 72, 74, 77, 79, 81, 83, 86, 88, 90, 92, 95, 97 (20 số)</t>
        </is>
      </c>
      <c r="K221" s="3" t="inlineStr">
        <is>
          <t>51, 54, 56, 59, 60, 63, 65, 68, 72, 74, 77, 79, 81, 83, 86, 88, 90, 92, 95, 97 (20 số)</t>
        </is>
      </c>
    </row>
    <row r="222">
      <c r="A222" s="2" t="n">
        <v>220</v>
      </c>
      <c r="B222" s="2" t="inlineStr">
        <is>
          <t>Thứ tư ngày 12-08-2026</t>
        </is>
      </c>
      <c r="C222" s="3" t="inlineStr">
        <is>
          <t>44 (Trúng)</t>
        </is>
      </c>
      <c r="D222" s="3" t="inlineStr">
        <is>
          <t>18 (Không)</t>
        </is>
      </c>
      <c r="E222" s="3" t="inlineStr">
        <is>
          <t>78 (Không)</t>
        </is>
      </c>
      <c r="F222" s="3" t="inlineStr">
        <is>
          <t>---</t>
        </is>
      </c>
      <c r="G222" s="7" t="inlineStr">
        <is>
          <t>21, 26 (TRƯỢT ❌)</t>
        </is>
      </c>
      <c r="H222" s="6" t="inlineStr">
        <is>
          <t>TRÚNG N1 🎯</t>
        </is>
      </c>
      <c r="I222" s="3" t="inlineStr">
        <is>
          <t>01, 03, 06, 08, 10, 12, 15, 17, 21, 24, 26, 29, 30, 33, 35, 38, 42, 44, 47, 49, 51, 53, 56, 58, 60, 62, 65, 67, 71, 74, 76, 79, 80, 83, 85, 88, 92, 94, 97, 99 (40 số)</t>
        </is>
      </c>
      <c r="J222" s="3" t="inlineStr">
        <is>
          <t>51, 53, 56, 58, 60, 62, 65, 67, 71, 74, 76, 79, 80, 83, 85, 88, 92, 94, 97, 99 (20 số)</t>
        </is>
      </c>
      <c r="K222" s="3" t="inlineStr">
        <is>
          <t>51, 53, 56, 58, 60, 62, 65, 67, 71, 74, 76, 79, 80, 83, 85, 88, 92, 94, 97, 99 (20 số)</t>
        </is>
      </c>
    </row>
    <row r="223">
      <c r="A223" s="2" t="n">
        <v>221</v>
      </c>
      <c r="B223" s="2" t="inlineStr">
        <is>
          <t>Thứ năm ngày 13-08-2026</t>
        </is>
      </c>
      <c r="C223" s="3" t="inlineStr">
        <is>
          <t>18 (Không)</t>
        </is>
      </c>
      <c r="D223" s="3" t="inlineStr">
        <is>
          <t>78 (Trúng)</t>
        </is>
      </c>
      <c r="E223" s="3" t="inlineStr">
        <is>
          <t>96 (Trúng)</t>
        </is>
      </c>
      <c r="F223" s="3" t="inlineStr">
        <is>
          <t>---</t>
        </is>
      </c>
      <c r="G223" s="7" t="inlineStr">
        <is>
          <t>14, 19 (TRƯỢT ❌)</t>
        </is>
      </c>
      <c r="H223" s="6" t="inlineStr">
        <is>
          <t>TRÚNG N2 (Siêu Lọc 🎯)</t>
        </is>
      </c>
      <c r="I223" s="3" t="inlineStr">
        <is>
          <t>00, 03, 05, 08, 12, 14, 17, 19, 21, 23, 26, 28, 30, 32, 35, 37, 41, 44, 46, 49, 50, 53, 55, 58, 62, 64, 67, 69, 71, 73, 76, 78, 80, 82, 85, 87, 91, 94, 96, 99 (40 số)</t>
        </is>
      </c>
      <c r="J223" s="3" t="inlineStr">
        <is>
          <t>50, 53, 55, 58, 62, 64, 67, 69, 71, 73, 76, 78, 80, 82, 85, 87, 91, 94, 96, 99 (20 số)</t>
        </is>
      </c>
      <c r="K223" s="3" t="inlineStr">
        <is>
          <t>50, 53, 55, 58, 62, 64, 67, 69, 71, 73, 76, 78, 80, 82, 85, 87, 91, 94, 96, 99 (20 số)</t>
        </is>
      </c>
    </row>
    <row r="224">
      <c r="A224" s="2" t="n">
        <v>222</v>
      </c>
      <c r="B224" s="2" t="inlineStr">
        <is>
          <t>Thứ sáu ngày 14-08-2026</t>
        </is>
      </c>
      <c r="C224" s="3" t="inlineStr">
        <is>
          <t>78 (Trúng)</t>
        </is>
      </c>
      <c r="D224" s="3" t="inlineStr">
        <is>
          <t>96 (Không)</t>
        </is>
      </c>
      <c r="E224" s="3" t="inlineStr">
        <is>
          <t>39 (Trúng)</t>
        </is>
      </c>
      <c r="F224" s="3" t="inlineStr">
        <is>
          <t>---</t>
        </is>
      </c>
      <c r="G224" s="7" t="inlineStr">
        <is>
          <t>18, 43 (TRƯỢT ❌)</t>
        </is>
      </c>
      <c r="H224" s="6" t="inlineStr">
        <is>
          <t>TRÚNG N1 🎯</t>
        </is>
      </c>
      <c r="I22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 (60 số)</t>
        </is>
      </c>
      <c r="J224" s="3" t="inlineStr">
        <is>
          <t>02, 04, 07, 09, 11, 13, 14, 16, 18, 19, 20, 22, 23, 25, 27, 28, 31, 32, 34, 36, 37, 39, 40, 41, 43, 45, 46, 48 (28 số)</t>
        </is>
      </c>
      <c r="K224" s="3" t="inlineStr">
        <is>
          <t>02, 04, 07, 09, 11, 13, 14, 16, 18, 19, 20, 22, 23, 25, 27, 28, 31, 32, 34, 36, 37, 39, 40, 41, 43, 45, 46, 48 (28 số)</t>
        </is>
      </c>
    </row>
    <row r="225">
      <c r="A225" s="2" t="n">
        <v>223</v>
      </c>
      <c r="B225" s="2" t="inlineStr">
        <is>
          <t>Thứ bảy ngày 15-08-2026</t>
        </is>
      </c>
      <c r="C225" s="3" t="inlineStr">
        <is>
          <t>96 (Không)</t>
        </is>
      </c>
      <c r="D225" s="3" t="inlineStr">
        <is>
          <t>39 (Trúng)</t>
        </is>
      </c>
      <c r="E225" s="3" t="inlineStr">
        <is>
          <t>83 (Không)</t>
        </is>
      </c>
      <c r="F225" s="3" t="inlineStr">
        <is>
          <t>---</t>
        </is>
      </c>
      <c r="G225" s="7" t="inlineStr">
        <is>
          <t>33, 52 (TRƯỢT ❌)</t>
        </is>
      </c>
      <c r="H225" s="6" t="inlineStr">
        <is>
          <t>TRÚNG N2 (Siêu Lọc 🎯)</t>
        </is>
      </c>
      <c r="I225" s="3" t="inlineStr">
        <is>
          <t>01, 02, 06, 07, 10, 11, 15, 16, 20, 24, 25, 29, 33, 34, 38, 39, 42, 43, 47, 48, 51, 52, 56, 57, 60, 61, 65, 66, 70, 74, 75, 79, 83, 84, 88, 89, 92, 93, 97, 98 (40 số)</t>
        </is>
      </c>
      <c r="J225" s="3" t="inlineStr">
        <is>
          <t>01, 02, 06, 07, 10, 11, 15, 16, 20, 24, 25, 29, 33, 34, 38, 39, 42, 43, 47, 48 (20 số)</t>
        </is>
      </c>
      <c r="K225" s="3" t="inlineStr">
        <is>
          <t>01, 02, 06, 07, 10, 11, 15, 16, 20, 24, 25, 29, 33, 34, 38, 39, 42, 43, 47, 48 (20 số)</t>
        </is>
      </c>
    </row>
    <row r="226">
      <c r="A226" s="2" t="n">
        <v>224</v>
      </c>
      <c r="B226" s="2" t="inlineStr">
        <is>
          <t>Chủ nhật ngày 16-08-2026</t>
        </is>
      </c>
      <c r="C226" s="3" t="inlineStr">
        <is>
          <t>39 (Trúng)</t>
        </is>
      </c>
      <c r="D226" s="3" t="inlineStr">
        <is>
          <t>83 (Không)</t>
        </is>
      </c>
      <c r="E226" s="3" t="inlineStr">
        <is>
          <t>43 (Không)</t>
        </is>
      </c>
      <c r="F226" s="3" t="inlineStr">
        <is>
          <t>---</t>
        </is>
      </c>
      <c r="G226" s="7" t="inlineStr">
        <is>
          <t>52, 73 (TRƯỢT ❌)</t>
        </is>
      </c>
      <c r="H226" s="6" t="inlineStr">
        <is>
          <t>TRÚNG N1 🎯</t>
        </is>
      </c>
      <c r="I226" s="3" t="inlineStr">
        <is>
          <t>00, 02, 05, 07, 11, 14, 16, 19, 20, 23, 25, 28, 32, 34, 37, 39, 41, 43, 46, 48, 50, 52, 55, 57, 61, 64, 66, 69, 70, 73, 75, 78, 82, 84, 87, 89, 91, 93, 96, 98 (40 số)</t>
        </is>
      </c>
      <c r="J226" s="3" t="inlineStr">
        <is>
          <t>50, 52, 55, 57, 61, 64, 66, 69, 70, 73, 75, 78, 82, 84, 87, 89, 91, 93, 96, 98 (20 số)</t>
        </is>
      </c>
      <c r="K226" s="3" t="inlineStr">
        <is>
          <t>50, 52, 55, 57, 61, 64, 66, 69, 70, 73, 75, 78, 82, 84, 87, 89, 91, 93, 96, 98 (20 số)</t>
        </is>
      </c>
    </row>
    <row r="227">
      <c r="A227" s="2" t="n">
        <v>225</v>
      </c>
      <c r="B227" s="2" t="inlineStr">
        <is>
          <t>Thứ hai ngày 17-08-2026</t>
        </is>
      </c>
      <c r="C227" s="3" t="inlineStr">
        <is>
          <t>83 (Không)</t>
        </is>
      </c>
      <c r="D227" s="3" t="inlineStr">
        <is>
          <t>43 (Trúng)</t>
        </is>
      </c>
      <c r="E227" s="3" t="inlineStr">
        <is>
          <t>23 (Không)</t>
        </is>
      </c>
      <c r="F227" s="3" t="inlineStr">
        <is>
          <t>---</t>
        </is>
      </c>
      <c r="G227" s="7" t="inlineStr">
        <is>
          <t>39, 61 (TRƯỢT ❌)</t>
        </is>
      </c>
      <c r="H227" s="6" t="inlineStr">
        <is>
          <t>TRÚNG N2 (Siêu Lọc 🎯)</t>
        </is>
      </c>
      <c r="I227" s="3" t="inlineStr">
        <is>
          <t>02, 03, 07, 08, 11, 12, 16, 17, 20, 21, 25, 26, 30, 34, 35, 39, 43, 44, 48, 49, 52, 53, 57, 58, 61, 62, 66, 67, 70, 71, 75, 76, 80, 84, 85, 89, 93, 94, 98, 99 (40 số)</t>
        </is>
      </c>
      <c r="J227" s="3" t="inlineStr">
        <is>
          <t>02, 03, 07, 08, 11, 12, 16, 17, 20, 21, 25, 26, 30, 34, 35, 39, 43, 44, 48, 49 (20 số)</t>
        </is>
      </c>
      <c r="K227" s="3" t="inlineStr">
        <is>
          <t>02, 03, 07, 08, 11, 12, 16, 17, 20, 21, 25, 26, 30, 34, 35, 39, 43, 44, 48, 49 (20 số)</t>
        </is>
      </c>
    </row>
    <row r="228">
      <c r="A228" s="2" t="n">
        <v>226</v>
      </c>
      <c r="B228" s="2" t="inlineStr">
        <is>
          <t>Thứ ba ngày 18-08-2026</t>
        </is>
      </c>
      <c r="C228" s="3" t="inlineStr">
        <is>
          <t>43 (Không)</t>
        </is>
      </c>
      <c r="D228" s="3" t="inlineStr">
        <is>
          <t>23 (Không)</t>
        </is>
      </c>
      <c r="E228" s="3" t="inlineStr">
        <is>
          <t>33 (Không)</t>
        </is>
      </c>
      <c r="F228" s="3" t="inlineStr">
        <is>
          <t>---</t>
        </is>
      </c>
      <c r="G228" s="7" t="inlineStr">
        <is>
          <t>04, 13 (TRƯỢT ❌)</t>
        </is>
      </c>
      <c r="H228" s="7" t="inlineStr">
        <is>
          <t>TRƯỢT KHUNG ❌</t>
        </is>
      </c>
      <c r="I228" s="3" t="inlineStr">
        <is>
          <t>01, 04, 06, 09, 10, 13, 15, 18, 22, 24, 27, 29, 31, 33, 36, 38, 40, 42, 45, 47, 51, 54, 56, 59, 60, 63, 65, 68, 72, 74, 77, 79, 81, 83, 86, 88, 90, 92, 95, 97 (40 số)</t>
        </is>
      </c>
      <c r="J228" s="3" t="inlineStr">
        <is>
          <t>51, 54, 56, 59, 60, 63, 65, 68, 72, 74, 77, 79, 81, 83, 86, 88, 90, 92, 95, 97 (20 số)</t>
        </is>
      </c>
      <c r="K228" s="3" t="inlineStr">
        <is>
          <t>51, 54, 56, 59, 60, 63, 65, 68, 72, 74, 77, 79, 81, 83, 86, 88, 90, 92, 95, 97 (20 số)</t>
        </is>
      </c>
    </row>
    <row r="229">
      <c r="A229" s="2" t="n">
        <v>227</v>
      </c>
      <c r="B229" s="2" t="inlineStr">
        <is>
          <t>Thứ tư ngày 19-08-2026</t>
        </is>
      </c>
      <c r="C229" s="3" t="inlineStr">
        <is>
          <t>23 (Trúng)</t>
        </is>
      </c>
      <c r="D229" s="3" t="inlineStr">
        <is>
          <t>33 (Không)</t>
        </is>
      </c>
      <c r="E229" s="3" t="inlineStr">
        <is>
          <t>13 (Không)</t>
        </is>
      </c>
      <c r="F229" s="3" t="inlineStr">
        <is>
          <t>---</t>
        </is>
      </c>
      <c r="G229" s="7" t="inlineStr">
        <is>
          <t>11, 19 (TRƯỢT ❌)</t>
        </is>
      </c>
      <c r="H229" s="6" t="inlineStr">
        <is>
          <t>TRÚNG N1 🎯</t>
        </is>
      </c>
      <c r="I229" s="3" t="inlineStr">
        <is>
          <t>00, 02, 05, 07, 11, 14, 16, 19, 20, 23, 25, 28, 32, 34, 37, 39, 41, 43, 46, 48, 50, 52, 55, 57, 61, 64, 66, 69, 70, 73, 75, 78, 82, 84, 87, 89, 91, 93, 96, 98 (40 số)</t>
        </is>
      </c>
      <c r="J229" s="3" t="inlineStr">
        <is>
          <t>50, 52, 55, 57, 61, 64, 66, 69, 70, 73, 75, 78, 82, 84, 87, 89, 91, 93, 96, 98 (20 số)</t>
        </is>
      </c>
      <c r="K229" s="3" t="inlineStr">
        <is>
          <t>50, 52, 55, 57, 61, 64, 66, 69, 70, 73, 75, 78, 82, 84, 87, 89, 91, 93, 96, 98 (20 số)</t>
        </is>
      </c>
    </row>
    <row r="230">
      <c r="A230" s="2" t="n">
        <v>228</v>
      </c>
      <c r="B230" s="2" t="inlineStr">
        <is>
          <t>Thứ năm ngày 20-08-2026</t>
        </is>
      </c>
      <c r="C230" s="3" t="inlineStr">
        <is>
          <t>33 (Trúng)</t>
        </is>
      </c>
      <c r="D230" s="3" t="inlineStr">
        <is>
          <t>13 (Không)</t>
        </is>
      </c>
      <c r="E230" s="3" t="inlineStr">
        <is>
          <t>38 (Không)</t>
        </is>
      </c>
      <c r="F230" s="3" t="inlineStr">
        <is>
          <t>---</t>
        </is>
      </c>
      <c r="G230" s="7" t="inlineStr">
        <is>
          <t>34, 47 (TRƯỢT ❌)</t>
        </is>
      </c>
      <c r="H230" s="6" t="inlineStr">
        <is>
          <t>TRÚNG N1 🎯</t>
        </is>
      </c>
      <c r="I230" s="3" t="inlineStr">
        <is>
          <t>01, 02, 06, 07, 10, 11, 15, 16, 20, 24, 25, 29, 33, 34, 38, 39, 42, 43, 47, 48, 51, 52, 56, 57, 60, 61, 65, 66, 70, 74, 75, 79, 83, 84, 88, 89, 92, 93, 97, 98 (40 số)</t>
        </is>
      </c>
      <c r="J230" s="3" t="inlineStr">
        <is>
          <t>51, 52, 56, 57, 60, 61, 65, 66, 70, 74, 75, 79, 83, 84, 88, 89, 92, 93, 97, 98 (20 số)</t>
        </is>
      </c>
      <c r="K230" s="3" t="inlineStr">
        <is>
          <t>51, 52, 56, 57, 60, 61, 65, 66, 70, 74, 75, 79, 83, 84, 88, 89, 92, 93, 97, 98 (20 số)</t>
        </is>
      </c>
    </row>
    <row r="231">
      <c r="A231" s="2" t="n">
        <v>229</v>
      </c>
      <c r="B231" s="2" t="inlineStr">
        <is>
          <t>Thứ sáu ngày 21-08-2026</t>
        </is>
      </c>
      <c r="C231" s="3" t="inlineStr">
        <is>
          <t>13 (Trúng)</t>
        </is>
      </c>
      <c r="D231" s="3" t="inlineStr">
        <is>
          <t>38 (Không)</t>
        </is>
      </c>
      <c r="E231" s="3" t="inlineStr">
        <is>
          <t>17 (Không)</t>
        </is>
      </c>
      <c r="F231" s="3" t="inlineStr">
        <is>
          <t>---</t>
        </is>
      </c>
      <c r="G231" s="7" t="inlineStr">
        <is>
          <t>35, 67 (TRƯỢT ❌)</t>
        </is>
      </c>
      <c r="H231" s="6" t="inlineStr">
        <is>
          <t>TRÚNG N1 🎯</t>
        </is>
      </c>
      <c r="I231" s="3" t="inlineStr">
        <is>
          <t>03, 04, 08, 09, 12, 13, 17, 18, 21, 22, 26, 27, 30, 31, 35, 36, 40, 44, 45, 49, 53, 54, 58, 59, 62, 63, 67, 68, 71, 72, 76, 77, 80, 81, 85, 86, 90, 94, 95, 99 (40 số)</t>
        </is>
      </c>
      <c r="J231" s="3" t="inlineStr">
        <is>
          <t>53, 54, 58, 59, 62, 63, 67, 68, 71, 72, 76, 77, 80, 81, 85, 86, 90, 94, 95, 99 (20 số)</t>
        </is>
      </c>
      <c r="K231" s="3" t="inlineStr">
        <is>
          <t>53, 54, 58, 59, 62, 63, 67, 68, 71, 72, 76, 77, 80, 81, 85, 86, 90, 94, 95, 99 (20 số)</t>
        </is>
      </c>
    </row>
    <row r="232">
      <c r="A232" s="2" t="n">
        <v>230</v>
      </c>
      <c r="B232" s="2" t="inlineStr">
        <is>
          <t>Thứ bảy ngày 22-08-2026</t>
        </is>
      </c>
      <c r="C232" s="3" t="inlineStr">
        <is>
          <t>38 (Trúng)</t>
        </is>
      </c>
      <c r="D232" s="3" t="inlineStr">
        <is>
          <t>17 (Không)</t>
        </is>
      </c>
      <c r="E232" s="3" t="inlineStr">
        <is>
          <t>80 (Trúng)</t>
        </is>
      </c>
      <c r="F232" s="3" t="inlineStr">
        <is>
          <t>---</t>
        </is>
      </c>
      <c r="G232" s="7" t="inlineStr">
        <is>
          <t>06, 09 (TRƯỢT ❌)</t>
        </is>
      </c>
      <c r="H232" s="6" t="inlineStr">
        <is>
          <t>TRÚNG N1 🎯</t>
        </is>
      </c>
      <c r="I2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 (60 số)</t>
        </is>
      </c>
      <c r="J232" s="3" t="inlineStr">
        <is>
          <t>51, 53, 54, 56, 58, 59, 60, 62, 63, 67, 68, 71, 72, 74, 76, 77, 79, 80, 81, 83, 85, 86, 88, 90, 94, 95, 97, 99 (28 số)</t>
        </is>
      </c>
      <c r="K232" s="3" t="inlineStr">
        <is>
          <t>51, 53, 54, 56, 58, 59, 60, 62, 63, 67, 68, 71, 72, 74, 76, 77, 79, 80, 81, 83, 85, 86, 88, 90, 94, 95, 97, 99 (28 số)</t>
        </is>
      </c>
    </row>
    <row r="233">
      <c r="A233" s="2" t="n">
        <v>231</v>
      </c>
      <c r="B233" s="2" t="inlineStr">
        <is>
          <t>Chủ nhật ngày 23-08-2026</t>
        </is>
      </c>
      <c r="C233" s="3" t="inlineStr">
        <is>
          <t>17 (Không)</t>
        </is>
      </c>
      <c r="D233" s="3" t="inlineStr">
        <is>
          <t>80 (Không)</t>
        </is>
      </c>
      <c r="E233" s="3" t="inlineStr">
        <is>
          <t>61 (Không)</t>
        </is>
      </c>
      <c r="F233" s="3" t="inlineStr">
        <is>
          <t>---</t>
        </is>
      </c>
      <c r="G233" s="7" t="inlineStr">
        <is>
          <t>38, 68 (TRƯỢT ❌)</t>
        </is>
      </c>
      <c r="H233" s="7" t="inlineStr">
        <is>
          <t>TRƯỢT KHUNG ❌</t>
        </is>
      </c>
      <c r="I23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 (60 số)</t>
        </is>
      </c>
      <c r="J233" s="3" t="inlineStr">
        <is>
          <t>50, 51, 54, 56, 59, 60, 63, 64, 65, 68, 69, 72, 73, 74, 77, 78, 79, 81, 82, 83, 86, 87, 88, 90, 91, 95, 96, 97 (28 số)</t>
        </is>
      </c>
      <c r="K233" s="3" t="inlineStr">
        <is>
          <t>50, 51, 54, 56, 59, 60, 63, 64, 65, 68, 69, 72, 73, 74, 77, 78, 79, 81, 82, 83, 86, 87, 88, 90, 91, 95, 96, 97 (28 số)</t>
        </is>
      </c>
    </row>
    <row r="234">
      <c r="A234" s="2" t="n">
        <v>232</v>
      </c>
      <c r="B234" s="2" t="inlineStr">
        <is>
          <t>Thứ hai ngày 24-08-2026</t>
        </is>
      </c>
      <c r="C234" s="3" t="inlineStr">
        <is>
          <t>80 (Trúng)</t>
        </is>
      </c>
      <c r="D234" s="3" t="inlineStr">
        <is>
          <t>61 (Không)</t>
        </is>
      </c>
      <c r="E234" s="3" t="inlineStr">
        <is>
          <t>45 (Trúng)</t>
        </is>
      </c>
      <c r="F234" s="3" t="inlineStr">
        <is>
          <t>---</t>
        </is>
      </c>
      <c r="G234" s="7" t="inlineStr">
        <is>
          <t>17, 19 (TRƯỢT ❌)</t>
        </is>
      </c>
      <c r="H234" s="6" t="inlineStr">
        <is>
          <t>TRÚNG N1 🎯</t>
        </is>
      </c>
      <c r="I2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 (60 số)</t>
        </is>
      </c>
      <c r="J234" s="3" t="inlineStr">
        <is>
          <t>03, 04, 08, 09, 12, 13, 14, 17, 18, 19, 21, 22, 23, 26, 27, 28, 30, 31, 32, 35, 36, 37, 40, 41, 44, 45, 46, 49 (28 số)</t>
        </is>
      </c>
      <c r="K234" s="3" t="inlineStr">
        <is>
          <t>03, 04, 08, 09, 12, 13, 14, 17, 18, 19, 21, 22, 23, 26, 27, 28, 30, 31, 32, 35, 36, 37, 40, 41, 44, 45, 46, 49 (28 số)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039</t>
        </is>
      </c>
      <c r="D3" s="3" t="inlineStr">
        <is>
          <t>Càng 0</t>
        </is>
      </c>
      <c r="E3" s="3" t="inlineStr">
        <is>
          <t>Đề 39</t>
        </is>
      </c>
      <c r="F3" s="3" t="n">
        <v>56.4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239</t>
        </is>
      </c>
      <c r="D4" s="3" t="inlineStr">
        <is>
          <t>Càng 2</t>
        </is>
      </c>
      <c r="E4" s="3" t="inlineStr">
        <is>
          <t>Đề 39</t>
        </is>
      </c>
      <c r="F4" s="3" t="n">
        <v>56.4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439</t>
        </is>
      </c>
      <c r="D5" s="3" t="inlineStr">
        <is>
          <t>Càng 4</t>
        </is>
      </c>
      <c r="E5" s="3" t="inlineStr">
        <is>
          <t>Đề 39</t>
        </is>
      </c>
      <c r="F5" s="3" t="n">
        <v>56.4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539</t>
        </is>
      </c>
      <c r="D6" s="3" t="inlineStr">
        <is>
          <t>Càng 5</t>
        </is>
      </c>
      <c r="E6" s="3" t="inlineStr">
        <is>
          <t>Đề 39</t>
        </is>
      </c>
      <c r="F6" s="3" t="n">
        <v>56.4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739</t>
        </is>
      </c>
      <c r="D7" s="3" t="inlineStr">
        <is>
          <t>Càng 7</t>
        </is>
      </c>
      <c r="E7" s="3" t="inlineStr">
        <is>
          <t>Đề 39</t>
        </is>
      </c>
      <c r="F7" s="3" t="n">
        <v>56.4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067</t>
        </is>
      </c>
      <c r="D8" s="3" t="inlineStr">
        <is>
          <t>Càng 0</t>
        </is>
      </c>
      <c r="E8" s="3" t="inlineStr">
        <is>
          <t>Đề 67</t>
        </is>
      </c>
      <c r="F8" s="3" t="n">
        <v>52.8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267</t>
        </is>
      </c>
      <c r="D9" s="3" t="inlineStr">
        <is>
          <t>Càng 2</t>
        </is>
      </c>
      <c r="E9" s="3" t="inlineStr">
        <is>
          <t>Đề 67</t>
        </is>
      </c>
      <c r="F9" s="3" t="n">
        <v>52.8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467</t>
        </is>
      </c>
      <c r="D10" s="3" t="inlineStr">
        <is>
          <t>Càng 4</t>
        </is>
      </c>
      <c r="E10" s="3" t="inlineStr">
        <is>
          <t>Đề 67</t>
        </is>
      </c>
      <c r="F10" s="3" t="n">
        <v>52.8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567</t>
        </is>
      </c>
      <c r="D11" s="3" t="inlineStr">
        <is>
          <t>Càng 5</t>
        </is>
      </c>
      <c r="E11" s="3" t="inlineStr">
        <is>
          <t>Đề 67</t>
        </is>
      </c>
      <c r="F11" s="3" t="n">
        <v>52.8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767</t>
        </is>
      </c>
      <c r="D12" s="3" t="inlineStr">
        <is>
          <t>Càng 7</t>
        </is>
      </c>
      <c r="E12" s="3" t="inlineStr">
        <is>
          <t>Đề 67</t>
        </is>
      </c>
      <c r="F12" s="3" t="n">
        <v>52.8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043</t>
        </is>
      </c>
      <c r="D13" s="3" t="inlineStr">
        <is>
          <t>Càng 0</t>
        </is>
      </c>
      <c r="E13" s="3" t="inlineStr">
        <is>
          <t>Đề 43</t>
        </is>
      </c>
      <c r="F13" s="3" t="n">
        <v>50.4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243</t>
        </is>
      </c>
      <c r="D14" s="3" t="inlineStr">
        <is>
          <t>Càng 2</t>
        </is>
      </c>
      <c r="E14" s="3" t="inlineStr">
        <is>
          <t>Đề 43</t>
        </is>
      </c>
      <c r="F14" s="3" t="n">
        <v>50.4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443</t>
        </is>
      </c>
      <c r="D15" s="3" t="inlineStr">
        <is>
          <t>Càng 4</t>
        </is>
      </c>
      <c r="E15" s="3" t="inlineStr">
        <is>
          <t>Đề 43</t>
        </is>
      </c>
      <c r="F15" s="3" t="n">
        <v>50.4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543</t>
        </is>
      </c>
      <c r="D16" s="3" t="inlineStr">
        <is>
          <t>Càng 5</t>
        </is>
      </c>
      <c r="E16" s="3" t="inlineStr">
        <is>
          <t>Đề 43</t>
        </is>
      </c>
      <c r="F16" s="3" t="n">
        <v>50.4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743</t>
        </is>
      </c>
      <c r="D17" s="3" t="inlineStr">
        <is>
          <t>Càng 7</t>
        </is>
      </c>
      <c r="E17" s="3" t="inlineStr">
        <is>
          <t>Đề 43</t>
        </is>
      </c>
      <c r="F17" s="3" t="n">
        <v>50.4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009</t>
        </is>
      </c>
      <c r="D18" s="3" t="inlineStr">
        <is>
          <t>Càng 0</t>
        </is>
      </c>
      <c r="E18" s="3" t="inlineStr">
        <is>
          <t>Đề 09</t>
        </is>
      </c>
      <c r="F18" s="3" t="n">
        <v>49.2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209</t>
        </is>
      </c>
      <c r="D19" s="3" t="inlineStr">
        <is>
          <t>Càng 2</t>
        </is>
      </c>
      <c r="E19" s="3" t="inlineStr">
        <is>
          <t>Đề 09</t>
        </is>
      </c>
      <c r="F19" s="3" t="n">
        <v>49.2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409</t>
        </is>
      </c>
      <c r="D20" s="3" t="inlineStr">
        <is>
          <t>Càng 4</t>
        </is>
      </c>
      <c r="E20" s="3" t="inlineStr">
        <is>
          <t>Đề 09</t>
        </is>
      </c>
      <c r="F20" s="3" t="n">
        <v>49.2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509</t>
        </is>
      </c>
      <c r="D21" s="3" t="inlineStr">
        <is>
          <t>Càng 5</t>
        </is>
      </c>
      <c r="E21" s="3" t="inlineStr">
        <is>
          <t>Đề 09</t>
        </is>
      </c>
      <c r="F21" s="3" t="n">
        <v>49.2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709</t>
        </is>
      </c>
      <c r="D22" s="3" t="inlineStr">
        <is>
          <t>Càng 7</t>
        </is>
      </c>
      <c r="E22" s="3" t="inlineStr">
        <is>
          <t>Đề 09</t>
        </is>
      </c>
      <c r="F22" s="3" t="n">
        <v>49.2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0039</t>
        </is>
      </c>
      <c r="D24" s="3" t="inlineStr">
        <is>
          <t>Càng 0</t>
        </is>
      </c>
      <c r="E24" s="3" t="inlineStr">
        <is>
          <t>Ba Càng 039</t>
        </is>
      </c>
      <c r="F24" s="3" t="n">
        <v>62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2039</t>
        </is>
      </c>
      <c r="D25" s="3" t="inlineStr">
        <is>
          <t>Càng 2</t>
        </is>
      </c>
      <c r="E25" s="3" t="inlineStr">
        <is>
          <t>Ba Càng 039</t>
        </is>
      </c>
      <c r="F25" s="3" t="n">
        <v>62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0239</t>
        </is>
      </c>
      <c r="D26" s="3" t="inlineStr">
        <is>
          <t>Càng 0</t>
        </is>
      </c>
      <c r="E26" s="3" t="inlineStr">
        <is>
          <t>Ba Càng 239</t>
        </is>
      </c>
      <c r="F26" s="3" t="n">
        <v>62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2239</t>
        </is>
      </c>
      <c r="D27" s="3" t="inlineStr">
        <is>
          <t>Càng 2</t>
        </is>
      </c>
      <c r="E27" s="3" t="inlineStr">
        <is>
          <t>Ba Càng 239</t>
        </is>
      </c>
      <c r="F27" s="3" t="n">
        <v>62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0439</t>
        </is>
      </c>
      <c r="D28" s="3" t="inlineStr">
        <is>
          <t>Càng 0</t>
        </is>
      </c>
      <c r="E28" s="3" t="inlineStr">
        <is>
          <t>Ba Càng 439</t>
        </is>
      </c>
      <c r="F28" s="3" t="n">
        <v>62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2439</t>
        </is>
      </c>
      <c r="D29" s="3" t="inlineStr">
        <is>
          <t>Càng 2</t>
        </is>
      </c>
      <c r="E29" s="3" t="inlineStr">
        <is>
          <t>Ba Càng 439</t>
        </is>
      </c>
      <c r="F29" s="3" t="n">
        <v>62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0539</t>
        </is>
      </c>
      <c r="D30" s="3" t="inlineStr">
        <is>
          <t>Càng 0</t>
        </is>
      </c>
      <c r="E30" s="3" t="inlineStr">
        <is>
          <t>Ba Càng 539</t>
        </is>
      </c>
      <c r="F30" s="3" t="n">
        <v>62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2539</t>
        </is>
      </c>
      <c r="D31" s="3" t="inlineStr">
        <is>
          <t>Càng 2</t>
        </is>
      </c>
      <c r="E31" s="3" t="inlineStr">
        <is>
          <t>Ba Càng 539</t>
        </is>
      </c>
      <c r="F31" s="3" t="n">
        <v>62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0739</t>
        </is>
      </c>
      <c r="D32" s="3" t="inlineStr">
        <is>
          <t>Càng 0</t>
        </is>
      </c>
      <c r="E32" s="3" t="inlineStr">
        <is>
          <t>Ba Càng 739</t>
        </is>
      </c>
      <c r="F32" s="3" t="n">
        <v>62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2739</t>
        </is>
      </c>
      <c r="D33" s="3" t="inlineStr">
        <is>
          <t>Càng 2</t>
        </is>
      </c>
      <c r="E33" s="3" t="inlineStr">
        <is>
          <t>Ba Càng 739</t>
        </is>
      </c>
      <c r="F33" s="3" t="n">
        <v>62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0067</t>
        </is>
      </c>
      <c r="D34" s="3" t="inlineStr">
        <is>
          <t>Càng 0</t>
        </is>
      </c>
      <c r="E34" s="3" t="inlineStr">
        <is>
          <t>Ba Càng 067</t>
        </is>
      </c>
      <c r="F34" s="3" t="n">
        <v>58.1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2067</t>
        </is>
      </c>
      <c r="D35" s="3" t="inlineStr">
        <is>
          <t>Càng 2</t>
        </is>
      </c>
      <c r="E35" s="3" t="inlineStr">
        <is>
          <t>Ba Càng 067</t>
        </is>
      </c>
      <c r="F35" s="3" t="n">
        <v>58.1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0267</t>
        </is>
      </c>
      <c r="D36" s="3" t="inlineStr">
        <is>
          <t>Càng 0</t>
        </is>
      </c>
      <c r="E36" s="3" t="inlineStr">
        <is>
          <t>Ba Càng 267</t>
        </is>
      </c>
      <c r="F36" s="3" t="n">
        <v>58.1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2267</t>
        </is>
      </c>
      <c r="D37" s="3" t="inlineStr">
        <is>
          <t>Càng 2</t>
        </is>
      </c>
      <c r="E37" s="3" t="inlineStr">
        <is>
          <t>Ba Càng 267</t>
        </is>
      </c>
      <c r="F37" s="3" t="n">
        <v>58.1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0467</t>
        </is>
      </c>
      <c r="D38" s="3" t="inlineStr">
        <is>
          <t>Càng 0</t>
        </is>
      </c>
      <c r="E38" s="3" t="inlineStr">
        <is>
          <t>Ba Càng 467</t>
        </is>
      </c>
      <c r="F38" s="3" t="n">
        <v>58.1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2467</t>
        </is>
      </c>
      <c r="D39" s="3" t="inlineStr">
        <is>
          <t>Càng 2</t>
        </is>
      </c>
      <c r="E39" s="3" t="inlineStr">
        <is>
          <t>Ba Càng 467</t>
        </is>
      </c>
      <c r="F39" s="3" t="n">
        <v>58.1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0567</t>
        </is>
      </c>
      <c r="D40" s="3" t="inlineStr">
        <is>
          <t>Càng 0</t>
        </is>
      </c>
      <c r="E40" s="3" t="inlineStr">
        <is>
          <t>Ba Càng 567</t>
        </is>
      </c>
      <c r="F40" s="3" t="n">
        <v>58.1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2567</t>
        </is>
      </c>
      <c r="D41" s="3" t="inlineStr">
        <is>
          <t>Càng 2</t>
        </is>
      </c>
      <c r="E41" s="3" t="inlineStr">
        <is>
          <t>Ba Càng 567</t>
        </is>
      </c>
      <c r="F41" s="3" t="n">
        <v>58.1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0767</t>
        </is>
      </c>
      <c r="D42" s="3" t="inlineStr">
        <is>
          <t>Càng 0</t>
        </is>
      </c>
      <c r="E42" s="3" t="inlineStr">
        <is>
          <t>Ba Càng 767</t>
        </is>
      </c>
      <c r="F42" s="3" t="n">
        <v>58.1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2767</t>
        </is>
      </c>
      <c r="D43" s="3" t="inlineStr">
        <is>
          <t>Càng 2</t>
        </is>
      </c>
      <c r="E43" s="3" t="inlineStr">
        <is>
          <t>Ba Càng 767</t>
        </is>
      </c>
      <c r="F43" s="3" t="n">
        <v>58.1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4" customWidth="1" min="6" max="6"/>
    <col width="21" customWidth="1" min="7" max="7"/>
    <col width="30" customWidth="1" min="8" max="8"/>
    <col width="2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45748</t>
        </is>
      </c>
      <c r="D2" s="3" t="inlineStr">
        <is>
          <t>748</t>
        </is>
      </c>
      <c r="E2" s="3" t="inlineStr">
        <is>
          <t>5748</t>
        </is>
      </c>
      <c r="F2" s="3" t="inlineStr">
        <is>
          <t>001, 002, 005, 006, 007, 009, 010, 011, 012, 013... (100 số)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... (200 số)</t>
        </is>
      </c>
      <c r="J2" s="3" t="inlineStr">
        <is>
          <t>TRƯỢT ❌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00949</t>
        </is>
      </c>
      <c r="D3" s="3" t="inlineStr">
        <is>
          <t>949</t>
        </is>
      </c>
      <c r="E3" s="3" t="inlineStr">
        <is>
          <t>0949</t>
        </is>
      </c>
      <c r="F3" s="3" t="inlineStr">
        <is>
          <t>002, 003, 004, 008, 009, 012, 013, 014, 018, 019... (100 số)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... (200 số)</t>
        </is>
      </c>
      <c r="J3" s="3" t="inlineStr">
        <is>
          <t>TRƯỢT ❌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72397</t>
        </is>
      </c>
      <c r="D4" s="3" t="inlineStr">
        <is>
          <t>397</t>
        </is>
      </c>
      <c r="E4" s="3" t="inlineStr">
        <is>
          <t>2397</t>
        </is>
      </c>
      <c r="F4" s="3" t="inlineStr">
        <is>
          <t>002, 003, 004, 006, 008, 009, 012, 013, 014, 016... (100 số)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... (200 số)</t>
        </is>
      </c>
      <c r="J4" s="3" t="inlineStr">
        <is>
          <t>TRƯỢT ❌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70505</t>
        </is>
      </c>
      <c r="D5" s="3" t="inlineStr">
        <is>
          <t>505</t>
        </is>
      </c>
      <c r="E5" s="3" t="inlineStr">
        <is>
          <t>0505</t>
        </is>
      </c>
      <c r="F5" s="3" t="inlineStr">
        <is>
          <t>002, 003, 004, 005, 006, 007, 008, 012, 013, 014... (100 số)</t>
        </is>
      </c>
      <c r="G5" s="3" t="inlineStr">
        <is>
          <t>TRÚNG 🎯</t>
        </is>
      </c>
      <c r="H5" s="3" t="inlineStr">
        <is>
          <t>TRÚNG 🎯</t>
        </is>
      </c>
      <c r="I5" s="3" t="inlineStr">
        <is>
          <t>... (200 số)</t>
        </is>
      </c>
      <c r="J5" s="3" t="inlineStr">
        <is>
          <t>TRÚNG 🎯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78447</t>
        </is>
      </c>
      <c r="D6" s="3" t="inlineStr">
        <is>
          <t>447</t>
        </is>
      </c>
      <c r="E6" s="3" t="inlineStr">
        <is>
          <t>8447</t>
        </is>
      </c>
      <c r="F6" s="3" t="inlineStr">
        <is>
          <t>002, 003, 004, 005, 006, 007, 012, 013, 014, 015... (100 số)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... (200 số)</t>
        </is>
      </c>
      <c r="J6" s="3" t="inlineStr">
        <is>
          <t>TRƯỢT ❌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14389</t>
        </is>
      </c>
      <c r="D7" s="3" t="inlineStr">
        <is>
          <t>389</t>
        </is>
      </c>
      <c r="E7" s="3" t="inlineStr">
        <is>
          <t>4389</t>
        </is>
      </c>
      <c r="F7" s="3" t="inlineStr">
        <is>
          <t>000, 001, 002, 003, 004, 005, 006, 007, 008, 009... (100 số)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... (200 số)</t>
        </is>
      </c>
      <c r="J7" s="3" t="inlineStr">
        <is>
          <t>TRƯỢT ❌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40162</t>
        </is>
      </c>
      <c r="D8" s="3" t="inlineStr">
        <is>
          <t>162</t>
        </is>
      </c>
      <c r="E8" s="3" t="inlineStr">
        <is>
          <t>0162</t>
        </is>
      </c>
      <c r="F8" s="3" t="inlineStr">
        <is>
          <t>002, 003, 004, 005, 006, 007, 009, 012, 013, 014... (100 số)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... (200 số)</t>
        </is>
      </c>
      <c r="J8" s="3" t="inlineStr">
        <is>
          <t>TRƯỢT ❌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39523</t>
        </is>
      </c>
      <c r="D9" s="3" t="inlineStr">
        <is>
          <t>523</t>
        </is>
      </c>
      <c r="E9" s="3" t="inlineStr">
        <is>
          <t>9523</t>
        </is>
      </c>
      <c r="F9" s="3" t="inlineStr">
        <is>
          <t>001, 002, 003, 004, 005, 008, 010, 011, 012, 013... (100 số)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... (200 số)</t>
        </is>
      </c>
      <c r="J9" s="3" t="inlineStr">
        <is>
          <t>TRƯỢT ❌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67793</t>
        </is>
      </c>
      <c r="D10" s="3" t="inlineStr">
        <is>
          <t>793</t>
        </is>
      </c>
      <c r="E10" s="3" t="inlineStr">
        <is>
          <t>7793</t>
        </is>
      </c>
      <c r="F10" s="3" t="inlineStr">
        <is>
          <t>002, 004, 005, 006, 007, 008, 012, 014, 015, 016... (100 số)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... (200 số)</t>
        </is>
      </c>
      <c r="J10" s="3" t="inlineStr">
        <is>
          <t>TRƯỢT ❌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82438</t>
        </is>
      </c>
      <c r="D11" s="3" t="inlineStr">
        <is>
          <t>438</t>
        </is>
      </c>
      <c r="E11" s="3" t="inlineStr">
        <is>
          <t>2438</t>
        </is>
      </c>
      <c r="F11" s="3" t="inlineStr">
        <is>
          <t>000, 001, 002, 003, 004, 005, 006, 007, 008, 009... (100 số)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... (200 số)</t>
        </is>
      </c>
      <c r="J11" s="3" t="inlineStr">
        <is>
          <t>TRƯỢT ❌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31894</t>
        </is>
      </c>
      <c r="D12" s="3" t="inlineStr">
        <is>
          <t>894</t>
        </is>
      </c>
      <c r="E12" s="3" t="inlineStr">
        <is>
          <t>1894</t>
        </is>
      </c>
      <c r="F12" s="3" t="inlineStr">
        <is>
          <t>000, 001, 002, 003, 004, 005, 006, 007, 008, 009... (100 số)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... (200 số)</t>
        </is>
      </c>
      <c r="J12" s="3" t="inlineStr">
        <is>
          <t>TRƯỢT ❌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28027</t>
        </is>
      </c>
      <c r="D13" s="3" t="inlineStr">
        <is>
          <t>027</t>
        </is>
      </c>
      <c r="E13" s="3" t="inlineStr">
        <is>
          <t>8027</t>
        </is>
      </c>
      <c r="F13" s="3" t="inlineStr">
        <is>
          <t>000, 001, 002, 003, 004, 005, 006, 007, 008, 023... (100 số)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... (200 số)</t>
        </is>
      </c>
      <c r="J13" s="3" t="inlineStr">
        <is>
          <t>TRƯỢT ❌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02817</t>
        </is>
      </c>
      <c r="D14" s="3" t="inlineStr">
        <is>
          <t>817</t>
        </is>
      </c>
      <c r="E14" s="3" t="inlineStr">
        <is>
          <t>2817</t>
        </is>
      </c>
      <c r="F14" s="3" t="inlineStr">
        <is>
          <t>001, 002, 004, 005, 006, 008, 010, 011, 023, 027... (100 số)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... (200 số)</t>
        </is>
      </c>
      <c r="J14" s="3" t="inlineStr">
        <is>
          <t>TRƯỢT ❌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84522</t>
        </is>
      </c>
      <c r="D15" s="3" t="inlineStr">
        <is>
          <t>522</t>
        </is>
      </c>
      <c r="E15" s="3" t="inlineStr">
        <is>
          <t>4522</t>
        </is>
      </c>
      <c r="F15" s="3" t="inlineStr">
        <is>
          <t>001, 002, 005, 009, 010, 011, 012, 017, 023, 027... (100 số)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... (200 số)</t>
        </is>
      </c>
      <c r="J15" s="3" t="inlineStr">
        <is>
          <t>TRƯỢT ❌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90128</t>
        </is>
      </c>
      <c r="D16" s="3" t="inlineStr">
        <is>
          <t>128</t>
        </is>
      </c>
      <c r="E16" s="3" t="inlineStr">
        <is>
          <t>0128</t>
        </is>
      </c>
      <c r="F16" s="3" t="inlineStr">
        <is>
          <t>000, 001, 002, 003, 004, 005, 017, 022, 023, 027... (100 số)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... (200 số)</t>
        </is>
      </c>
      <c r="J16" s="3" t="inlineStr">
        <is>
          <t>TRƯỢT ❌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09824</t>
        </is>
      </c>
      <c r="D17" s="3" t="inlineStr">
        <is>
          <t>824</t>
        </is>
      </c>
      <c r="E17" s="3" t="inlineStr">
        <is>
          <t>9824</t>
        </is>
      </c>
      <c r="F17" s="3" t="inlineStr">
        <is>
          <t>000, 001, 002, 003, 005, 017, 022, 023, 027, 028... (100 số)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... (200 số)</t>
        </is>
      </c>
      <c r="J17" s="3" t="inlineStr">
        <is>
          <t>TRƯỢT ❌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17151</t>
        </is>
      </c>
      <c r="D18" s="3" t="inlineStr">
        <is>
          <t>151</t>
        </is>
      </c>
      <c r="E18" s="3" t="inlineStr">
        <is>
          <t>7151</t>
        </is>
      </c>
      <c r="F18" s="3" t="inlineStr">
        <is>
          <t>003, 004, 005, 006, 017, 022, 023, 024, 027, 028... (100 số)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... (200 số)</t>
        </is>
      </c>
      <c r="J18" s="3" t="inlineStr">
        <is>
          <t>TRƯỢT ❌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88286</t>
        </is>
      </c>
      <c r="D19" s="3" t="inlineStr">
        <is>
          <t>286</t>
        </is>
      </c>
      <c r="E19" s="3" t="inlineStr">
        <is>
          <t>8286</t>
        </is>
      </c>
      <c r="F19" s="3" t="inlineStr">
        <is>
          <t>001, 002, 005, 017, 022, 023, 024, 027, 028, 038... (100 số)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... (200 số)</t>
        </is>
      </c>
      <c r="J19" s="3" t="inlineStr">
        <is>
          <t>TRƯỢT ❌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56878</t>
        </is>
      </c>
      <c r="D20" s="3" t="inlineStr">
        <is>
          <t>878</t>
        </is>
      </c>
      <c r="E20" s="3" t="inlineStr">
        <is>
          <t>6878</t>
        </is>
      </c>
      <c r="F20" s="3" t="inlineStr">
        <is>
          <t>002, 005, 017, 022, 023, 024, 027, 028, 038, 047... (100 số)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... (200 số)</t>
        </is>
      </c>
      <c r="J20" s="3" t="inlineStr">
        <is>
          <t>TRƯỢT ❌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06186</t>
        </is>
      </c>
      <c r="D21" s="3" t="inlineStr">
        <is>
          <t>186</t>
        </is>
      </c>
      <c r="E21" s="3" t="inlineStr">
        <is>
          <t>6186</t>
        </is>
      </c>
      <c r="F21" s="3" t="inlineStr">
        <is>
          <t>005, 017, 022, 023, 024, 027, 028, 038, 047, 048... (100 số)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... (200 số)</t>
        </is>
      </c>
      <c r="J21" s="3" t="inlineStr">
        <is>
          <t>TRƯỢT ❌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84063</t>
        </is>
      </c>
      <c r="D22" s="3" t="inlineStr">
        <is>
          <t>063</t>
        </is>
      </c>
      <c r="E22" s="3" t="inlineStr">
        <is>
          <t>4063</t>
        </is>
      </c>
      <c r="F22" s="3" t="inlineStr">
        <is>
          <t>005, 017, 022, 023, 024, 027, 028, 038, 047, 048... (100 số)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... (200 số)</t>
        </is>
      </c>
      <c r="J22" s="3" t="inlineStr">
        <is>
          <t>TRƯỢT ❌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57022</t>
        </is>
      </c>
      <c r="D23" s="3" t="inlineStr">
        <is>
          <t>022</t>
        </is>
      </c>
      <c r="E23" s="3" t="inlineStr">
        <is>
          <t>7022</t>
        </is>
      </c>
      <c r="F23" s="3" t="inlineStr">
        <is>
          <t>005, 017, 022, 023, 024, 027, 028, 038, 047, 048... (100 số)</t>
        </is>
      </c>
      <c r="G23" s="3" t="inlineStr">
        <is>
          <t>TRÚNG 🎯</t>
        </is>
      </c>
      <c r="H23" s="3" t="inlineStr">
        <is>
          <t>TRÚNG 🎯</t>
        </is>
      </c>
      <c r="I23" s="3" t="inlineStr">
        <is>
          <t>... (200 số)</t>
        </is>
      </c>
      <c r="J23" s="3" t="inlineStr">
        <is>
          <t>TRƯỢT ❌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52062</t>
        </is>
      </c>
      <c r="D24" s="3" t="inlineStr">
        <is>
          <t>062</t>
        </is>
      </c>
      <c r="E24" s="3" t="inlineStr">
        <is>
          <t>2062</t>
        </is>
      </c>
      <c r="F24" s="3" t="inlineStr">
        <is>
          <t>005, 017, 022, 023, 027, 028, 038, 047, 048, 049... (100 số)</t>
        </is>
      </c>
      <c r="G24" s="3" t="inlineStr">
        <is>
          <t>TRÚNG 🎯</t>
        </is>
      </c>
      <c r="H24" s="3" t="inlineStr">
        <is>
          <t>TRÚNG 🎯</t>
        </is>
      </c>
      <c r="I24" s="3" t="inlineStr">
        <is>
          <t>... (200 số)</t>
        </is>
      </c>
      <c r="J24" s="3" t="inlineStr">
        <is>
          <t>TRÚNG 🎯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08230</t>
        </is>
      </c>
      <c r="D25" s="3" t="inlineStr">
        <is>
          <t>230</t>
        </is>
      </c>
      <c r="E25" s="3" t="inlineStr">
        <is>
          <t>8230</t>
        </is>
      </c>
      <c r="F25" s="3" t="inlineStr">
        <is>
          <t>005, 017, 022, 023, 024, 028, 038, 047, 048, 049... (100 số)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... (200 số)</t>
        </is>
      </c>
      <c r="J25" s="3" t="inlineStr">
        <is>
          <t>TRƯỢT ❌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00974</t>
        </is>
      </c>
      <c r="D26" s="3" t="inlineStr">
        <is>
          <t>974</t>
        </is>
      </c>
      <c r="E26" s="3" t="inlineStr">
        <is>
          <t>0974</t>
        </is>
      </c>
      <c r="F26" s="3" t="inlineStr">
        <is>
          <t>005, 017, 022, 023, 027, 028, 030, 038, 047, 048... (100 số)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... (200 số)</t>
        </is>
      </c>
      <c r="J26" s="3" t="inlineStr">
        <is>
          <t>TRƯỢT ❌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39380</t>
        </is>
      </c>
      <c r="D27" s="3" t="inlineStr">
        <is>
          <t>380</t>
        </is>
      </c>
      <c r="E27" s="3" t="inlineStr">
        <is>
          <t>9380</t>
        </is>
      </c>
      <c r="F27" s="3" t="inlineStr">
        <is>
          <t>005, 017, 022, 023, 027, 028, 030, 038, 047, 048... (100 số)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... (200 số)</t>
        </is>
      </c>
      <c r="J27" s="3" t="inlineStr">
        <is>
          <t>TRƯỢT ❌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24121</t>
        </is>
      </c>
      <c r="D28" s="3" t="inlineStr">
        <is>
          <t>121</t>
        </is>
      </c>
      <c r="E28" s="3" t="inlineStr">
        <is>
          <t>4121</t>
        </is>
      </c>
      <c r="F28" s="3" t="inlineStr">
        <is>
          <t>005, 017, 022, 023, 024, 027, 028, 030, 038, 047... (100 số)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... (200 số)</t>
        </is>
      </c>
      <c r="J28" s="3" t="inlineStr">
        <is>
          <t>TRƯỢT ❌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38814</t>
        </is>
      </c>
      <c r="D29" s="3" t="inlineStr">
        <is>
          <t>814</t>
        </is>
      </c>
      <c r="E29" s="3" t="inlineStr">
        <is>
          <t>8814</t>
        </is>
      </c>
      <c r="F29" s="3" t="inlineStr">
        <is>
          <t>005, 017, 021, 022, 023, 024, 027, 028, 047, 048... (100 số)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... (200 số)</t>
        </is>
      </c>
      <c r="J29" s="3" t="inlineStr">
        <is>
          <t>TRƯỢT ❌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32845</t>
        </is>
      </c>
      <c r="D30" s="3" t="inlineStr">
        <is>
          <t>845</t>
        </is>
      </c>
      <c r="E30" s="3" t="inlineStr">
        <is>
          <t>2845</t>
        </is>
      </c>
      <c r="F30" s="3" t="inlineStr">
        <is>
          <t>005, 014, 017, 021, 022, 023, 024, 027, 028, 030... (100 số)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... (200 số)</t>
        </is>
      </c>
      <c r="J30" s="3" t="inlineStr">
        <is>
          <t>TRƯỢT ❌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42754</t>
        </is>
      </c>
      <c r="D31" s="3" t="inlineStr">
        <is>
          <t>754</t>
        </is>
      </c>
      <c r="E31" s="3" t="inlineStr">
        <is>
          <t>2754</t>
        </is>
      </c>
      <c r="F31" s="3" t="inlineStr">
        <is>
          <t>005, 014, 017, 021, 022, 023, 024, 027, 028, 030... (100 số)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... (200 số)</t>
        </is>
      </c>
      <c r="J31" s="3" t="inlineStr">
        <is>
          <t>TRƯỢT ❌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01377</t>
        </is>
      </c>
      <c r="D32" s="3" t="inlineStr">
        <is>
          <t>377</t>
        </is>
      </c>
      <c r="E32" s="3" t="inlineStr">
        <is>
          <t>1377</t>
        </is>
      </c>
      <c r="F32" s="3" t="inlineStr">
        <is>
          <t>005, 014, 017, 021, 022, 024, 027, 045, 047, 048... (100 số)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... (200 số)</t>
        </is>
      </c>
      <c r="J32" s="3" t="inlineStr">
        <is>
          <t>TRƯỢT ❌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73461</t>
        </is>
      </c>
      <c r="D33" s="3" t="inlineStr">
        <is>
          <t>461</t>
        </is>
      </c>
      <c r="E33" s="3" t="inlineStr">
        <is>
          <t>3461</t>
        </is>
      </c>
      <c r="F33" s="3" t="inlineStr">
        <is>
          <t>005, 014, 017, 022, 023, 024, 027, 028, 030, 038... (100 số)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... (200 số)</t>
        </is>
      </c>
      <c r="J33" s="3" t="inlineStr">
        <is>
          <t>TRƯỢT ❌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97648</t>
        </is>
      </c>
      <c r="D34" s="3" t="inlineStr">
        <is>
          <t>648</t>
        </is>
      </c>
      <c r="E34" s="3" t="inlineStr">
        <is>
          <t>7648</t>
        </is>
      </c>
      <c r="F34" s="3" t="inlineStr">
        <is>
          <t>005, 014, 017, 021, 022, 023, 024, 027, 028, 030... (100 số)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... (200 số)</t>
        </is>
      </c>
      <c r="J34" s="3" t="inlineStr">
        <is>
          <t>TRƯỢT ❌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06517</t>
        </is>
      </c>
      <c r="D35" s="3" t="inlineStr">
        <is>
          <t>517</t>
        </is>
      </c>
      <c r="E35" s="3" t="inlineStr">
        <is>
          <t>6517</t>
        </is>
      </c>
      <c r="F35" s="3" t="inlineStr">
        <is>
          <t>014, 017, 021, 022, 024, 027, 028, 038, 045, 047... (100 số)</t>
        </is>
      </c>
      <c r="G35" s="3" t="inlineStr">
        <is>
          <t>TRÚNG 🎯</t>
        </is>
      </c>
      <c r="H35" s="3" t="inlineStr">
        <is>
          <t>TRÚNG 🎯</t>
        </is>
      </c>
      <c r="I35" s="3" t="inlineStr">
        <is>
          <t>... (200 số)</t>
        </is>
      </c>
      <c r="J35" s="3" t="inlineStr">
        <is>
          <t>TRƯỢT ❌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10268</t>
        </is>
      </c>
      <c r="D36" s="3" t="inlineStr">
        <is>
          <t>268</t>
        </is>
      </c>
      <c r="E36" s="3" t="inlineStr">
        <is>
          <t>0268</t>
        </is>
      </c>
      <c r="F36" s="3" t="inlineStr">
        <is>
          <t>005, 017, 022, 023, 028, 030, 038, 045, 048, 051... (100 số)</t>
        </is>
      </c>
      <c r="G36" s="3" t="inlineStr">
        <is>
          <t>TRÚNG 🎯</t>
        </is>
      </c>
      <c r="H36" s="3" t="inlineStr">
        <is>
          <t>TRÚNG 🎯</t>
        </is>
      </c>
      <c r="I36" s="3" t="inlineStr">
        <is>
          <t>... (200 số)</t>
        </is>
      </c>
      <c r="J36" s="3" t="inlineStr">
        <is>
          <t>TRÚNG 🎯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06133</t>
        </is>
      </c>
      <c r="D37" s="3" t="inlineStr">
        <is>
          <t>133</t>
        </is>
      </c>
      <c r="E37" s="3" t="inlineStr">
        <is>
          <t>6133</t>
        </is>
      </c>
      <c r="F37" s="3" t="inlineStr">
        <is>
          <t>017, 022, 023, 027, 028, 030, 038, 045, 048, 051... (100 số)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... (200 số)</t>
        </is>
      </c>
      <c r="J37" s="3" t="inlineStr">
        <is>
          <t>TRƯỢT ❌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38385</t>
        </is>
      </c>
      <c r="D38" s="3" t="inlineStr">
        <is>
          <t>385</t>
        </is>
      </c>
      <c r="E38" s="3" t="inlineStr">
        <is>
          <t>8385</t>
        </is>
      </c>
      <c r="F38" s="3" t="inlineStr">
        <is>
          <t>005, 014, 017, 021, 022, 028, 030, 038, 045, 048... (100 số)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... (200 số)</t>
        </is>
      </c>
      <c r="J38" s="3" t="inlineStr">
        <is>
          <t>TRƯỢT ❌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57977</t>
        </is>
      </c>
      <c r="D39" s="3" t="inlineStr">
        <is>
          <t>977</t>
        </is>
      </c>
      <c r="E39" s="3" t="inlineStr">
        <is>
          <t>7977</t>
        </is>
      </c>
      <c r="F39" s="3" t="inlineStr">
        <is>
          <t>014, 017, 021, 022, 023, 024, 027, 030, 033, 038... (100 số)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... (200 số)</t>
        </is>
      </c>
      <c r="J39" s="3" t="inlineStr">
        <is>
          <t>TRƯỢT ❌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05901</t>
        </is>
      </c>
      <c r="D40" s="3" t="inlineStr">
        <is>
          <t>901</t>
        </is>
      </c>
      <c r="E40" s="3" t="inlineStr">
        <is>
          <t>5901</t>
        </is>
      </c>
      <c r="F40" s="3" t="inlineStr">
        <is>
          <t>014, 017, 022, 024, 028, 030, 033, 038, 045, 048... (100 số)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... (200 số)</t>
        </is>
      </c>
      <c r="J40" s="3" t="inlineStr">
        <is>
          <t>TRƯỢT ❌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65390</t>
        </is>
      </c>
      <c r="D41" s="3" t="inlineStr">
        <is>
          <t>390</t>
        </is>
      </c>
      <c r="E41" s="3" t="inlineStr">
        <is>
          <t>5390</t>
        </is>
      </c>
      <c r="F41" s="3" t="inlineStr">
        <is>
          <t>001, 014, 017, 021, 022, 024, 027, 028, 045, 048... (100 số)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... (200 số)</t>
        </is>
      </c>
      <c r="J41" s="3" t="inlineStr">
        <is>
          <t>TRƯỢT ❌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20692</t>
        </is>
      </c>
      <c r="D42" s="3" t="inlineStr">
        <is>
          <t>692</t>
        </is>
      </c>
      <c r="E42" s="3" t="inlineStr">
        <is>
          <t>0692</t>
        </is>
      </c>
      <c r="F42" s="3" t="inlineStr">
        <is>
          <t>001, 014, 017, 021, 022, 024, 045, 048, 051, 054... (100 số)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... (200 số)</t>
        </is>
      </c>
      <c r="J42" s="3" t="inlineStr">
        <is>
          <t>TRƯỢT ❌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81475</t>
        </is>
      </c>
      <c r="D43" s="3" t="inlineStr">
        <is>
          <t>475</t>
        </is>
      </c>
      <c r="E43" s="3" t="inlineStr">
        <is>
          <t>1475</t>
        </is>
      </c>
      <c r="F43" s="3" t="inlineStr">
        <is>
          <t>014, 017, 021, 022, 024, 027, 028, 030, 033, 045... (100 số)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... (200 số)</t>
        </is>
      </c>
      <c r="J43" s="3" t="inlineStr">
        <is>
          <t>TRƯỢT ❌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93177</t>
        </is>
      </c>
      <c r="D44" s="3" t="inlineStr">
        <is>
          <t>177</t>
        </is>
      </c>
      <c r="E44" s="3" t="inlineStr">
        <is>
          <t>3177</t>
        </is>
      </c>
      <c r="F44" s="3" t="inlineStr">
        <is>
          <t>001, 014, 017, 021, 022, 028, 030, 045, 048, 051... (100 số)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... (200 số)</t>
        </is>
      </c>
      <c r="J44" s="3" t="inlineStr">
        <is>
          <t>TRƯỢT ❌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90630</t>
        </is>
      </c>
      <c r="D45" s="3" t="inlineStr">
        <is>
          <t>630</t>
        </is>
      </c>
      <c r="E45" s="3" t="inlineStr">
        <is>
          <t>0630</t>
        </is>
      </c>
      <c r="F45" s="3" t="inlineStr">
        <is>
          <t>001, 014, 017, 021, 022, 030, 033, 048, 051, 061... (100 số)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... (200 số)</t>
        </is>
      </c>
      <c r="J45" s="3" t="inlineStr">
        <is>
          <t>TRƯỢT ❌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22601</t>
        </is>
      </c>
      <c r="D46" s="3" t="inlineStr">
        <is>
          <t>601</t>
        </is>
      </c>
      <c r="E46" s="3" t="inlineStr">
        <is>
          <t>2601</t>
        </is>
      </c>
      <c r="F46" s="3" t="inlineStr">
        <is>
          <t>001, 014, 017, 021, 022, 028, 030, 048, 051, 061... (100 số)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... (200 số)</t>
        </is>
      </c>
      <c r="J46" s="3" t="inlineStr">
        <is>
          <t>TRƯỢT ❌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36481</t>
        </is>
      </c>
      <c r="D47" s="3" t="inlineStr">
        <is>
          <t>481</t>
        </is>
      </c>
      <c r="E47" s="3" t="inlineStr">
        <is>
          <t>6481</t>
        </is>
      </c>
      <c r="F47" s="3" t="inlineStr">
        <is>
          <t>001, 014, 017, 024, 030, 033, 045, 048, 051, 054... (100 số)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... (200 số)</t>
        </is>
      </c>
      <c r="J47" s="3" t="inlineStr">
        <is>
          <t>TRƯỢT ❌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44413</t>
        </is>
      </c>
      <c r="D48" s="3" t="inlineStr">
        <is>
          <t>413</t>
        </is>
      </c>
      <c r="E48" s="3" t="inlineStr">
        <is>
          <t>4413</t>
        </is>
      </c>
      <c r="F48" s="3" t="inlineStr">
        <is>
          <t>001, 014, 017, 021, 022, 030, 045, 048, 051, 054... (100 số)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... (200 số)</t>
        </is>
      </c>
      <c r="J48" s="3" t="inlineStr">
        <is>
          <t>TRƯỢT ❌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64512</t>
        </is>
      </c>
      <c r="D49" s="3" t="inlineStr">
        <is>
          <t>512</t>
        </is>
      </c>
      <c r="E49" s="3" t="inlineStr">
        <is>
          <t>4512</t>
        </is>
      </c>
      <c r="F49" s="3" t="inlineStr">
        <is>
          <t>001, 013, 014, 017, 021, 030, 045, 048, 054, 061... (100 số)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... (200 số)</t>
        </is>
      </c>
      <c r="J49" s="3" t="inlineStr">
        <is>
          <t>TRƯỢT ❌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67655</t>
        </is>
      </c>
      <c r="D50" s="3" t="inlineStr">
        <is>
          <t>655</t>
        </is>
      </c>
      <c r="E50" s="3" t="inlineStr">
        <is>
          <t>7655</t>
        </is>
      </c>
      <c r="F50" s="3" t="inlineStr">
        <is>
          <t>001, 005, 013, 017, 022, 023, 030, 033, 048, 062... (100 số)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... (200 số)</t>
        </is>
      </c>
      <c r="J50" s="3" t="inlineStr">
        <is>
          <t>TRƯỢT ❌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65037</t>
        </is>
      </c>
      <c r="D51" s="3" t="inlineStr">
        <is>
          <t>037</t>
        </is>
      </c>
      <c r="E51" s="3" t="inlineStr">
        <is>
          <t>5037</t>
        </is>
      </c>
      <c r="F51" s="3" t="inlineStr">
        <is>
          <t>001, 013, 014, 017, 022, 030, 033, 045, 048, 054... (100 số)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... (200 số)</t>
        </is>
      </c>
      <c r="J51" s="3" t="inlineStr">
        <is>
          <t>TRƯỢT ❌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48153</t>
        </is>
      </c>
      <c r="D52" s="3" t="inlineStr">
        <is>
          <t>153</t>
        </is>
      </c>
      <c r="E52" s="3" t="inlineStr">
        <is>
          <t>8153</t>
        </is>
      </c>
      <c r="F52" s="3" t="inlineStr">
        <is>
          <t>001, 012, 013, 014, 017, 021, 022, 030, 033, 037... (100 số)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... (200 số)</t>
        </is>
      </c>
      <c r="J52" s="3" t="inlineStr">
        <is>
          <t>TRƯỢT ❌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86408</t>
        </is>
      </c>
      <c r="D53" s="3" t="inlineStr">
        <is>
          <t>408</t>
        </is>
      </c>
      <c r="E53" s="3" t="inlineStr">
        <is>
          <t>6408</t>
        </is>
      </c>
      <c r="F53" s="3" t="inlineStr">
        <is>
          <t>001, 012, 013, 014, 017, 021, 030, 033, 037, 045... (100 số)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... (200 số)</t>
        </is>
      </c>
      <c r="J53" s="3" t="inlineStr">
        <is>
          <t>TRƯỢT ❌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13283</t>
        </is>
      </c>
      <c r="D54" s="3" t="inlineStr">
        <is>
          <t>283</t>
        </is>
      </c>
      <c r="E54" s="3" t="inlineStr">
        <is>
          <t>3283</t>
        </is>
      </c>
      <c r="F54" s="3" t="inlineStr">
        <is>
          <t>001, 008, 012, 013, 014, 017, 021, 030, 045, 048... (100 số)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... (200 số)</t>
        </is>
      </c>
      <c r="J54" s="3" t="inlineStr">
        <is>
          <t>TRƯỢT ❌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47891</t>
        </is>
      </c>
      <c r="D55" s="3" t="inlineStr">
        <is>
          <t>891</t>
        </is>
      </c>
      <c r="E55" s="3" t="inlineStr">
        <is>
          <t>7891</t>
        </is>
      </c>
      <c r="F55" s="3" t="inlineStr">
        <is>
          <t>001, 012, 013, 014, 017, 021, 022, 030, 033, 037... (100 số)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... (200 số)</t>
        </is>
      </c>
      <c r="J55" s="3" t="inlineStr">
        <is>
          <t>TRƯỢT ❌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90148</t>
        </is>
      </c>
      <c r="D56" s="3" t="inlineStr">
        <is>
          <t>148</t>
        </is>
      </c>
      <c r="E56" s="3" t="inlineStr">
        <is>
          <t>0148</t>
        </is>
      </c>
      <c r="F56" s="3" t="inlineStr">
        <is>
          <t>001, 008, 012, 017, 021, 022, 030, 037, 045, 048... (100 số)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... (200 số)</t>
        </is>
      </c>
      <c r="J56" s="3" t="inlineStr">
        <is>
          <t>TRƯỢT ❌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75257</t>
        </is>
      </c>
      <c r="D57" s="3" t="inlineStr">
        <is>
          <t>257</t>
        </is>
      </c>
      <c r="E57" s="3" t="inlineStr">
        <is>
          <t>5257</t>
        </is>
      </c>
      <c r="F57" s="3" t="inlineStr">
        <is>
          <t>001, 008, 012, 013, 017, 021, 022, 030, 033, 037... (100 số)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... (200 số)</t>
        </is>
      </c>
      <c r="J57" s="3" t="inlineStr">
        <is>
          <t>TRƯỢT ❌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70078</t>
        </is>
      </c>
      <c r="D58" s="3" t="inlineStr">
        <is>
          <t>078</t>
        </is>
      </c>
      <c r="E58" s="3" t="inlineStr">
        <is>
          <t>0078</t>
        </is>
      </c>
      <c r="F58" s="3" t="inlineStr">
        <is>
          <t>001, 008, 012, 013, 014, 017, 021, 030, 045, 048... (100 số)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... (200 số)</t>
        </is>
      </c>
      <c r="J58" s="3" t="inlineStr">
        <is>
          <t>TRƯỢT ❌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10619</t>
        </is>
      </c>
      <c r="D59" s="3" t="inlineStr">
        <is>
          <t>619</t>
        </is>
      </c>
      <c r="E59" s="3" t="inlineStr">
        <is>
          <t>0619</t>
        </is>
      </c>
      <c r="F59" s="3" t="inlineStr">
        <is>
          <t>001, 012, 013, 014, 017, 022, 030, 033, 037, 048... (100 số)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... (200 số)</t>
        </is>
      </c>
      <c r="J59" s="3" t="inlineStr">
        <is>
          <t>TRƯỢT ❌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16659</t>
        </is>
      </c>
      <c r="D60" s="3" t="inlineStr">
        <is>
          <t>659</t>
        </is>
      </c>
      <c r="E60" s="3" t="inlineStr">
        <is>
          <t>6659</t>
        </is>
      </c>
      <c r="F60" s="3" t="inlineStr">
        <is>
          <t>001, 008, 012, 013, 017, 019, 022, 030, 033, 037... (100 số)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... (200 số)</t>
        </is>
      </c>
      <c r="J60" s="3" t="inlineStr">
        <is>
          <t>TRƯỢT ❌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38249</t>
        </is>
      </c>
      <c r="D61" s="3" t="inlineStr">
        <is>
          <t>249</t>
        </is>
      </c>
      <c r="E61" s="3" t="inlineStr">
        <is>
          <t>8249</t>
        </is>
      </c>
      <c r="F61" s="3" t="inlineStr">
        <is>
          <t>001, 008, 012, 013, 017, 019, 030, 048, 054, 059... (100 số)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... (200 số)</t>
        </is>
      </c>
      <c r="J61" s="3" t="inlineStr">
        <is>
          <t>TRƯỢT ❌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51951</t>
        </is>
      </c>
      <c r="D62" s="3" t="inlineStr">
        <is>
          <t>951</t>
        </is>
      </c>
      <c r="E62" s="3" t="inlineStr">
        <is>
          <t>1951</t>
        </is>
      </c>
      <c r="F62" s="3" t="inlineStr">
        <is>
          <t>001, 008, 012, 013, 017, 019, 030, 037, 048, 049... (100 số)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... (200 số)</t>
        </is>
      </c>
      <c r="J62" s="3" t="inlineStr">
        <is>
          <t>TRƯỢT ❌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81336</t>
        </is>
      </c>
      <c r="D63" s="3" t="inlineStr">
        <is>
          <t>336</t>
        </is>
      </c>
      <c r="E63" s="3" t="inlineStr">
        <is>
          <t>1336</t>
        </is>
      </c>
      <c r="F63" s="3" t="inlineStr">
        <is>
          <t>001, 008, 012, 013, 017, 019, 022, 030, 033, 037... (100 số)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... (200 số)</t>
        </is>
      </c>
      <c r="J63" s="3" t="inlineStr">
        <is>
          <t>TRƯỢT ❌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90580</t>
        </is>
      </c>
      <c r="D64" s="3" t="inlineStr">
        <is>
          <t>580</t>
        </is>
      </c>
      <c r="E64" s="3" t="inlineStr">
        <is>
          <t>0580</t>
        </is>
      </c>
      <c r="F64" s="3" t="inlineStr">
        <is>
          <t>001, 012, 014, 017, 021, 022, 023, 024, 027, 030... (100 số)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... (200 số)</t>
        </is>
      </c>
      <c r="J64" s="3" t="inlineStr">
        <is>
          <t>TRƯỢT ❌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22342</t>
        </is>
      </c>
      <c r="D65" s="3" t="inlineStr">
        <is>
          <t>342</t>
        </is>
      </c>
      <c r="E65" s="3" t="inlineStr">
        <is>
          <t>2342</t>
        </is>
      </c>
      <c r="F65" s="3" t="inlineStr">
        <is>
          <t>001, 008, 012, 013, 022, 030, 033, 036, 037, 051... (100 số)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... (200 số)</t>
        </is>
      </c>
      <c r="J65" s="3" t="inlineStr">
        <is>
          <t>TRƯỢT ❌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30368</t>
        </is>
      </c>
      <c r="D66" s="3" t="inlineStr">
        <is>
          <t>368</t>
        </is>
      </c>
      <c r="E66" s="3" t="inlineStr">
        <is>
          <t>0368</t>
        </is>
      </c>
      <c r="F66" s="3" t="inlineStr">
        <is>
          <t>001, 008, 012, 013, 017, 019, 030, 033, 036, 037... (100 số)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... (200 số)</t>
        </is>
      </c>
      <c r="J66" s="3" t="inlineStr">
        <is>
          <t>TRƯỢT ❌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72124</t>
        </is>
      </c>
      <c r="D67" s="3" t="inlineStr">
        <is>
          <t>124</t>
        </is>
      </c>
      <c r="E67" s="3" t="inlineStr">
        <is>
          <t>2124</t>
        </is>
      </c>
      <c r="F67" s="3" t="inlineStr">
        <is>
          <t>001, 008, 012, 013, 017, 019, 030, 033, 036, 037... (100 số)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... (200 số)</t>
        </is>
      </c>
      <c r="J67" s="3" t="inlineStr">
        <is>
          <t>TRƯỢT ❌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86759</t>
        </is>
      </c>
      <c r="D68" s="3" t="inlineStr">
        <is>
          <t>759</t>
        </is>
      </c>
      <c r="E68" s="3" t="inlineStr">
        <is>
          <t>6759</t>
        </is>
      </c>
      <c r="F68" s="3" t="inlineStr">
        <is>
          <t>001, 008, 019, 024, 030, 036, 042, 048, 049, 051... (100 số)</t>
        </is>
      </c>
      <c r="G68" s="3" t="inlineStr">
        <is>
          <t>TRÚNG 🎯</t>
        </is>
      </c>
      <c r="H68" s="3" t="inlineStr">
        <is>
          <t>TRÚNG 🎯</t>
        </is>
      </c>
      <c r="I68" s="3" t="inlineStr">
        <is>
          <t>... (200 số)</t>
        </is>
      </c>
      <c r="J68" s="3" t="inlineStr">
        <is>
          <t>TRƯỢT ❌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56848</t>
        </is>
      </c>
      <c r="D69" s="3" t="inlineStr">
        <is>
          <t>848</t>
        </is>
      </c>
      <c r="E69" s="3" t="inlineStr">
        <is>
          <t>6848</t>
        </is>
      </c>
      <c r="F69" s="3" t="inlineStr">
        <is>
          <t>001, 008, 012, 013, 017, 019, 030, 036, 048, 049... (100 số)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... (200 số)</t>
        </is>
      </c>
      <c r="J69" s="3" t="inlineStr">
        <is>
          <t>TRƯỢT ❌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01770</t>
        </is>
      </c>
      <c r="D70" s="3" t="inlineStr">
        <is>
          <t>770</t>
        </is>
      </c>
      <c r="E70" s="3" t="inlineStr">
        <is>
          <t>1770</t>
        </is>
      </c>
      <c r="F70" s="3" t="inlineStr">
        <is>
          <t>001, 012, 013, 017, 019, 022, 024, 042, 048, 049... (100 số)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... (200 số)</t>
        </is>
      </c>
      <c r="J70" s="3" t="inlineStr">
        <is>
          <t>TRƯỢT ❌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77552</t>
        </is>
      </c>
      <c r="D71" s="3" t="inlineStr">
        <is>
          <t>552</t>
        </is>
      </c>
      <c r="E71" s="3" t="inlineStr">
        <is>
          <t>7552</t>
        </is>
      </c>
      <c r="F71" s="3" t="inlineStr">
        <is>
          <t>008, 013, 017, 024, 030, 036, 037, 042, 048, 049... (100 số)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... (200 số)</t>
        </is>
      </c>
      <c r="J71" s="3" t="inlineStr">
        <is>
          <t>TRƯỢT ❌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07969</t>
        </is>
      </c>
      <c r="D72" s="3" t="inlineStr">
        <is>
          <t>969</t>
        </is>
      </c>
      <c r="E72" s="3" t="inlineStr">
        <is>
          <t>7969</t>
        </is>
      </c>
      <c r="F72" s="3" t="inlineStr">
        <is>
          <t>001, 008, 012, 013, 017, 019, 022, 024, 030, 036... (100 số)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... (200 số)</t>
        </is>
      </c>
      <c r="J72" s="3" t="inlineStr">
        <is>
          <t>TRƯỢT ❌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25287</t>
        </is>
      </c>
      <c r="D73" s="3" t="inlineStr">
        <is>
          <t>287</t>
        </is>
      </c>
      <c r="E73" s="3" t="inlineStr">
        <is>
          <t>5287</t>
        </is>
      </c>
      <c r="F73" s="3" t="inlineStr">
        <is>
          <t>001, 008, 012, 013, 017, 019, 022, 024, 030, 036... (100 số)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... (200 số)</t>
        </is>
      </c>
      <c r="J73" s="3" t="inlineStr">
        <is>
          <t>TRƯỢT ❌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75495</t>
        </is>
      </c>
      <c r="D74" s="3" t="inlineStr">
        <is>
          <t>495</t>
        </is>
      </c>
      <c r="E74" s="3" t="inlineStr">
        <is>
          <t>5495</t>
        </is>
      </c>
      <c r="F74" s="3" t="inlineStr">
        <is>
          <t>001, 008, 012, 013, 017, 019, 022, 024, 030, 036... (100 số)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... (200 số)</t>
        </is>
      </c>
      <c r="J74" s="3" t="inlineStr">
        <is>
          <t>TRƯỢT ❌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81124</t>
        </is>
      </c>
      <c r="D75" s="3" t="inlineStr">
        <is>
          <t>124</t>
        </is>
      </c>
      <c r="E75" s="3" t="inlineStr">
        <is>
          <t>1124</t>
        </is>
      </c>
      <c r="F75" s="3" t="inlineStr">
        <is>
          <t>001, 008, 012, 013, 019, 022, 024, 030, 036, 042... (100 số)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... (200 số)</t>
        </is>
      </c>
      <c r="J75" s="3" t="inlineStr">
        <is>
          <t>TRƯỢT ❌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88594</t>
        </is>
      </c>
      <c r="D76" s="3" t="inlineStr">
        <is>
          <t>594</t>
        </is>
      </c>
      <c r="E76" s="3" t="inlineStr">
        <is>
          <t>8594</t>
        </is>
      </c>
      <c r="F76" s="3" t="inlineStr">
        <is>
          <t>001, 008, 012, 013, 024, 030, 036, 037, 042, 048... (100 số)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... (200 số)</t>
        </is>
      </c>
      <c r="J76" s="3" t="inlineStr">
        <is>
          <t>TRƯỢT ❌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58646</t>
        </is>
      </c>
      <c r="D77" s="3" t="inlineStr">
        <is>
          <t>646</t>
        </is>
      </c>
      <c r="E77" s="3" t="inlineStr">
        <is>
          <t>8646</t>
        </is>
      </c>
      <c r="F77" s="3" t="inlineStr">
        <is>
          <t>001, 008, 012, 013, 019, 024, 030, 036, 037, 042... (100 số)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... (200 số)</t>
        </is>
      </c>
      <c r="J77" s="3" t="inlineStr">
        <is>
          <t>TRƯỢT ❌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77514</t>
        </is>
      </c>
      <c r="D78" s="3" t="inlineStr">
        <is>
          <t>514</t>
        </is>
      </c>
      <c r="E78" s="3" t="inlineStr">
        <is>
          <t>7514</t>
        </is>
      </c>
      <c r="F78" s="3" t="inlineStr">
        <is>
          <t>001, 008, 012, 013, 019, 024, 030, 036, 037, 042... (100 số)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... (200 số)</t>
        </is>
      </c>
      <c r="J78" s="3" t="inlineStr">
        <is>
          <t>TRƯỢT ❌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03829</t>
        </is>
      </c>
      <c r="D79" s="3" t="inlineStr">
        <is>
          <t>829</t>
        </is>
      </c>
      <c r="E79" s="3" t="inlineStr">
        <is>
          <t>3829</t>
        </is>
      </c>
      <c r="F79" s="3" t="inlineStr">
        <is>
          <t>008, 012, 014, 019, 024, 042, 046, 048, 049, 052... (100 số)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... (200 số)</t>
        </is>
      </c>
      <c r="J79" s="3" t="inlineStr">
        <is>
          <t>TRƯỢT ❌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53988</t>
        </is>
      </c>
      <c r="D80" s="3" t="inlineStr">
        <is>
          <t>988</t>
        </is>
      </c>
      <c r="E80" s="3" t="inlineStr">
        <is>
          <t>3988</t>
        </is>
      </c>
      <c r="F80" s="3" t="inlineStr">
        <is>
          <t>001, 008, 014, 019, 024, 029, 030, 036, 037, 042... (100 số)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... (200 số)</t>
        </is>
      </c>
      <c r="J80" s="3" t="inlineStr">
        <is>
          <t>TRƯỢT ❌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44693</t>
        </is>
      </c>
      <c r="D81" s="3" t="inlineStr">
        <is>
          <t>693</t>
        </is>
      </c>
      <c r="E81" s="3" t="inlineStr">
        <is>
          <t>4693</t>
        </is>
      </c>
      <c r="F81" s="3" t="inlineStr">
        <is>
          <t>001, 008, 014, 019, 024, 029, 030, 037, 042, 046... (100 số)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... (200 số)</t>
        </is>
      </c>
      <c r="J81" s="3" t="inlineStr">
        <is>
          <t>TRƯỢT ❌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61332</t>
        </is>
      </c>
      <c r="D82" s="3" t="inlineStr">
        <is>
          <t>332</t>
        </is>
      </c>
      <c r="E82" s="3" t="inlineStr">
        <is>
          <t>1332</t>
        </is>
      </c>
      <c r="F82" s="3" t="inlineStr">
        <is>
          <t>001, 008, 014, 019, 024, 029, 042, 046, 048, 049... (100 số)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... (200 số)</t>
        </is>
      </c>
      <c r="J82" s="3" t="inlineStr">
        <is>
          <t>TRƯỢT ❌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96422</t>
        </is>
      </c>
      <c r="D83" s="3" t="inlineStr">
        <is>
          <t>422</t>
        </is>
      </c>
      <c r="E83" s="3" t="inlineStr">
        <is>
          <t>6422</t>
        </is>
      </c>
      <c r="F83" s="3" t="inlineStr">
        <is>
          <t>001, 008, 014, 019, 024, 030, 036, 042, 046, 048... (100 số)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... (200 số)</t>
        </is>
      </c>
      <c r="J83" s="3" t="inlineStr">
        <is>
          <t>TRƯỢT ❌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37188</t>
        </is>
      </c>
      <c r="D84" s="3" t="inlineStr">
        <is>
          <t>188</t>
        </is>
      </c>
      <c r="E84" s="3" t="inlineStr">
        <is>
          <t>7188</t>
        </is>
      </c>
      <c r="F84" s="3" t="inlineStr">
        <is>
          <t>001, 014, 019, 024, 029, 030, 036, 046, 048, 049... (100 số)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... (200 số)</t>
        </is>
      </c>
      <c r="J84" s="3" t="inlineStr">
        <is>
          <t>TRƯỢT ❌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64464</t>
        </is>
      </c>
      <c r="D85" s="3" t="inlineStr">
        <is>
          <t>464</t>
        </is>
      </c>
      <c r="E85" s="3" t="inlineStr">
        <is>
          <t>4464</t>
        </is>
      </c>
      <c r="F85" s="3" t="inlineStr">
        <is>
          <t>001, 014, 019, 024, 030, 032, 036, 046, 048, 051... (100 số)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... (200 số)</t>
        </is>
      </c>
      <c r="J85" s="3" t="inlineStr">
        <is>
          <t>TRƯỢT ❌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11591</t>
        </is>
      </c>
      <c r="D86" s="3" t="inlineStr">
        <is>
          <t>591</t>
        </is>
      </c>
      <c r="E86" s="3" t="inlineStr">
        <is>
          <t>1591</t>
        </is>
      </c>
      <c r="F86" s="3" t="inlineStr">
        <is>
          <t>001, 014, 022, 024, 029, 032, 036, 042, 046, 048... (100 số)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... (200 số)</t>
        </is>
      </c>
      <c r="J86" s="3" t="inlineStr">
        <is>
          <t>TRƯỢT ❌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31666</t>
        </is>
      </c>
      <c r="D87" s="3" t="inlineStr">
        <is>
          <t>666</t>
        </is>
      </c>
      <c r="E87" s="3" t="inlineStr">
        <is>
          <t>1666</t>
        </is>
      </c>
      <c r="F87" s="3" t="inlineStr">
        <is>
          <t>001, 014, 019, 022, 024, 029, 032, 036, 042, 048... (100 số)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... (200 số)</t>
        </is>
      </c>
      <c r="J87" s="3" t="inlineStr">
        <is>
          <t>TRƯỢT ❌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91267</t>
        </is>
      </c>
      <c r="D88" s="3" t="inlineStr">
        <is>
          <t>267</t>
        </is>
      </c>
      <c r="E88" s="3" t="inlineStr">
        <is>
          <t>1267</t>
        </is>
      </c>
      <c r="F88" s="3" t="inlineStr">
        <is>
          <t>001, 014, 019, 022, 024, 029, 032, 036, 042, 046... (100 số)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... (200 số)</t>
        </is>
      </c>
      <c r="J88" s="3" t="inlineStr">
        <is>
          <t>TRƯỢT ❌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12944</t>
        </is>
      </c>
      <c r="D89" s="3" t="inlineStr">
        <is>
          <t>944</t>
        </is>
      </c>
      <c r="E89" s="3" t="inlineStr">
        <is>
          <t>2944</t>
        </is>
      </c>
      <c r="F89" s="3" t="inlineStr">
        <is>
          <t>001, 014, 019, 024, 029, 032, 036, 042, 046, 048... (100 số)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... (200 số)</t>
        </is>
      </c>
      <c r="J89" s="3" t="inlineStr">
        <is>
          <t>TRƯỢT ❌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29737</t>
        </is>
      </c>
      <c r="D90" s="3" t="inlineStr">
        <is>
          <t>737</t>
        </is>
      </c>
      <c r="E90" s="3" t="inlineStr">
        <is>
          <t>9737</t>
        </is>
      </c>
      <c r="F90" s="3" t="inlineStr">
        <is>
          <t>001, 014, 022, 024, 029, 032, 036, 042, 044, 046... (100 số)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... (200 số)</t>
        </is>
      </c>
      <c r="J90" s="3" t="inlineStr">
        <is>
          <t>TRƯỢT ❌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02855</t>
        </is>
      </c>
      <c r="D91" s="3" t="inlineStr">
        <is>
          <t>855</t>
        </is>
      </c>
      <c r="E91" s="3" t="inlineStr">
        <is>
          <t>2855</t>
        </is>
      </c>
      <c r="F91" s="3" t="inlineStr">
        <is>
          <t>001, 014, 024, 029, 042, 044, 046, 048, 049, 051... (100 số)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... (200 số)</t>
        </is>
      </c>
      <c r="J91" s="3" t="inlineStr">
        <is>
          <t>TRƯỢT ❌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76406</t>
        </is>
      </c>
      <c r="D92" s="3" t="inlineStr">
        <is>
          <t>406</t>
        </is>
      </c>
      <c r="E92" s="3" t="inlineStr">
        <is>
          <t>6406</t>
        </is>
      </c>
      <c r="F92" s="3" t="inlineStr">
        <is>
          <t>001, 014, 024, 029, 032, 036, 037, 042, 044, 046... (100 số)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... (200 số)</t>
        </is>
      </c>
      <c r="J92" s="3" t="inlineStr">
        <is>
          <t>TRƯỢT ❌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02382</t>
        </is>
      </c>
      <c r="D93" s="3" t="inlineStr">
        <is>
          <t>382</t>
        </is>
      </c>
      <c r="E93" s="3" t="inlineStr">
        <is>
          <t>2382</t>
        </is>
      </c>
      <c r="F93" s="3" t="inlineStr">
        <is>
          <t>001, 006, 014, 022, 024, 029, 032, 036, 037, 042... (100 số)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... (200 số)</t>
        </is>
      </c>
      <c r="J93" s="3" t="inlineStr">
        <is>
          <t>TRƯỢT ❌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27450</t>
        </is>
      </c>
      <c r="D94" s="3" t="inlineStr">
        <is>
          <t>450</t>
        </is>
      </c>
      <c r="E94" s="3" t="inlineStr">
        <is>
          <t>7450</t>
        </is>
      </c>
      <c r="F94" s="3" t="inlineStr">
        <is>
          <t>001, 006, 014, 022, 024, 029, 032, 037, 042, 048... (100 số)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... (200 số)</t>
        </is>
      </c>
      <c r="J94" s="3" t="inlineStr">
        <is>
          <t>TRƯỢT ❌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45625</t>
        </is>
      </c>
      <c r="D95" s="3" t="inlineStr">
        <is>
          <t>625</t>
        </is>
      </c>
      <c r="E95" s="3" t="inlineStr">
        <is>
          <t>5625</t>
        </is>
      </c>
      <c r="F95" s="3" t="inlineStr">
        <is>
          <t>001, 006, 014, 022, 024, 029, 032, 042, 044, 046... (100 số)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... (200 số)</t>
        </is>
      </c>
      <c r="J95" s="3" t="inlineStr">
        <is>
          <t>TRƯỢT ❌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46120</t>
        </is>
      </c>
      <c r="D96" s="3" t="inlineStr">
        <is>
          <t>120</t>
        </is>
      </c>
      <c r="E96" s="3" t="inlineStr">
        <is>
          <t>6120</t>
        </is>
      </c>
      <c r="F96" s="3" t="inlineStr">
        <is>
          <t>001, 014, 022, 024, 025, 029, 032, 037, 044, 046... (100 số)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... (200 số)</t>
        </is>
      </c>
      <c r="J96" s="3" t="inlineStr">
        <is>
          <t>TRƯỢT ❌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24204</t>
        </is>
      </c>
      <c r="D97" s="3" t="inlineStr">
        <is>
          <t>204</t>
        </is>
      </c>
      <c r="E97" s="3" t="inlineStr">
        <is>
          <t>4204</t>
        </is>
      </c>
      <c r="F97" s="3" t="inlineStr">
        <is>
          <t>001, 006, 014, 020, 022, 024, 025, 029, 032, 037... (100 số)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... (200 số)</t>
        </is>
      </c>
      <c r="J97" s="3" t="inlineStr">
        <is>
          <t>TRƯỢT ❌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12000</t>
        </is>
      </c>
      <c r="D98" s="3" t="inlineStr">
        <is>
          <t>000</t>
        </is>
      </c>
      <c r="E98" s="3" t="inlineStr">
        <is>
          <t>2000</t>
        </is>
      </c>
      <c r="F98" s="3" t="inlineStr">
        <is>
          <t>001, 004, 006, 014, 020, 025, 037, 046, 048, 050... (100 số)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... (200 số)</t>
        </is>
      </c>
      <c r="J98" s="3" t="inlineStr">
        <is>
          <t>TRƯỢT ❌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22738</t>
        </is>
      </c>
      <c r="D99" s="3" t="inlineStr">
        <is>
          <t>738</t>
        </is>
      </c>
      <c r="E99" s="3" t="inlineStr">
        <is>
          <t>2738</t>
        </is>
      </c>
      <c r="F99" s="3" t="inlineStr">
        <is>
          <t>006, 020, 022, 024, 025, 029, 032, 037, 046, 048... (100 số)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... (200 số)</t>
        </is>
      </c>
      <c r="J99" s="3" t="inlineStr">
        <is>
          <t>TRƯỢT ❌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92763</t>
        </is>
      </c>
      <c r="D100" s="3" t="inlineStr">
        <is>
          <t>763</t>
        </is>
      </c>
      <c r="E100" s="3" t="inlineStr">
        <is>
          <t>2763</t>
        </is>
      </c>
      <c r="F100" s="3" t="inlineStr">
        <is>
          <t>000, 001, 004, 006, 014, 020, 022, 024, 025, 029... (100 số)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... (200 số)</t>
        </is>
      </c>
      <c r="J100" s="3" t="inlineStr">
        <is>
          <t>TRƯỢT ❌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03714</t>
        </is>
      </c>
      <c r="D101" s="3" t="inlineStr">
        <is>
          <t>714</t>
        </is>
      </c>
      <c r="E101" s="3" t="inlineStr">
        <is>
          <t>3714</t>
        </is>
      </c>
      <c r="F101" s="3" t="inlineStr">
        <is>
          <t>006, 014, 020, 022, 024, 025, 029, 032, 037, 038... (100 số)</t>
        </is>
      </c>
      <c r="G101" s="3" t="inlineStr">
        <is>
          <t>TRÚNG 🎯</t>
        </is>
      </c>
      <c r="H101" s="3" t="inlineStr">
        <is>
          <t>TRÚNG 🎯</t>
        </is>
      </c>
      <c r="I101" s="3" t="inlineStr">
        <is>
          <t>... (200 số)</t>
        </is>
      </c>
      <c r="J101" s="3" t="inlineStr">
        <is>
          <t>TRƯỢT ❌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35035</t>
        </is>
      </c>
      <c r="D102" s="3" t="inlineStr">
        <is>
          <t>035</t>
        </is>
      </c>
      <c r="E102" s="3" t="inlineStr">
        <is>
          <t>5035</t>
        </is>
      </c>
      <c r="F102" s="3" t="inlineStr">
        <is>
          <t>006, 014, 025, 029, 032, 037, 038, 046, 048, 050... (100 số)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... (200 số)</t>
        </is>
      </c>
      <c r="J102" s="3" t="inlineStr">
        <is>
          <t>TRƯỢT ❌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38455</t>
        </is>
      </c>
      <c r="D103" s="3" t="inlineStr">
        <is>
          <t>455</t>
        </is>
      </c>
      <c r="E103" s="3" t="inlineStr">
        <is>
          <t>8455</t>
        </is>
      </c>
      <c r="F103" s="3" t="inlineStr">
        <is>
          <t>006, 014, 029, 032, 035, 037, 038, 046, 048, 059... (100 số)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... (200 số)</t>
        </is>
      </c>
      <c r="J103" s="3" t="inlineStr">
        <is>
          <t>TRƯỢT ❌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17243</t>
        </is>
      </c>
      <c r="D104" s="3" t="inlineStr">
        <is>
          <t>243</t>
        </is>
      </c>
      <c r="E104" s="3" t="inlineStr">
        <is>
          <t>7243</t>
        </is>
      </c>
      <c r="F104" s="3" t="inlineStr">
        <is>
          <t>000, 004, 006, 014, 020, 022, 024, 025, 029, 032... (100 số)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... (200 số)</t>
        </is>
      </c>
      <c r="J104" s="3" t="inlineStr">
        <is>
          <t>TRƯỢT ❌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93725</t>
        </is>
      </c>
      <c r="D105" s="3" t="inlineStr">
        <is>
          <t>725</t>
        </is>
      </c>
      <c r="E105" s="3" t="inlineStr">
        <is>
          <t>3725</t>
        </is>
      </c>
      <c r="F105" s="3" t="inlineStr">
        <is>
          <t>004, 014, 024, 025, 029, 032, 035, 037, 038, 043... (100 số)</t>
        </is>
      </c>
      <c r="G105" s="3" t="inlineStr">
        <is>
          <t>TRÚNG 🎯</t>
        </is>
      </c>
      <c r="H105" s="3" t="inlineStr">
        <is>
          <t>TRÚNG 🎯</t>
        </is>
      </c>
      <c r="I105" s="3" t="inlineStr">
        <is>
          <t>... (200 số)</t>
        </is>
      </c>
      <c r="J105" s="3" t="inlineStr">
        <is>
          <t>TRƯỢT ❌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74197</t>
        </is>
      </c>
      <c r="D106" s="3" t="inlineStr">
        <is>
          <t>197</t>
        </is>
      </c>
      <c r="E106" s="3" t="inlineStr">
        <is>
          <t>4197</t>
        </is>
      </c>
      <c r="F106" s="3" t="inlineStr">
        <is>
          <t>000, 004, 006, 014, 020, 022, 024, 025, 029, 032... (100 số)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... (200 số)</t>
        </is>
      </c>
      <c r="J106" s="3" t="inlineStr">
        <is>
          <t>TRƯỢT ❌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48076</t>
        </is>
      </c>
      <c r="D107" s="3" t="inlineStr">
        <is>
          <t>076</t>
        </is>
      </c>
      <c r="E107" s="3" t="inlineStr">
        <is>
          <t>8076</t>
        </is>
      </c>
      <c r="F107" s="3" t="inlineStr">
        <is>
          <t>000, 004, 006, 014, 020, 024, 025, 029, 032, 035... (100 số)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... (200 số)</t>
        </is>
      </c>
      <c r="J107" s="3" t="inlineStr">
        <is>
          <t>TRƯỢT ❌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36948</t>
        </is>
      </c>
      <c r="D108" s="3" t="inlineStr">
        <is>
          <t>948</t>
        </is>
      </c>
      <c r="E108" s="3" t="inlineStr">
        <is>
          <t>6948</t>
        </is>
      </c>
      <c r="F108" s="3" t="inlineStr">
        <is>
          <t>000, 004, 006, 014, 020, 022, 024, 025, 029, 032... (100 số)</t>
        </is>
      </c>
      <c r="G108" s="3" t="inlineStr">
        <is>
          <t>TRƯỢT ❌</t>
        </is>
      </c>
      <c r="H108" s="3" t="inlineStr">
        <is>
          <t>TRƯỢT ❌</t>
        </is>
      </c>
      <c r="I108" s="3" t="inlineStr">
        <is>
          <t>... (200 số)</t>
        </is>
      </c>
      <c r="J108" s="3" t="inlineStr">
        <is>
          <t>TRƯỢT ❌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66239</t>
        </is>
      </c>
      <c r="D109" s="3" t="inlineStr">
        <is>
          <t>239</t>
        </is>
      </c>
      <c r="E109" s="3" t="inlineStr">
        <is>
          <t>6239</t>
        </is>
      </c>
      <c r="F109" s="3" t="inlineStr">
        <is>
          <t>004, 006, 014, 020, 022, 024, 025, 029, 032, 035... (100 số)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... (200 số)</t>
        </is>
      </c>
      <c r="J109" s="3" t="inlineStr">
        <is>
          <t>TRƯỢT ❌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09876</t>
        </is>
      </c>
      <c r="D110" s="3" t="inlineStr">
        <is>
          <t>876</t>
        </is>
      </c>
      <c r="E110" s="3" t="inlineStr">
        <is>
          <t>9876</t>
        </is>
      </c>
      <c r="F110" s="3" t="inlineStr">
        <is>
          <t>006, 020, 022, 024, 025, 032, 035, 037, 038, 039... (100 số)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... (200 số)</t>
        </is>
      </c>
      <c r="J110" s="3" t="inlineStr">
        <is>
          <t>TRƯỢT ❌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08717</t>
        </is>
      </c>
      <c r="D111" s="3" t="inlineStr">
        <is>
          <t>717</t>
        </is>
      </c>
      <c r="E111" s="3" t="inlineStr">
        <is>
          <t>8717</t>
        </is>
      </c>
      <c r="F111" s="3" t="inlineStr">
        <is>
          <t>000, 004, 006, 014, 020, 024, 025, 035, 038, 043... (100 số)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... (200 số)</t>
        </is>
      </c>
      <c r="J111" s="3" t="inlineStr">
        <is>
          <t>TRƯỢT ❌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38228</t>
        </is>
      </c>
      <c r="D112" s="3" t="inlineStr">
        <is>
          <t>228</t>
        </is>
      </c>
      <c r="E112" s="3" t="inlineStr">
        <is>
          <t>8228</t>
        </is>
      </c>
      <c r="F112" s="3" t="inlineStr">
        <is>
          <t>017, 020, 022, 024, 025, 032, 035, 037, 038, 039... (100 số)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... (200 số)</t>
        </is>
      </c>
      <c r="J112" s="3" t="inlineStr">
        <is>
          <t>TRƯỢT ❌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10059</t>
        </is>
      </c>
      <c r="D113" s="3" t="inlineStr">
        <is>
          <t>059</t>
        </is>
      </c>
      <c r="E113" s="3" t="inlineStr">
        <is>
          <t>0059</t>
        </is>
      </c>
      <c r="F113" s="3" t="inlineStr">
        <is>
          <t>000, 004, 006, 017, 020, 025, 028, 035, 037, 038... (100 số)</t>
        </is>
      </c>
      <c r="G113" s="3" t="inlineStr">
        <is>
          <t>TRÚNG 🎯</t>
        </is>
      </c>
      <c r="H113" s="3" t="inlineStr">
        <is>
          <t>TRÚNG 🎯</t>
        </is>
      </c>
      <c r="I113" s="3" t="inlineStr">
        <is>
          <t>... (200 số)</t>
        </is>
      </c>
      <c r="J113" s="3" t="inlineStr">
        <is>
          <t>TRÚNG 🎯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004, 006, 014, 017, 020, 024, 025, 028, 035, 037... (100 số)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... (200 số)</t>
        </is>
      </c>
      <c r="J114" s="3" t="inlineStr">
        <is>
          <t>TRƯỢT ❌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86569</t>
        </is>
      </c>
      <c r="D115" s="3" t="inlineStr">
        <is>
          <t>569</t>
        </is>
      </c>
      <c r="E115" s="3" t="inlineStr">
        <is>
          <t>6569</t>
        </is>
      </c>
      <c r="F115" s="3" t="inlineStr">
        <is>
          <t>000, 004, 006, 014, 017, 020, 024, 025, 028, 035... (100 số)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... (200 số)</t>
        </is>
      </c>
      <c r="J115" s="3" t="inlineStr">
        <is>
          <t>TRƯỢT ❌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82075</t>
        </is>
      </c>
      <c r="D116" s="3" t="inlineStr">
        <is>
          <t>075</t>
        </is>
      </c>
      <c r="E116" s="3" t="inlineStr">
        <is>
          <t>2075</t>
        </is>
      </c>
      <c r="F116" s="3" t="inlineStr">
        <is>
          <t>004, 006, 014, 017, 020, 024, 025, 028, 037, 038... (100 số)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... (200 số)</t>
        </is>
      </c>
      <c r="J116" s="3" t="inlineStr">
        <is>
          <t>TRƯỢT ❌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96637</t>
        </is>
      </c>
      <c r="D117" s="3" t="inlineStr">
        <is>
          <t>637</t>
        </is>
      </c>
      <c r="E117" s="3" t="inlineStr">
        <is>
          <t>6637</t>
        </is>
      </c>
      <c r="F117" s="3" t="inlineStr">
        <is>
          <t>000, 004, 006, 014, 017, 020, 024, 025, 028, 035... (100 số)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... (200 số)</t>
        </is>
      </c>
      <c r="J117" s="3" t="inlineStr">
        <is>
          <t>TRƯỢT ❌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16132</t>
        </is>
      </c>
      <c r="D118" s="3" t="inlineStr">
        <is>
          <t>132</t>
        </is>
      </c>
      <c r="E118" s="3" t="inlineStr">
        <is>
          <t>6132</t>
        </is>
      </c>
      <c r="F118" s="3" t="inlineStr">
        <is>
          <t>004, 006, 014, 017, 024, 025, 028, 035, 037, 038... (100 số)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... (200 số)</t>
        </is>
      </c>
      <c r="J118" s="3" t="inlineStr">
        <is>
          <t>TRƯỢT ❌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32964</t>
        </is>
      </c>
      <c r="D119" s="3" t="inlineStr">
        <is>
          <t>964</t>
        </is>
      </c>
      <c r="E119" s="3" t="inlineStr">
        <is>
          <t>2964</t>
        </is>
      </c>
      <c r="F119" s="3" t="inlineStr">
        <is>
          <t>004, 006, 014, 017, 020, 024, 025, 028, 032, 037... (100 số)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... (200 số)</t>
        </is>
      </c>
      <c r="J119" s="3" t="inlineStr">
        <is>
          <t>TRƯỢT ❌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11251</t>
        </is>
      </c>
      <c r="D120" s="3" t="inlineStr">
        <is>
          <t>251</t>
        </is>
      </c>
      <c r="E120" s="3" t="inlineStr">
        <is>
          <t>1251</t>
        </is>
      </c>
      <c r="F120" s="3" t="inlineStr">
        <is>
          <t>004, 006, 014, 020, 024, 025, 028, 032, 035, 037... (100 số)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... (200 số)</t>
        </is>
      </c>
      <c r="J120" s="3" t="inlineStr">
        <is>
          <t>TRƯỢT ❌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22512</t>
        </is>
      </c>
      <c r="D121" s="3" t="inlineStr">
        <is>
          <t>512</t>
        </is>
      </c>
      <c r="E121" s="3" t="inlineStr">
        <is>
          <t>2512</t>
        </is>
      </c>
      <c r="F121" s="3" t="inlineStr">
        <is>
          <t>006, 014, 017, 025, 032, 035, 037, 038, 039, 043... (100 số)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... (200 số)</t>
        </is>
      </c>
      <c r="J121" s="3" t="inlineStr">
        <is>
          <t>TRƯỢT ❌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80241</t>
        </is>
      </c>
      <c r="D122" s="3" t="inlineStr">
        <is>
          <t>241</t>
        </is>
      </c>
      <c r="E122" s="3" t="inlineStr">
        <is>
          <t>0241</t>
        </is>
      </c>
      <c r="F122" s="3" t="inlineStr">
        <is>
          <t>000, 004, 006, 012, 014, 017, 020, 024, 025, 032... (100 số)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... (200 số)</t>
        </is>
      </c>
      <c r="J122" s="3" t="inlineStr">
        <is>
          <t>TRƯỢT ❌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14540</t>
        </is>
      </c>
      <c r="D123" s="3" t="inlineStr">
        <is>
          <t>540</t>
        </is>
      </c>
      <c r="E123" s="3" t="inlineStr">
        <is>
          <t>4540</t>
        </is>
      </c>
      <c r="F123" s="3" t="inlineStr">
        <is>
          <t>000, 004, 012, 020, 024, 025, 028, 032, 035, 039... (100 số)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... (200 số)</t>
        </is>
      </c>
      <c r="J123" s="3" t="inlineStr">
        <is>
          <t>TRƯỢT ❌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29147</t>
        </is>
      </c>
      <c r="D124" s="3" t="inlineStr">
        <is>
          <t>147</t>
        </is>
      </c>
      <c r="E124" s="3" t="inlineStr">
        <is>
          <t>9147</t>
        </is>
      </c>
      <c r="F124" s="3" t="inlineStr">
        <is>
          <t>000, 004, 012, 014, 017, 020, 024, 025, 035, 040... (100 số)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... (200 số)</t>
        </is>
      </c>
      <c r="J124" s="3" t="inlineStr">
        <is>
          <t>TRƯỢT ❌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26192</t>
        </is>
      </c>
      <c r="D125" s="3" t="inlineStr">
        <is>
          <t>192</t>
        </is>
      </c>
      <c r="E125" s="3" t="inlineStr">
        <is>
          <t>6192</t>
        </is>
      </c>
      <c r="F125" s="3" t="inlineStr">
        <is>
          <t>004, 012, 014, 020, 024, 025, 028, 032, 035, 039... (100 số)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... (200 số)</t>
        </is>
      </c>
      <c r="J125" s="3" t="inlineStr">
        <is>
          <t>TRƯỢT ❌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76223</t>
        </is>
      </c>
      <c r="D126" s="3" t="inlineStr">
        <is>
          <t>223</t>
        </is>
      </c>
      <c r="E126" s="3" t="inlineStr">
        <is>
          <t>6223</t>
        </is>
      </c>
      <c r="F126" s="3" t="inlineStr">
        <is>
          <t>000, 004, 014, 020, 024, 025, 028, 035, 038, 039... (100 số)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... (200 số)</t>
        </is>
      </c>
      <c r="J126" s="3" t="inlineStr">
        <is>
          <t>TRƯỢT ❌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52117</t>
        </is>
      </c>
      <c r="D127" s="3" t="inlineStr">
        <is>
          <t>117</t>
        </is>
      </c>
      <c r="E127" s="3" t="inlineStr">
        <is>
          <t>2117</t>
        </is>
      </c>
      <c r="F127" s="3" t="inlineStr">
        <is>
          <t>000, 004, 012, 014, 017, 023, 024, 025, 028, 032... (100 số)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... (200 số)</t>
        </is>
      </c>
      <c r="J127" s="3" t="inlineStr">
        <is>
          <t>TRƯỢT ❌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52233</t>
        </is>
      </c>
      <c r="D128" s="3" t="inlineStr">
        <is>
          <t>233</t>
        </is>
      </c>
      <c r="E128" s="3" t="inlineStr">
        <is>
          <t>2233</t>
        </is>
      </c>
      <c r="F128" s="3" t="inlineStr">
        <is>
          <t>000, 012, 014, 017, 025, 028, 035, 038, 040, 041... (100 số)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... (200 số)</t>
        </is>
      </c>
      <c r="J128" s="3" t="inlineStr">
        <is>
          <t>TRƯỢT ❌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64138</t>
        </is>
      </c>
      <c r="D129" s="3" t="inlineStr">
        <is>
          <t>138</t>
        </is>
      </c>
      <c r="E129" s="3" t="inlineStr">
        <is>
          <t>4138</t>
        </is>
      </c>
      <c r="F129" s="3" t="inlineStr">
        <is>
          <t>012, 014, 017, 023, 025, 028, 032, 033, 035, 037... (100 số)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... (200 số)</t>
        </is>
      </c>
      <c r="J129" s="3" t="inlineStr">
        <is>
          <t>TRƯỢT ❌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76669</t>
        </is>
      </c>
      <c r="D130" s="3" t="inlineStr">
        <is>
          <t>669</t>
        </is>
      </c>
      <c r="E130" s="3" t="inlineStr">
        <is>
          <t>6669</t>
        </is>
      </c>
      <c r="F130" s="3" t="inlineStr">
        <is>
          <t>017, 023, 028, 032, 033, 035, 037, 038, 039, 040... (100 số)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... (200 số)</t>
        </is>
      </c>
      <c r="J130" s="3" t="inlineStr">
        <is>
          <t>TRƯỢT ❌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67294</t>
        </is>
      </c>
      <c r="D131" s="3" t="inlineStr">
        <is>
          <t>294</t>
        </is>
      </c>
      <c r="E131" s="3" t="inlineStr">
        <is>
          <t>7294</t>
        </is>
      </c>
      <c r="F131" s="3" t="inlineStr">
        <is>
          <t>012, 014, 017, 023, 025, 028, 032, 033, 035, 037... (100 số)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... (200 số)</t>
        </is>
      </c>
      <c r="J131" s="3" t="inlineStr">
        <is>
          <t>TRƯỢT ❌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19404</t>
        </is>
      </c>
      <c r="D132" s="3" t="inlineStr">
        <is>
          <t>404</t>
        </is>
      </c>
      <c r="E132" s="3" t="inlineStr">
        <is>
          <t>9404</t>
        </is>
      </c>
      <c r="F132" s="3" t="inlineStr">
        <is>
          <t>014, 017, 023, 032, 033, 035, 037, 038, 039, 040... (100 số)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... (200 số)</t>
        </is>
      </c>
      <c r="J132" s="3" t="inlineStr">
        <is>
          <t>TRƯỢT ❌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96684</t>
        </is>
      </c>
      <c r="D133" s="3" t="inlineStr">
        <is>
          <t>684</t>
        </is>
      </c>
      <c r="E133" s="3" t="inlineStr">
        <is>
          <t>6684</t>
        </is>
      </c>
      <c r="F133" s="3" t="inlineStr">
        <is>
          <t>004, 012, 014, 017, 028, 037, 038, 040, 041, 043... (100 số)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... (200 số)</t>
        </is>
      </c>
      <c r="J133" s="3" t="inlineStr">
        <is>
          <t>TRƯỢT ❌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55361</t>
        </is>
      </c>
      <c r="D134" s="3" t="inlineStr">
        <is>
          <t>361</t>
        </is>
      </c>
      <c r="E134" s="3" t="inlineStr">
        <is>
          <t>5361</t>
        </is>
      </c>
      <c r="F134" s="3" t="inlineStr">
        <is>
          <t>004, 012, 014, 017, 023, 025, 028, 032, 033, 037... (100 số)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... (200 số)</t>
        </is>
      </c>
      <c r="J134" s="3" t="inlineStr">
        <is>
          <t>TRƯỢT ❌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81754</t>
        </is>
      </c>
      <c r="D135" s="3" t="inlineStr">
        <is>
          <t>754</t>
        </is>
      </c>
      <c r="E135" s="3" t="inlineStr">
        <is>
          <t>1754</t>
        </is>
      </c>
      <c r="F135" s="3" t="inlineStr">
        <is>
          <t>004, 012, 014, 017, 025, 037, 039, 040, 041, 047... (100 số)</t>
        </is>
      </c>
      <c r="G135" s="3" t="inlineStr">
        <is>
          <t>TRÚNG 🎯</t>
        </is>
      </c>
      <c r="H135" s="3" t="inlineStr">
        <is>
          <t>TRÚNG 🎯</t>
        </is>
      </c>
      <c r="I135" s="3" t="inlineStr">
        <is>
          <t>... (200 số)</t>
        </is>
      </c>
      <c r="J135" s="3" t="inlineStr">
        <is>
          <t>TRƯỢT ❌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88568</t>
        </is>
      </c>
      <c r="D136" s="3" t="inlineStr">
        <is>
          <t>568</t>
        </is>
      </c>
      <c r="E136" s="3" t="inlineStr">
        <is>
          <t>8568</t>
        </is>
      </c>
      <c r="F136" s="3" t="inlineStr">
        <is>
          <t>012, 014, 017, 023, 025, 028, 032, 037, 038, 041... (100 số)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... (200 số)</t>
        </is>
      </c>
      <c r="J136" s="3" t="inlineStr">
        <is>
          <t>TRƯỢT ❌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72685</t>
        </is>
      </c>
      <c r="D137" s="3" t="inlineStr">
        <is>
          <t>685</t>
        </is>
      </c>
      <c r="E137" s="3" t="inlineStr">
        <is>
          <t>2685</t>
        </is>
      </c>
      <c r="F137" s="3" t="inlineStr">
        <is>
          <t>004, 012, 014, 017, 023, 025, 028, 032, 039, 040... (100 số)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... (200 số)</t>
        </is>
      </c>
      <c r="J137" s="3" t="inlineStr">
        <is>
          <t>TRƯỢT ❌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72939</t>
        </is>
      </c>
      <c r="D138" s="3" t="inlineStr">
        <is>
          <t>939</t>
        </is>
      </c>
      <c r="E138" s="3" t="inlineStr">
        <is>
          <t>2939</t>
        </is>
      </c>
      <c r="F138" s="3" t="inlineStr">
        <is>
          <t>004, 014, 017, 023, 025, 028, 032, 033, 037, 038... (100 số)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... (200 số)</t>
        </is>
      </c>
      <c r="J138" s="3" t="inlineStr">
        <is>
          <t>TRƯỢT ❌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38021</t>
        </is>
      </c>
      <c r="D139" s="3" t="inlineStr">
        <is>
          <t>021</t>
        </is>
      </c>
      <c r="E139" s="3" t="inlineStr">
        <is>
          <t>8021</t>
        </is>
      </c>
      <c r="F139" s="3" t="inlineStr">
        <is>
          <t>004, 012, 017, 023, 025, 028, 032, 033, 037, 038... (100 số)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... (200 số)</t>
        </is>
      </c>
      <c r="J139" s="3" t="inlineStr">
        <is>
          <t>TRƯỢT ❌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20104</t>
        </is>
      </c>
      <c r="D140" s="3" t="inlineStr">
        <is>
          <t>104</t>
        </is>
      </c>
      <c r="E140" s="3" t="inlineStr">
        <is>
          <t>0104</t>
        </is>
      </c>
      <c r="F140" s="3" t="inlineStr">
        <is>
          <t>004, 012, 017, 021, 023, 025, 028, 032, 037, 038... (100 số)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... (200 số)</t>
        </is>
      </c>
      <c r="J140" s="3" t="inlineStr">
        <is>
          <t>TRƯỢT ❌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97281</t>
        </is>
      </c>
      <c r="D141" s="3" t="inlineStr">
        <is>
          <t>281</t>
        </is>
      </c>
      <c r="E141" s="3" t="inlineStr">
        <is>
          <t>7281</t>
        </is>
      </c>
      <c r="F141" s="3" t="inlineStr">
        <is>
          <t>004, 012, 017, 021, 023, 025, 028, 032, 038, 039... (100 số)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... (200 số)</t>
        </is>
      </c>
      <c r="J141" s="3" t="inlineStr">
        <is>
          <t>TRƯỢT ❌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49111</t>
        </is>
      </c>
      <c r="D142" s="3" t="inlineStr">
        <is>
          <t>111</t>
        </is>
      </c>
      <c r="E142" s="3" t="inlineStr">
        <is>
          <t>9111</t>
        </is>
      </c>
      <c r="F142" s="3" t="inlineStr">
        <is>
          <t>004, 023, 028, 032, 033, 037, 038, 039, 040, 041... (100 số)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... (200 số)</t>
        </is>
      </c>
      <c r="J142" s="3" t="inlineStr">
        <is>
          <t>TRƯỢT ❌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61513</t>
        </is>
      </c>
      <c r="D143" s="3" t="inlineStr">
        <is>
          <t>513</t>
        </is>
      </c>
      <c r="E143" s="3" t="inlineStr">
        <is>
          <t>1513</t>
        </is>
      </c>
      <c r="F143" s="3" t="inlineStr">
        <is>
          <t>004, 011, 012, 017, 021, 023, 025, 032, 033, 037... (100 số)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... (200 số)</t>
        </is>
      </c>
      <c r="J143" s="3" t="inlineStr">
        <is>
          <t>TRƯỢT ❌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00250</t>
        </is>
      </c>
      <c r="D144" s="3" t="inlineStr">
        <is>
          <t>250</t>
        </is>
      </c>
      <c r="E144" s="3" t="inlineStr">
        <is>
          <t>0250</t>
        </is>
      </c>
      <c r="F144" s="3" t="inlineStr">
        <is>
          <t>004, 011, 012, 013, 017, 021, 023, 025, 032, 037... (100 số)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... (200 số)</t>
        </is>
      </c>
      <c r="J144" s="3" t="inlineStr">
        <is>
          <t>TRƯỢT ❌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77954</t>
        </is>
      </c>
      <c r="D145" s="3" t="inlineStr">
        <is>
          <t>954</t>
        </is>
      </c>
      <c r="E145" s="3" t="inlineStr">
        <is>
          <t>7954</t>
        </is>
      </c>
      <c r="F145" s="3" t="inlineStr">
        <is>
          <t>004, 011, 012, 013, 017, 021, 025, 039, 040, 041... (100 số)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... (200 số)</t>
        </is>
      </c>
      <c r="J145" s="3" t="inlineStr">
        <is>
          <t>TRƯỢT ❌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17743</t>
        </is>
      </c>
      <c r="D146" s="3" t="inlineStr">
        <is>
          <t>743</t>
        </is>
      </c>
      <c r="E146" s="3" t="inlineStr">
        <is>
          <t>7743</t>
        </is>
      </c>
      <c r="F146" s="3" t="inlineStr">
        <is>
          <t>004, 011, 012, 013, 017, 021, 023, 032, 033, 037... (100 số)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... (200 số)</t>
        </is>
      </c>
      <c r="J146" s="3" t="inlineStr">
        <is>
          <t>TRƯỢT ❌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24042</t>
        </is>
      </c>
      <c r="D147" s="3" t="inlineStr">
        <is>
          <t>042</t>
        </is>
      </c>
      <c r="E147" s="3" t="inlineStr">
        <is>
          <t>4042</t>
        </is>
      </c>
      <c r="F147" s="3" t="inlineStr">
        <is>
          <t>004, 011, 012, 013, 017, 021, 025, 039, 040, 041... (100 số)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... (200 số)</t>
        </is>
      </c>
      <c r="J147" s="3" t="inlineStr">
        <is>
          <t>TRƯỢT ❌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90353</t>
        </is>
      </c>
      <c r="D148" s="3" t="inlineStr">
        <is>
          <t>353</t>
        </is>
      </c>
      <c r="E148" s="3" t="inlineStr">
        <is>
          <t>0353</t>
        </is>
      </c>
      <c r="F148" s="3" t="inlineStr">
        <is>
          <t>004, 011, 012, 013, 017, 021, 023, 032, 033, 037... (100 số)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... (200 số)</t>
        </is>
      </c>
      <c r="J148" s="3" t="inlineStr">
        <is>
          <t>TRƯỢT ❌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73823</t>
        </is>
      </c>
      <c r="D149" s="3" t="inlineStr">
        <is>
          <t>823</t>
        </is>
      </c>
      <c r="E149" s="3" t="inlineStr">
        <is>
          <t>3823</t>
        </is>
      </c>
      <c r="F149" s="3" t="inlineStr">
        <is>
          <t>004, 011, 012, 013, 017, 021, 023, 025, 037, 040... (100 số)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... (200 số)</t>
        </is>
      </c>
      <c r="J149" s="3" t="inlineStr">
        <is>
          <t>TRƯỢT ❌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02636</t>
        </is>
      </c>
      <c r="D150" s="3" t="inlineStr">
        <is>
          <t>636</t>
        </is>
      </c>
      <c r="E150" s="3" t="inlineStr">
        <is>
          <t>2636</t>
        </is>
      </c>
      <c r="F150" s="3" t="inlineStr">
        <is>
          <t>004, 012, 013, 017, 021, 023, 025, 033, 037, 038... (100 số)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... (200 số)</t>
        </is>
      </c>
      <c r="J150" s="3" t="inlineStr">
        <is>
          <t>TRƯỢT ❌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05583</t>
        </is>
      </c>
      <c r="D151" s="3" t="inlineStr">
        <is>
          <t>583</t>
        </is>
      </c>
      <c r="E151" s="3" t="inlineStr">
        <is>
          <t>5583</t>
        </is>
      </c>
      <c r="F151" s="3" t="inlineStr">
        <is>
          <t>004, 012, 013, 017, 021, 023, 025, 033, 036, 038... (100 số)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... (200 số)</t>
        </is>
      </c>
      <c r="J151" s="3" t="inlineStr">
        <is>
          <t>TRƯỢT ❌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74978</t>
        </is>
      </c>
      <c r="D152" s="3" t="inlineStr">
        <is>
          <t>978</t>
        </is>
      </c>
      <c r="E152" s="3" t="inlineStr">
        <is>
          <t>4978</t>
        </is>
      </c>
      <c r="F152" s="3" t="inlineStr">
        <is>
          <t>004, 011, 013, 017, 021, 023, 025, 033, 036, 038... (100 số)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... (200 số)</t>
        </is>
      </c>
      <c r="J152" s="3" t="inlineStr">
        <is>
          <t>TRƯỢT ❌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33465</t>
        </is>
      </c>
      <c r="D153" s="3" t="inlineStr">
        <is>
          <t>465</t>
        </is>
      </c>
      <c r="E153" s="3" t="inlineStr">
        <is>
          <t>3465</t>
        </is>
      </c>
      <c r="F153" s="3" t="inlineStr">
        <is>
          <t>004, 021, 023, 025, 036, 039, 040, 042, 043, 047... (100 số)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... (200 số)</t>
        </is>
      </c>
      <c r="J153" s="3" t="inlineStr">
        <is>
          <t>TRƯỢT ❌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15393</t>
        </is>
      </c>
      <c r="D154" s="3" t="inlineStr">
        <is>
          <t>393</t>
        </is>
      </c>
      <c r="E154" s="3" t="inlineStr">
        <is>
          <t>5393</t>
        </is>
      </c>
      <c r="F154" s="3" t="inlineStr">
        <is>
          <t>004, 013, 021, 023, 025, 033, 036, 038, 039, 042... (100 số)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... (200 số)</t>
        </is>
      </c>
      <c r="J154" s="3" t="inlineStr">
        <is>
          <t>TRƯỢT ❌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53505</t>
        </is>
      </c>
      <c r="D155" s="3" t="inlineStr">
        <is>
          <t>505</t>
        </is>
      </c>
      <c r="E155" s="3" t="inlineStr">
        <is>
          <t>3505</t>
        </is>
      </c>
      <c r="F155" s="3" t="inlineStr">
        <is>
          <t>004, 011, 013, 017, 021, 023, 025, 039, 042, 043... (100 số)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... (200 số)</t>
        </is>
      </c>
      <c r="J155" s="3" t="inlineStr">
        <is>
          <t>TRƯỢT ❌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07251</t>
        </is>
      </c>
      <c r="D156" s="3" t="inlineStr">
        <is>
          <t>251</t>
        </is>
      </c>
      <c r="E156" s="3" t="inlineStr">
        <is>
          <t>7251</t>
        </is>
      </c>
      <c r="F156" s="3" t="inlineStr">
        <is>
          <t>004, 005, 011, 013, 017, 021, 023, 033, 036, 038... (100 số)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... (200 số)</t>
        </is>
      </c>
      <c r="J156" s="3" t="inlineStr">
        <is>
          <t>TRƯỢT ❌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04308</t>
        </is>
      </c>
      <c r="D157" s="3" t="inlineStr">
        <is>
          <t>308</t>
        </is>
      </c>
      <c r="E157" s="3" t="inlineStr">
        <is>
          <t>4308</t>
        </is>
      </c>
      <c r="F157" s="3" t="inlineStr">
        <is>
          <t>004, 005, 011, 013, 017, 021, 039, 042, 043, 050... (100 số)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... (200 số)</t>
        </is>
      </c>
      <c r="J157" s="3" t="inlineStr">
        <is>
          <t>TRƯỢT ❌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99983</t>
        </is>
      </c>
      <c r="D158" s="3" t="inlineStr">
        <is>
          <t>983</t>
        </is>
      </c>
      <c r="E158" s="3" t="inlineStr">
        <is>
          <t>9983</t>
        </is>
      </c>
      <c r="F158" s="3" t="inlineStr">
        <is>
          <t>004, 005, 008, 011, 013, 017, 021, 023, 033, 036... (100 số)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... (200 số)</t>
        </is>
      </c>
      <c r="J158" s="3" t="inlineStr">
        <is>
          <t>TRƯỢT ❌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24889</t>
        </is>
      </c>
      <c r="D159" s="3" t="inlineStr">
        <is>
          <t>889</t>
        </is>
      </c>
      <c r="E159" s="3" t="inlineStr">
        <is>
          <t>4889</t>
        </is>
      </c>
      <c r="F159" s="3" t="inlineStr">
        <is>
          <t>004, 005, 008, 021, 023, 036, 039, 042, 043, 050... (100 số)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... (200 số)</t>
        </is>
      </c>
      <c r="J159" s="3" t="inlineStr">
        <is>
          <t>TRƯỢT ❌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60014</t>
        </is>
      </c>
      <c r="D160" s="3" t="inlineStr">
        <is>
          <t>014</t>
        </is>
      </c>
      <c r="E160" s="3" t="inlineStr">
        <is>
          <t>0014</t>
        </is>
      </c>
      <c r="F160" s="3" t="inlineStr">
        <is>
          <t>004, 008, 017, 021, 023, 036, 039, 042, 043, 054... (100 số)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... (200 số)</t>
        </is>
      </c>
      <c r="J160" s="3" t="inlineStr">
        <is>
          <t>TRƯỢT ❌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63000</t>
        </is>
      </c>
      <c r="D161" s="3" t="inlineStr">
        <is>
          <t>000</t>
        </is>
      </c>
      <c r="E161" s="3" t="inlineStr">
        <is>
          <t>3000</t>
        </is>
      </c>
      <c r="F161" s="3" t="inlineStr">
        <is>
          <t>004, 005, 008, 011, 013, 014, 017, 021, 023, 036... (100 số)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... (200 số)</t>
        </is>
      </c>
      <c r="J161" s="3" t="inlineStr">
        <is>
          <t>TRƯỢT ❌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71680</t>
        </is>
      </c>
      <c r="D162" s="3" t="inlineStr">
        <is>
          <t>680</t>
        </is>
      </c>
      <c r="E162" s="3" t="inlineStr">
        <is>
          <t>1680</t>
        </is>
      </c>
      <c r="F162" s="3" t="inlineStr">
        <is>
          <t>004, 008, 013, 014, 023, 036, 039, 042, 043, 053... (100 số)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... (200 số)</t>
        </is>
      </c>
      <c r="J162" s="3" t="inlineStr">
        <is>
          <t>TRƯỢT ❌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80384</t>
        </is>
      </c>
      <c r="D163" s="3" t="inlineStr">
        <is>
          <t>384</t>
        </is>
      </c>
      <c r="E163" s="3" t="inlineStr">
        <is>
          <t>0384</t>
        </is>
      </c>
      <c r="F163" s="3" t="inlineStr">
        <is>
          <t>000, 004, 005, 008, 017, 021, 023, 036, 042, 050... (100 số)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... (200 số)</t>
        </is>
      </c>
      <c r="J163" s="3" t="inlineStr">
        <is>
          <t>TRƯỢT ❌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71203</t>
        </is>
      </c>
      <c r="D164" s="3" t="inlineStr">
        <is>
          <t>203</t>
        </is>
      </c>
      <c r="E164" s="3" t="inlineStr">
        <is>
          <t>1203</t>
        </is>
      </c>
      <c r="F164" s="3" t="inlineStr">
        <is>
          <t>000, 004, 005, 008, 011, 013, 014, 017, 021, 039... (100 số)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... (200 số)</t>
        </is>
      </c>
      <c r="J164" s="3" t="inlineStr">
        <is>
          <t>TRƯỢT ❌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15032</t>
        </is>
      </c>
      <c r="D165" s="3" t="inlineStr">
        <is>
          <t>032</t>
        </is>
      </c>
      <c r="E165" s="3" t="inlineStr">
        <is>
          <t>5032</t>
        </is>
      </c>
      <c r="F165" s="3" t="inlineStr">
        <is>
          <t>011, 013, 014, 017, 021, 023, 036, 039, 042, 051... (100 số)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... (200 số)</t>
        </is>
      </c>
      <c r="J165" s="3" t="inlineStr">
        <is>
          <t>TRƯỢT ❌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63155</t>
        </is>
      </c>
      <c r="D166" s="3" t="inlineStr">
        <is>
          <t>155</t>
        </is>
      </c>
      <c r="E166" s="3" t="inlineStr">
        <is>
          <t>3155</t>
        </is>
      </c>
      <c r="F166" s="3" t="inlineStr">
        <is>
          <t>000, 003, 004, 005, 008, 013, 023, 032, 036, 039... (100 số)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... (200 số)</t>
        </is>
      </c>
      <c r="J166" s="3" t="inlineStr">
        <is>
          <t>TRƯỢT ❌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54860</t>
        </is>
      </c>
      <c r="D167" s="3" t="inlineStr">
        <is>
          <t>860</t>
        </is>
      </c>
      <c r="E167" s="3" t="inlineStr">
        <is>
          <t>4860</t>
        </is>
      </c>
      <c r="F167" s="3" t="inlineStr">
        <is>
          <t>000, 003, 004, 005, 008, 013, 014, 023, 032, 036... (100 số)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... (200 số)</t>
        </is>
      </c>
      <c r="J167" s="3" t="inlineStr">
        <is>
          <t>TRƯỢT ❌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28083</t>
        </is>
      </c>
      <c r="D168" s="3" t="inlineStr">
        <is>
          <t>083</t>
        </is>
      </c>
      <c r="E168" s="3" t="inlineStr">
        <is>
          <t>8083</t>
        </is>
      </c>
      <c r="F168" s="3" t="inlineStr">
        <is>
          <t>005, 008, 017, 036, 039, 050, 051, 053, 054, 055... (100 số)</t>
        </is>
      </c>
      <c r="G168" s="3" t="inlineStr">
        <is>
          <t>TRÚNG 🎯</t>
        </is>
      </c>
      <c r="H168" s="3" t="inlineStr">
        <is>
          <t>TRÚNG 🎯</t>
        </is>
      </c>
      <c r="I168" s="3" t="inlineStr">
        <is>
          <t>... (200 số)</t>
        </is>
      </c>
      <c r="J168" s="3" t="inlineStr">
        <is>
          <t>TRƯỢT ❌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62136</t>
        </is>
      </c>
      <c r="D169" s="3" t="inlineStr">
        <is>
          <t>136</t>
        </is>
      </c>
      <c r="E169" s="3" t="inlineStr">
        <is>
          <t>2136</t>
        </is>
      </c>
      <c r="F169" s="3" t="inlineStr">
        <is>
          <t>000, 003, 004, 005, 008, 011, 013, 014, 017, 021... (100 số)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... (200 số)</t>
        </is>
      </c>
      <c r="J169" s="3" t="inlineStr">
        <is>
          <t>TRƯỢT ❌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50437</t>
        </is>
      </c>
      <c r="D170" s="3" t="inlineStr">
        <is>
          <t>437</t>
        </is>
      </c>
      <c r="E170" s="3" t="inlineStr">
        <is>
          <t>0437</t>
        </is>
      </c>
      <c r="F170" s="3" t="inlineStr">
        <is>
          <t>003, 004, 005, 013, 014, 017, 023, 032, 036, 042... (100 số)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... (200 số)</t>
        </is>
      </c>
      <c r="J170" s="3" t="inlineStr">
        <is>
          <t>TRƯỢT ❌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52751</t>
        </is>
      </c>
      <c r="D171" s="3" t="inlineStr">
        <is>
          <t>751</t>
        </is>
      </c>
      <c r="E171" s="3" t="inlineStr">
        <is>
          <t>2751</t>
        </is>
      </c>
      <c r="F171" s="3" t="inlineStr">
        <is>
          <t>003, 008, 013, 023, 032, 036, 037, 042, 043, 053... (100 số)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... (200 số)</t>
        </is>
      </c>
      <c r="J171" s="3" t="inlineStr">
        <is>
          <t>TRƯỢT ❌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01816</t>
        </is>
      </c>
      <c r="D172" s="3" t="inlineStr">
        <is>
          <t>816</t>
        </is>
      </c>
      <c r="E172" s="3" t="inlineStr">
        <is>
          <t>1816</t>
        </is>
      </c>
      <c r="F172" s="3" t="inlineStr">
        <is>
          <t>004, 005, 008, 011, 013, 014, 023, 032, 036, 042... (100 số)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... (200 số)</t>
        </is>
      </c>
      <c r="J172" s="3" t="inlineStr">
        <is>
          <t>TRƯỢT ❌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54804</t>
        </is>
      </c>
      <c r="D173" s="3" t="inlineStr">
        <is>
          <t>804</t>
        </is>
      </c>
      <c r="E173" s="3" t="inlineStr">
        <is>
          <t>4804</t>
        </is>
      </c>
      <c r="F173" s="3" t="inlineStr">
        <is>
          <t>000, 003, 004, 005, 008, 013, 016, 023, 032, 036... (100 số)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... (200 số)</t>
        </is>
      </c>
      <c r="J173" s="3" t="inlineStr">
        <is>
          <t>TRƯỢT ❌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09253</t>
        </is>
      </c>
      <c r="D174" s="3" t="inlineStr">
        <is>
          <t>253</t>
        </is>
      </c>
      <c r="E174" s="3" t="inlineStr">
        <is>
          <t>9253</t>
        </is>
      </c>
      <c r="F174" s="3" t="inlineStr">
        <is>
          <t>000, 003, 004, 005, 008, 014, 023, 032, 036, 037... (100 số)</t>
        </is>
      </c>
      <c r="G174" s="3" t="inlineStr">
        <is>
          <t>TRÚNG 🎯</t>
        </is>
      </c>
      <c r="H174" s="3" t="inlineStr">
        <is>
          <t>TRÚNG 🎯</t>
        </is>
      </c>
      <c r="I174" s="3" t="inlineStr">
        <is>
          <t>... (200 số)</t>
        </is>
      </c>
      <c r="J174" s="3" t="inlineStr">
        <is>
          <t>TRƯỢT ❌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12452</t>
        </is>
      </c>
      <c r="D175" s="3" t="inlineStr">
        <is>
          <t>452</t>
        </is>
      </c>
      <c r="E175" s="3" t="inlineStr">
        <is>
          <t>2452</t>
        </is>
      </c>
      <c r="F175" s="3" t="inlineStr">
        <is>
          <t>004, 005, 008, 014, 016, 036, 042, 043, 051, 053... (100 số)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... (200 số)</t>
        </is>
      </c>
      <c r="J175" s="3" t="inlineStr">
        <is>
          <t>TRƯỢT ❌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37642</t>
        </is>
      </c>
      <c r="D176" s="3" t="inlineStr">
        <is>
          <t>642</t>
        </is>
      </c>
      <c r="E176" s="3" t="inlineStr">
        <is>
          <t>7642</t>
        </is>
      </c>
      <c r="F176" s="3" t="inlineStr">
        <is>
          <t>003, 004, 005, 008, 014, 016, 023, 032, 036, 037... (100 số)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... (200 số)</t>
        </is>
      </c>
      <c r="J176" s="3" t="inlineStr">
        <is>
          <t>TRƯỢT ❌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60468</t>
        </is>
      </c>
      <c r="D177" s="3" t="inlineStr">
        <is>
          <t>468</t>
        </is>
      </c>
      <c r="E177" s="3" t="inlineStr">
        <is>
          <t>0468</t>
        </is>
      </c>
      <c r="F177" s="3" t="inlineStr">
        <is>
          <t>000, 003, 004, 005, 008, 014, 023, 032, 036, 037... (100 số)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... (200 số)</t>
        </is>
      </c>
      <c r="J177" s="3" t="inlineStr">
        <is>
          <t>TRƯỢT ❌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31854</t>
        </is>
      </c>
      <c r="D178" s="3" t="inlineStr">
        <is>
          <t>854</t>
        </is>
      </c>
      <c r="E178" s="3" t="inlineStr">
        <is>
          <t>1854</t>
        </is>
      </c>
      <c r="F178" s="3" t="inlineStr">
        <is>
          <t>000, 003, 004, 005, 008, 014, 016, 023, 032, 036... (100 số)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... (200 số)</t>
        </is>
      </c>
      <c r="J178" s="3" t="inlineStr">
        <is>
          <t>TRƯỢT ❌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51139</t>
        </is>
      </c>
      <c r="D179" s="3" t="inlineStr">
        <is>
          <t>139</t>
        </is>
      </c>
      <c r="E179" s="3" t="inlineStr">
        <is>
          <t>1139</t>
        </is>
      </c>
      <c r="F179" s="3" t="inlineStr">
        <is>
          <t>000, 003, 004, 005, 008, 014, 016, 023, 032, 036... (100 số)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... (200 số)</t>
        </is>
      </c>
      <c r="J179" s="3" t="inlineStr">
        <is>
          <t>TRƯỢT ❌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18165</t>
        </is>
      </c>
      <c r="D180" s="3" t="inlineStr">
        <is>
          <t>165</t>
        </is>
      </c>
      <c r="E180" s="3" t="inlineStr">
        <is>
          <t>8165</t>
        </is>
      </c>
      <c r="F180" s="3" t="inlineStr">
        <is>
          <t>000, 003, 004, 005, 008, 023, 032, 036, 037, 039... (100 số)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... (200 số)</t>
        </is>
      </c>
      <c r="J180" s="3" t="inlineStr">
        <is>
          <t>TRƯỢT ❌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14887</t>
        </is>
      </c>
      <c r="D181" s="3" t="inlineStr">
        <is>
          <t>887</t>
        </is>
      </c>
      <c r="E181" s="3" t="inlineStr">
        <is>
          <t>4887</t>
        </is>
      </c>
      <c r="F181" s="3" t="inlineStr">
        <is>
          <t>000, 003, 004, 005, 008, 014, 016, 023, 032, 036... (100 số)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... (200 số)</t>
        </is>
      </c>
      <c r="J181" s="3" t="inlineStr">
        <is>
          <t>TRƯỢT ❌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66771</t>
        </is>
      </c>
      <c r="D182" s="3" t="inlineStr">
        <is>
          <t>771</t>
        </is>
      </c>
      <c r="E182" s="3" t="inlineStr">
        <is>
          <t>6771</t>
        </is>
      </c>
      <c r="F182" s="3" t="inlineStr">
        <is>
          <t>003, 004, 005, 008, 014, 016, 023, 032, 036, 037... (100 số)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... (200 số)</t>
        </is>
      </c>
      <c r="J182" s="3" t="inlineStr">
        <is>
          <t>TRƯỢT ❌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43497</t>
        </is>
      </c>
      <c r="D183" s="3" t="inlineStr">
        <is>
          <t>497</t>
        </is>
      </c>
      <c r="E183" s="3" t="inlineStr">
        <is>
          <t>3497</t>
        </is>
      </c>
      <c r="F183" s="3" t="inlineStr">
        <is>
          <t>000, 003, 004, 005, 008, 016, 023, 032, 036, 037... (100 số)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... (200 số)</t>
        </is>
      </c>
      <c r="J183" s="3" t="inlineStr">
        <is>
          <t>TRƯỢT ❌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92579</t>
        </is>
      </c>
      <c r="D184" s="3" t="inlineStr">
        <is>
          <t>579</t>
        </is>
      </c>
      <c r="E184" s="3" t="inlineStr">
        <is>
          <t>2579</t>
        </is>
      </c>
      <c r="F184" s="3" t="inlineStr">
        <is>
          <t>000, 003, 004, 005, 008, 023, 032, 036, 037, 039... (100 số)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... (200 số)</t>
        </is>
      </c>
      <c r="J184" s="3" t="inlineStr">
        <is>
          <t>TRƯỢT ❌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95089</t>
        </is>
      </c>
      <c r="D185" s="3" t="inlineStr">
        <is>
          <t>089</t>
        </is>
      </c>
      <c r="E185" s="3" t="inlineStr">
        <is>
          <t>5089</t>
        </is>
      </c>
      <c r="F185" s="3" t="inlineStr">
        <is>
          <t>000, 003, 004, 005, 008, 014, 016, 023, 032, 036... (100 số)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... (200 số)</t>
        </is>
      </c>
      <c r="J185" s="3" t="inlineStr">
        <is>
          <t>TRƯỢT ❌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69185</t>
        </is>
      </c>
      <c r="D186" s="3" t="inlineStr">
        <is>
          <t>185</t>
        </is>
      </c>
      <c r="E186" s="3" t="inlineStr">
        <is>
          <t>9185</t>
        </is>
      </c>
      <c r="F186" s="3" t="inlineStr">
        <is>
          <t>000, 003, 004, 008, 014, 016, 023, 032, 039, 042... (100 số)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... (200 số)</t>
        </is>
      </c>
      <c r="J186" s="3" t="inlineStr">
        <is>
          <t>TRƯỢT ❌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72767</t>
        </is>
      </c>
      <c r="D187" s="3" t="inlineStr">
        <is>
          <t>767</t>
        </is>
      </c>
      <c r="E187" s="3" t="inlineStr">
        <is>
          <t>2767</t>
        </is>
      </c>
      <c r="F187" s="3" t="inlineStr">
        <is>
          <t>000, 003, 004, 008, 014, 032, 036, 037, 039, 042... (100 số)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... (200 số)</t>
        </is>
      </c>
      <c r="J187" s="3" t="inlineStr">
        <is>
          <t>TRƯỢT ❌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09401</t>
        </is>
      </c>
      <c r="D188" s="3" t="inlineStr">
        <is>
          <t>401</t>
        </is>
      </c>
      <c r="E188" s="3" t="inlineStr">
        <is>
          <t>9401</t>
        </is>
      </c>
      <c r="F188" s="3" t="inlineStr">
        <is>
          <t>000, 003, 004, 014, 016, 032, 036, 037, 039, 042... (100 số)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... (200 số)</t>
        </is>
      </c>
      <c r="J188" s="3" t="inlineStr">
        <is>
          <t>TRƯỢT ❌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10494</t>
        </is>
      </c>
      <c r="D189" s="3" t="inlineStr">
        <is>
          <t>494</t>
        </is>
      </c>
      <c r="E189" s="3" t="inlineStr">
        <is>
          <t>0494</t>
        </is>
      </c>
      <c r="F189" s="3" t="inlineStr">
        <is>
          <t>000, 001, 003, 004, 016, 032, 036, 037, 039, 042... (100 số)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... (200 số)</t>
        </is>
      </c>
      <c r="J189" s="3" t="inlineStr">
        <is>
          <t>TRƯỢT ❌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74299</t>
        </is>
      </c>
      <c r="D190" s="3" t="inlineStr">
        <is>
          <t>299</t>
        </is>
      </c>
      <c r="E190" s="3" t="inlineStr">
        <is>
          <t>4299</t>
        </is>
      </c>
      <c r="F190" s="3" t="inlineStr">
        <is>
          <t>000, 004, 014, 032, 036, 037, 039, 042, 051, 053... (100 số)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... (200 số)</t>
        </is>
      </c>
      <c r="J190" s="3" t="inlineStr">
        <is>
          <t>TRƯỢT ❌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59147</t>
        </is>
      </c>
      <c r="D191" s="3" t="inlineStr">
        <is>
          <t>147</t>
        </is>
      </c>
      <c r="E191" s="3" t="inlineStr">
        <is>
          <t>9147</t>
        </is>
      </c>
      <c r="F191" s="3" t="inlineStr">
        <is>
          <t>000, 001, 003, 004, 016, 036, 037, 039, 051, 052... (100 số)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... (200 số)</t>
        </is>
      </c>
      <c r="J191" s="3" t="inlineStr">
        <is>
          <t>TRƯỢT ❌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36119</t>
        </is>
      </c>
      <c r="D192" s="3" t="inlineStr">
        <is>
          <t>119</t>
        </is>
      </c>
      <c r="E192" s="3" t="inlineStr">
        <is>
          <t>6119</t>
        </is>
      </c>
      <c r="F192" s="3" t="inlineStr">
        <is>
          <t>001, 003, 004, 032, 036, 037, 039, 047, 051, 053... (100 số)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... (200 số)</t>
        </is>
      </c>
      <c r="J192" s="3" t="inlineStr">
        <is>
          <t>TRƯỢT ❌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96763</t>
        </is>
      </c>
      <c r="D193" s="3" t="inlineStr">
        <is>
          <t>763</t>
        </is>
      </c>
      <c r="E193" s="3" t="inlineStr">
        <is>
          <t>6763</t>
        </is>
      </c>
      <c r="F193" s="3" t="inlineStr">
        <is>
          <t>001, 003, 004, 019, 032, 036, 037, 039, 042, 047... (100 số)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... (200 số)</t>
        </is>
      </c>
      <c r="J193" s="3" t="inlineStr">
        <is>
          <t>TRƯỢT ❌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45739</t>
        </is>
      </c>
      <c r="D194" s="3" t="inlineStr">
        <is>
          <t>739</t>
        </is>
      </c>
      <c r="E194" s="3" t="inlineStr">
        <is>
          <t>5739</t>
        </is>
      </c>
      <c r="F194" s="3" t="inlineStr">
        <is>
          <t>001, 003, 004, 016, 019, 036, 039, 042, 047, 051... (100 số)</t>
        </is>
      </c>
      <c r="G194" s="3" t="inlineStr">
        <is>
          <t>TRÚNG 🎯</t>
        </is>
      </c>
      <c r="H194" s="3" t="inlineStr">
        <is>
          <t>TRÚNG 🎯</t>
        </is>
      </c>
      <c r="I194" s="3" t="inlineStr">
        <is>
          <t>... (200 số)</t>
        </is>
      </c>
      <c r="J194" s="3" t="inlineStr">
        <is>
          <t>TRƯỢT ❌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26890</t>
        </is>
      </c>
      <c r="D195" s="3" t="inlineStr">
        <is>
          <t>890</t>
        </is>
      </c>
      <c r="E195" s="3" t="inlineStr">
        <is>
          <t>6890</t>
        </is>
      </c>
      <c r="F195" s="3" t="inlineStr">
        <is>
          <t>001, 004, 016, 019, 032, 036, 037, 039, 042, 047... (100 số)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... (200 số)</t>
        </is>
      </c>
      <c r="J195" s="3" t="inlineStr">
        <is>
          <t>TRƯỢT ❌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46438</t>
        </is>
      </c>
      <c r="D196" s="3" t="inlineStr">
        <is>
          <t>438</t>
        </is>
      </c>
      <c r="E196" s="3" t="inlineStr">
        <is>
          <t>6438</t>
        </is>
      </c>
      <c r="F196" s="3" t="inlineStr">
        <is>
          <t>001, 004, 016, 019, 036, 039, 051, 054, 060, 063... (100 số)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... (200 số)</t>
        </is>
      </c>
      <c r="J196" s="3" t="inlineStr">
        <is>
          <t>TRƯỢT ❌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39128</t>
        </is>
      </c>
      <c r="D197" s="3" t="inlineStr">
        <is>
          <t>128</t>
        </is>
      </c>
      <c r="E197" s="3" t="inlineStr">
        <is>
          <t>9128</t>
        </is>
      </c>
      <c r="F197" s="3" t="inlineStr">
        <is>
          <t>001, 016, 019, 036, 037, 038, 039, 042, 047, 051... (100 số)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... (200 số)</t>
        </is>
      </c>
      <c r="J197" s="3" t="inlineStr">
        <is>
          <t>TRƯỢT ❌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73070</t>
        </is>
      </c>
      <c r="D198" s="3" t="inlineStr">
        <is>
          <t>070</t>
        </is>
      </c>
      <c r="E198" s="3" t="inlineStr">
        <is>
          <t>3070</t>
        </is>
      </c>
      <c r="F198" s="3" t="inlineStr">
        <is>
          <t>001, 004, 016, 019, 028, 036, 037, 038, 039, 042... (100 số)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... (200 số)</t>
        </is>
      </c>
      <c r="J198" s="3" t="inlineStr">
        <is>
          <t>TRƯỢT ❌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92154</t>
        </is>
      </c>
      <c r="D199" s="3" t="inlineStr">
        <is>
          <t>154</t>
        </is>
      </c>
      <c r="E199" s="3" t="inlineStr">
        <is>
          <t>2154</t>
        </is>
      </c>
      <c r="F199" s="3" t="inlineStr">
        <is>
          <t>001, 004, 019, 028, 036, 037, 038, 039, 042, 047... (100 số)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... (200 số)</t>
        </is>
      </c>
      <c r="J199" s="3" t="inlineStr">
        <is>
          <t>TRƯỢT ❌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78754</t>
        </is>
      </c>
      <c r="D200" s="3" t="inlineStr">
        <is>
          <t>754</t>
        </is>
      </c>
      <c r="E200" s="3" t="inlineStr">
        <is>
          <t>8754</t>
        </is>
      </c>
      <c r="F200" s="3" t="inlineStr">
        <is>
          <t>001, 004, 016, 019, 028, 039, 042, 047, 051, 052... (100 số)</t>
        </is>
      </c>
      <c r="G200" s="3" t="inlineStr">
        <is>
          <t>TRÚNG 🎯</t>
        </is>
      </c>
      <c r="H200" s="3" t="inlineStr">
        <is>
          <t>TRÚNG 🎯</t>
        </is>
      </c>
      <c r="I200" s="3" t="inlineStr">
        <is>
          <t>... (200 số)</t>
        </is>
      </c>
      <c r="J200" s="3" t="inlineStr">
        <is>
          <t>TRƯỢT ❌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94738</t>
        </is>
      </c>
      <c r="D201" s="3" t="inlineStr">
        <is>
          <t>738</t>
        </is>
      </c>
      <c r="E201" s="3" t="inlineStr">
        <is>
          <t>4738</t>
        </is>
      </c>
      <c r="F201" s="3" t="inlineStr">
        <is>
          <t>016, 019, 036, 038, 039, 047, 051, 052, 053, 054... (100 số)</t>
        </is>
      </c>
      <c r="G201" s="3" t="inlineStr">
        <is>
          <t>TRÚNG 🎯</t>
        </is>
      </c>
      <c r="H201" s="3" t="inlineStr">
        <is>
          <t>TRÚNG 🎯</t>
        </is>
      </c>
      <c r="I201" s="3" t="inlineStr">
        <is>
          <t>... (200 số)</t>
        </is>
      </c>
      <c r="J201" s="3" t="inlineStr">
        <is>
          <t>TRƯỢT ❌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89228</t>
        </is>
      </c>
      <c r="D202" s="3" t="inlineStr">
        <is>
          <t>228</t>
        </is>
      </c>
      <c r="E202" s="3" t="inlineStr">
        <is>
          <t>9228</t>
        </is>
      </c>
      <c r="F202" s="3" t="inlineStr">
        <is>
          <t>001, 004, 016, 028, 036, 038, 039, 042, 047, 051... (100 số)</t>
        </is>
      </c>
      <c r="G202" s="3" t="inlineStr">
        <is>
          <t>TRÚNG 🎯</t>
        </is>
      </c>
      <c r="H202" s="3" t="inlineStr">
        <is>
          <t>TRÚNG 🎯</t>
        </is>
      </c>
      <c r="I202" s="3" t="inlineStr">
        <is>
          <t>... (200 số)</t>
        </is>
      </c>
      <c r="J202" s="3" t="inlineStr">
        <is>
          <t>TRƯỢT ❌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42916</t>
        </is>
      </c>
      <c r="D203" s="3" t="inlineStr">
        <is>
          <t>916</t>
        </is>
      </c>
      <c r="E203" s="3" t="inlineStr">
        <is>
          <t>2916</t>
        </is>
      </c>
      <c r="F203" s="3" t="inlineStr">
        <is>
          <t>001, 004, 019, 028, 036, 038, 039, 042, 051, 052... (100 số)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... (200 số)</t>
        </is>
      </c>
      <c r="J203" s="3" t="inlineStr">
        <is>
          <t>TRƯỢT ❌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54796</t>
        </is>
      </c>
      <c r="D204" s="3" t="inlineStr">
        <is>
          <t>796</t>
        </is>
      </c>
      <c r="E204" s="3" t="inlineStr">
        <is>
          <t>4796</t>
        </is>
      </c>
      <c r="F204" s="3" t="inlineStr">
        <is>
          <t>001, 016, 028, 036, 038, 039, 042, 047, 051, 052... (100 số)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... (200 số)</t>
        </is>
      </c>
      <c r="J204" s="3" t="inlineStr">
        <is>
          <t>TRƯỢT ❌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65000</t>
        </is>
      </c>
      <c r="D205" s="3" t="inlineStr">
        <is>
          <t>000</t>
        </is>
      </c>
      <c r="E205" s="3" t="inlineStr">
        <is>
          <t>5000</t>
        </is>
      </c>
      <c r="F205" s="3" t="inlineStr">
        <is>
          <t>019, 028, 038, 039, 042, 047, 051, 052, 053, 054... (100 số)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... (200 số)</t>
        </is>
      </c>
      <c r="J205" s="3" t="inlineStr">
        <is>
          <t>TRƯỢT ❌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39983</t>
        </is>
      </c>
      <c r="D206" s="3" t="inlineStr">
        <is>
          <t>983</t>
        </is>
      </c>
      <c r="E206" s="3" t="inlineStr">
        <is>
          <t>9983</t>
        </is>
      </c>
      <c r="F206" s="3" t="inlineStr">
        <is>
          <t>000, 001, 016, 028, 036, 038, 039, 042, 047, 051... (100 số)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... (200 số)</t>
        </is>
      </c>
      <c r="J206" s="3" t="inlineStr">
        <is>
          <t>TRƯỢT ❌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50834</t>
        </is>
      </c>
      <c r="D207" s="3" t="inlineStr">
        <is>
          <t>834</t>
        </is>
      </c>
      <c r="E207" s="3" t="inlineStr">
        <is>
          <t>0834</t>
        </is>
      </c>
      <c r="F207" s="3" t="inlineStr">
        <is>
          <t>001, 016, 019, 028, 036, 038, 039, 042, 047, 051... (100 số)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... (200 số)</t>
        </is>
      </c>
      <c r="J207" s="3" t="inlineStr">
        <is>
          <t>TRƯỢT ❌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41710</t>
        </is>
      </c>
      <c r="D208" s="3" t="inlineStr">
        <is>
          <t>710</t>
        </is>
      </c>
      <c r="E208" s="3" t="inlineStr">
        <is>
          <t>1710</t>
        </is>
      </c>
      <c r="F208" s="3" t="inlineStr">
        <is>
          <t>000, 001, 016, 019, 028, 034, 036, 038, 039, 053... (100 số)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... (200 số)</t>
        </is>
      </c>
      <c r="J208" s="3" t="inlineStr">
        <is>
          <t>TRƯỢT ❌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44823</t>
        </is>
      </c>
      <c r="D209" s="3" t="inlineStr">
        <is>
          <t>823</t>
        </is>
      </c>
      <c r="E209" s="3" t="inlineStr">
        <is>
          <t>4823</t>
        </is>
      </c>
      <c r="F209" s="3" t="inlineStr">
        <is>
          <t>000, 001, 010, 016, 019, 028, 034, 036, 038, 039... (100 số)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... (200 số)</t>
        </is>
      </c>
      <c r="J209" s="3" t="inlineStr">
        <is>
          <t>TRƯỢT ❌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11909</t>
        </is>
      </c>
      <c r="D210" s="3" t="inlineStr">
        <is>
          <t>909</t>
        </is>
      </c>
      <c r="E210" s="3" t="inlineStr">
        <is>
          <t>1909</t>
        </is>
      </c>
      <c r="F210" s="3" t="inlineStr">
        <is>
          <t>000, 001, 010, 016, 019, 023, 028, 036, 038, 039... (100 số)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... (200 số)</t>
        </is>
      </c>
      <c r="J210" s="3" t="inlineStr">
        <is>
          <t>TRƯỢT ❌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79247</t>
        </is>
      </c>
      <c r="D211" s="3" t="inlineStr">
        <is>
          <t>247</t>
        </is>
      </c>
      <c r="E211" s="3" t="inlineStr">
        <is>
          <t>9247</t>
        </is>
      </c>
      <c r="F211" s="3" t="inlineStr">
        <is>
          <t>000, 001, 009, 010, 016, 019, 023, 028, 034, 038... (100 số)</t>
        </is>
      </c>
      <c r="G211" s="3" t="inlineStr">
        <is>
          <t>TRÚNG 🎯</t>
        </is>
      </c>
      <c r="H211" s="3" t="inlineStr">
        <is>
          <t>TRÚNG 🎯</t>
        </is>
      </c>
      <c r="I211" s="3" t="inlineStr">
        <is>
          <t>... (200 số)</t>
        </is>
      </c>
      <c r="J211" s="3" t="inlineStr">
        <is>
          <t>TRƯỢT ❌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51125</t>
        </is>
      </c>
      <c r="D212" s="3" t="inlineStr">
        <is>
          <t>125</t>
        </is>
      </c>
      <c r="E212" s="3" t="inlineStr">
        <is>
          <t>1125</t>
        </is>
      </c>
      <c r="F212" s="3" t="inlineStr">
        <is>
          <t>000, 001, 009, 010, 016, 019, 023, 028, 034, 038... (100 số)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... (200 số)</t>
        </is>
      </c>
      <c r="J212" s="3" t="inlineStr">
        <is>
          <t>TRƯỢT ❌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59760</t>
        </is>
      </c>
      <c r="D213" s="3" t="inlineStr">
        <is>
          <t>760</t>
        </is>
      </c>
      <c r="E213" s="3" t="inlineStr">
        <is>
          <t>9760</t>
        </is>
      </c>
      <c r="F213" s="3" t="inlineStr">
        <is>
          <t>000, 004, 016, 023, 025, 028, 034, 038, 039, 042... (100 số)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... (200 số)</t>
        </is>
      </c>
      <c r="J213" s="3" t="inlineStr">
        <is>
          <t>TRƯỢT ❌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26167</t>
        </is>
      </c>
      <c r="D214" s="3" t="inlineStr">
        <is>
          <t>167</t>
        </is>
      </c>
      <c r="E214" s="3" t="inlineStr">
        <is>
          <t>6167</t>
        </is>
      </c>
      <c r="F214" s="3" t="inlineStr">
        <is>
          <t>001, 009, 010, 016, 019, 023, 025, 028, 034, 038... (100 số)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... (200 số)</t>
        </is>
      </c>
      <c r="J214" s="3" t="inlineStr">
        <is>
          <t>TRƯỢT ❌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16479</t>
        </is>
      </c>
      <c r="D215" s="3" t="inlineStr">
        <is>
          <t>479</t>
        </is>
      </c>
      <c r="E215" s="3" t="inlineStr">
        <is>
          <t>6479</t>
        </is>
      </c>
      <c r="F215" s="3" t="inlineStr">
        <is>
          <t>009, 016, 019, 023, 025, 028, 034, 038, 039, 047... (100 số)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... (200 số)</t>
        </is>
      </c>
      <c r="J215" s="3" t="inlineStr">
        <is>
          <t>TRƯỢT ❌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04922</t>
        </is>
      </c>
      <c r="D216" s="3" t="inlineStr">
        <is>
          <t>922</t>
        </is>
      </c>
      <c r="E216" s="3" t="inlineStr">
        <is>
          <t>4922</t>
        </is>
      </c>
      <c r="F216" s="3" t="inlineStr">
        <is>
          <t>000, 001, 009, 010, 016, 019, 028, 034, 038, 047... (100 số)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... (200 số)</t>
        </is>
      </c>
      <c r="J216" s="3" t="inlineStr">
        <is>
          <t>TRƯỢT ❌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12221</t>
        </is>
      </c>
      <c r="D217" s="3" t="inlineStr">
        <is>
          <t>221</t>
        </is>
      </c>
      <c r="E217" s="3" t="inlineStr">
        <is>
          <t>2221</t>
        </is>
      </c>
      <c r="F217" s="3" t="inlineStr">
        <is>
          <t>000, 001, 009, 010, 019, 025, 028, 038, 039, 047... (100 số)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... (200 số)</t>
        </is>
      </c>
      <c r="J217" s="3" t="inlineStr">
        <is>
          <t>TRƯỢT ❌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92957</t>
        </is>
      </c>
      <c r="D218" s="3" t="inlineStr">
        <is>
          <t>957</t>
        </is>
      </c>
      <c r="E218" s="3" t="inlineStr">
        <is>
          <t>2957</t>
        </is>
      </c>
      <c r="F218" s="3" t="inlineStr">
        <is>
          <t>001, 009, 010, 016, 019, 021, 022, 023, 025, 028... (100 số)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... (200 số)</t>
        </is>
      </c>
      <c r="J218" s="3" t="inlineStr">
        <is>
          <t>TRƯỢT ❌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92191</t>
        </is>
      </c>
      <c r="D219" s="3" t="inlineStr">
        <is>
          <t>191</t>
        </is>
      </c>
      <c r="E219" s="3" t="inlineStr">
        <is>
          <t>2191</t>
        </is>
      </c>
      <c r="F219" s="3" t="inlineStr">
        <is>
          <t>000, 009, 010, 016, 019, 021, 022, 023, 025, 028... (100 số)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... (200 số)</t>
        </is>
      </c>
      <c r="J219" s="3" t="inlineStr">
        <is>
          <t>TRƯỢT ❌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82326</t>
        </is>
      </c>
      <c r="D220" s="3" t="inlineStr">
        <is>
          <t>326</t>
        </is>
      </c>
      <c r="E220" s="3" t="inlineStr">
        <is>
          <t>2326</t>
        </is>
      </c>
      <c r="F220" s="3" t="inlineStr">
        <is>
          <t>000, 009, 010, 019, 021, 022, 023, 025, 028, 034... (100 số)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... (200 số)</t>
        </is>
      </c>
      <c r="J220" s="3" t="inlineStr">
        <is>
          <t>TRƯỢT ❌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79344</t>
        </is>
      </c>
      <c r="D221" s="3" t="inlineStr">
        <is>
          <t>344</t>
        </is>
      </c>
      <c r="E221" s="3" t="inlineStr">
        <is>
          <t>9344</t>
        </is>
      </c>
      <c r="F221" s="3" t="inlineStr">
        <is>
          <t>000, 009, 010, 016, 019, 021, 022, 023, 025, 026... (100 số)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... (200 số)</t>
        </is>
      </c>
      <c r="J221" s="3" t="inlineStr">
        <is>
          <t>TRƯỢT ❌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80018</t>
        </is>
      </c>
      <c r="D222" s="3" t="inlineStr">
        <is>
          <t>018</t>
        </is>
      </c>
      <c r="E222" s="3" t="inlineStr">
        <is>
          <t>0018</t>
        </is>
      </c>
      <c r="F222" s="3" t="inlineStr">
        <is>
          <t>009, 010, 016, 019, 021, 022, 023, 025, 026, 028... (100 số)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... (200 số)</t>
        </is>
      </c>
      <c r="J222" s="3" t="inlineStr">
        <is>
          <t>TRƯỢT ❌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80278</t>
        </is>
      </c>
      <c r="D223" s="3" t="inlineStr">
        <is>
          <t>278</t>
        </is>
      </c>
      <c r="E223" s="3" t="inlineStr">
        <is>
          <t>0278</t>
        </is>
      </c>
      <c r="F223" s="3" t="inlineStr">
        <is>
          <t>009, 016, 023, 025, 026, 028, 034, 038, 039, 044... (100 số)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... (200 số)</t>
        </is>
      </c>
      <c r="J223" s="3" t="inlineStr">
        <is>
          <t>TRƯỢT ❌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14696</t>
        </is>
      </c>
      <c r="D224" s="3" t="inlineStr">
        <is>
          <t>696</t>
        </is>
      </c>
      <c r="E224" s="3" t="inlineStr">
        <is>
          <t>4696</t>
        </is>
      </c>
      <c r="F224" s="3" t="inlineStr">
        <is>
          <t>000, 009, 010, 016, 021, 022, 023, 025, 026, 028... (100 số)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... (200 số)</t>
        </is>
      </c>
      <c r="J224" s="3" t="inlineStr">
        <is>
          <t>TRƯỢT ❌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01939</t>
        </is>
      </c>
      <c r="D225" s="3" t="inlineStr">
        <is>
          <t>939</t>
        </is>
      </c>
      <c r="E225" s="3" t="inlineStr">
        <is>
          <t>1939</t>
        </is>
      </c>
      <c r="F225" s="3" t="inlineStr">
        <is>
          <t>009, 018, 021, 022, 023, 025, 026, 028, 034, 038... (100 số)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... (200 số)</t>
        </is>
      </c>
      <c r="J225" s="3" t="inlineStr">
        <is>
          <t>TRƯỢT ❌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29183</t>
        </is>
      </c>
      <c r="D226" s="3" t="inlineStr">
        <is>
          <t>183</t>
        </is>
      </c>
      <c r="E226" s="3" t="inlineStr">
        <is>
          <t>9183</t>
        </is>
      </c>
      <c r="F226" s="3" t="inlineStr">
        <is>
          <t>009, 010, 016, 018, 021, 026, 028, 038, 039, 047... (100 số)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... (200 số)</t>
        </is>
      </c>
      <c r="J226" s="3" t="inlineStr">
        <is>
          <t>TRƯỢT ❌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13643</t>
        </is>
      </c>
      <c r="D227" s="3" t="inlineStr">
        <is>
          <t>643</t>
        </is>
      </c>
      <c r="E227" s="3" t="inlineStr">
        <is>
          <t>3643</t>
        </is>
      </c>
      <c r="F227" s="3" t="inlineStr">
        <is>
          <t>000, 009, 010, 016, 018, 021, 022, 023, 025, 026... (100 số)</t>
        </is>
      </c>
      <c r="G227" s="3" t="inlineStr">
        <is>
          <t>TRƯỢT ❌</t>
        </is>
      </c>
      <c r="H227" s="3" t="inlineStr">
        <is>
          <t>TRƯỢT ❌</t>
        </is>
      </c>
      <c r="I227" s="3" t="inlineStr">
        <is>
          <t>... (200 số)</t>
        </is>
      </c>
      <c r="J227" s="3" t="inlineStr">
        <is>
          <t>TRƯỢT ❌</t>
        </is>
      </c>
    </row>
    <row r="228">
      <c r="A228" s="2" t="n">
        <v>227</v>
      </c>
      <c r="B228" s="2" t="inlineStr">
        <is>
          <t>Thứ tư ngày 19-08-2026</t>
        </is>
      </c>
      <c r="C228" s="3" t="inlineStr">
        <is>
          <t>07523</t>
        </is>
      </c>
      <c r="D228" s="3" t="inlineStr">
        <is>
          <t>523</t>
        </is>
      </c>
      <c r="E228" s="3" t="inlineStr">
        <is>
          <t>7523</t>
        </is>
      </c>
      <c r="F228" s="3" t="inlineStr">
        <is>
          <t>009, 010, 016, 018, 021, 023, 025, 034, 038, 039... (100 số)</t>
        </is>
      </c>
      <c r="G228" s="3" t="inlineStr">
        <is>
          <t>TRÚNG 🎯</t>
        </is>
      </c>
      <c r="H228" s="3" t="inlineStr">
        <is>
          <t>TRÚNG 🎯</t>
        </is>
      </c>
      <c r="I228" s="3" t="inlineStr">
        <is>
          <t>... (200 số)</t>
        </is>
      </c>
      <c r="J228" s="3" t="inlineStr">
        <is>
          <t>TRƯỢT ❌</t>
        </is>
      </c>
    </row>
    <row r="229">
      <c r="A229" s="2" t="n">
        <v>228</v>
      </c>
      <c r="B229" s="2" t="inlineStr">
        <is>
          <t>Thứ năm ngày 20-08-2026</t>
        </is>
      </c>
      <c r="C229" s="3" t="inlineStr">
        <is>
          <t>94533</t>
        </is>
      </c>
      <c r="D229" s="3" t="inlineStr">
        <is>
          <t>533</t>
        </is>
      </c>
      <c r="E229" s="3" t="inlineStr">
        <is>
          <t>4533</t>
        </is>
      </c>
      <c r="F229" s="3" t="inlineStr">
        <is>
          <t>000, 009, 010, 018, 023, 028, 034, 038, 039, 043... (100 số)</t>
        </is>
      </c>
      <c r="G229" s="3" t="inlineStr">
        <is>
          <t>TRƯỢT ❌</t>
        </is>
      </c>
      <c r="H229" s="3" t="inlineStr">
        <is>
          <t>TRƯỢT ❌</t>
        </is>
      </c>
      <c r="I229" s="3" t="inlineStr">
        <is>
          <t>... (200 số)</t>
        </is>
      </c>
      <c r="J229" s="3" t="inlineStr">
        <is>
          <t>TRƯỢT ❌</t>
        </is>
      </c>
    </row>
    <row r="230">
      <c r="A230" s="2" t="n">
        <v>229</v>
      </c>
      <c r="B230" s="2" t="inlineStr">
        <is>
          <t>Thứ sáu ngày 21-08-2026</t>
        </is>
      </c>
      <c r="C230" s="3" t="inlineStr">
        <is>
          <t>60213</t>
        </is>
      </c>
      <c r="D230" s="3" t="inlineStr">
        <is>
          <t>213</t>
        </is>
      </c>
      <c r="E230" s="3" t="inlineStr">
        <is>
          <t>0213</t>
        </is>
      </c>
      <c r="F230" s="3" t="inlineStr">
        <is>
          <t>009, 016, 023, 025, 026, 033, 034, 038, 039, 043... (100 số)</t>
        </is>
      </c>
      <c r="G230" s="3" t="inlineStr">
        <is>
          <t>TRƯỢT ❌</t>
        </is>
      </c>
      <c r="H230" s="3" t="inlineStr">
        <is>
          <t>TRƯỢT ❌</t>
        </is>
      </c>
      <c r="I230" s="3" t="inlineStr">
        <is>
          <t>... (200 số)</t>
        </is>
      </c>
      <c r="J230" s="3" t="inlineStr">
        <is>
          <t>TRƯỢT ❌</t>
        </is>
      </c>
    </row>
    <row r="231">
      <c r="A231" s="2" t="n">
        <v>230</v>
      </c>
      <c r="B231" s="2" t="inlineStr">
        <is>
          <t>Thứ bảy ngày 22-08-2026</t>
        </is>
      </c>
      <c r="C231" s="3" t="inlineStr">
        <is>
          <t>37938</t>
        </is>
      </c>
      <c r="D231" s="3" t="inlineStr">
        <is>
          <t>938</t>
        </is>
      </c>
      <c r="E231" s="3" t="inlineStr">
        <is>
          <t>7938</t>
        </is>
      </c>
      <c r="F231" s="3" t="inlineStr">
        <is>
          <t>000, 009, 010, 016, 021, 022, 023, 025, 026, 028... (100 số)</t>
        </is>
      </c>
      <c r="G231" s="3" t="inlineStr">
        <is>
          <t>TRƯỢT ❌</t>
        </is>
      </c>
      <c r="H231" s="3" t="inlineStr">
        <is>
          <t>TRƯỢT ❌</t>
        </is>
      </c>
      <c r="I231" s="3" t="inlineStr">
        <is>
          <t>... (200 số)</t>
        </is>
      </c>
      <c r="J231" s="3" t="inlineStr">
        <is>
          <t>TRƯỢT ❌</t>
        </is>
      </c>
    </row>
    <row r="232">
      <c r="A232" s="2" t="n">
        <v>231</v>
      </c>
      <c r="B232" s="2" t="inlineStr">
        <is>
          <t>Chủ nhật ngày 23-08-2026</t>
        </is>
      </c>
      <c r="C232" s="3" t="inlineStr">
        <is>
          <t>36917</t>
        </is>
      </c>
      <c r="D232" s="3" t="inlineStr">
        <is>
          <t>917</t>
        </is>
      </c>
      <c r="E232" s="3" t="inlineStr">
        <is>
          <t>6917</t>
        </is>
      </c>
      <c r="F232" s="3" t="inlineStr">
        <is>
          <t>009, 013, 016, 018, 023, 026, 028, 033, 034, 038... (100 số)</t>
        </is>
      </c>
      <c r="G232" s="3" t="inlineStr">
        <is>
          <t>TRƯỢT ❌</t>
        </is>
      </c>
      <c r="H232" s="3" t="inlineStr">
        <is>
          <t>TRƯỢT ❌</t>
        </is>
      </c>
      <c r="I232" s="3" t="inlineStr">
        <is>
          <t>... (200 số)</t>
        </is>
      </c>
      <c r="J232" s="3" t="inlineStr">
        <is>
          <t>TRƯỢT ❌</t>
        </is>
      </c>
    </row>
    <row r="233">
      <c r="A233" s="2" t="n">
        <v>232</v>
      </c>
      <c r="B233" s="2" t="inlineStr">
        <is>
          <t>Thứ hai ngày 24-08-2026</t>
        </is>
      </c>
      <c r="C233" s="3" t="inlineStr">
        <is>
          <t>85080</t>
        </is>
      </c>
      <c r="D233" s="3" t="inlineStr">
        <is>
          <t>080</t>
        </is>
      </c>
      <c r="E233" s="3" t="inlineStr">
        <is>
          <t>5080</t>
        </is>
      </c>
      <c r="F233" s="3" t="inlineStr">
        <is>
          <t>000, 009, 010, 013, 016, 017, 018, 021, 023, 038... (100 số)</t>
        </is>
      </c>
      <c r="G233" s="3" t="inlineStr">
        <is>
          <t>TRƯỢT ❌</t>
        </is>
      </c>
      <c r="H233" s="3" t="inlineStr">
        <is>
          <t>TRƯỢT ❌</t>
        </is>
      </c>
      <c r="I233" s="3" t="inlineStr">
        <is>
          <t>... (200 số)</t>
        </is>
      </c>
      <c r="J233" s="3" t="inlineStr">
        <is>
          <t>TRƯỢT ❌</t>
        </is>
      </c>
    </row>
    <row r="234">
      <c r="A234" s="2" t="n">
        <v>233</v>
      </c>
      <c r="B234" s="2" t="inlineStr">
        <is>
          <t>Thứ ba ngày 25-08-2026</t>
        </is>
      </c>
      <c r="C234" s="3" t="inlineStr">
        <is>
          <t>85361</t>
        </is>
      </c>
      <c r="D234" s="3" t="inlineStr">
        <is>
          <t>361</t>
        </is>
      </c>
      <c r="E234" s="3" t="inlineStr">
        <is>
          <t>5361</t>
        </is>
      </c>
      <c r="F234" s="3" t="inlineStr">
        <is>
          <t>000, 009, 010, 013, 017, 018, 021, 023, 025, 038... (100 số)</t>
        </is>
      </c>
      <c r="G234" s="3" t="inlineStr">
        <is>
          <t>TRƯỢT ❌</t>
        </is>
      </c>
      <c r="H234" s="3" t="inlineStr">
        <is>
          <t>TRƯỢT ❌</t>
        </is>
      </c>
      <c r="I234" s="3" t="inlineStr">
        <is>
          <t>... (200 số)</t>
        </is>
      </c>
      <c r="J234" s="3" t="inlineStr">
        <is>
          <t>TRƯỢT ❌</t>
        </is>
      </c>
    </row>
    <row r="235">
      <c r="A235" s="2" t="n">
        <v>234</v>
      </c>
      <c r="B235" s="2" t="inlineStr">
        <is>
          <t>Thứ tư ngày 26-08-2026</t>
        </is>
      </c>
      <c r="C235" s="3" t="inlineStr">
        <is>
          <t>82645</t>
        </is>
      </c>
      <c r="D235" s="3" t="inlineStr">
        <is>
          <t>645</t>
        </is>
      </c>
      <c r="E235" s="3" t="inlineStr">
        <is>
          <t>2645</t>
        </is>
      </c>
      <c r="F235" s="3" t="inlineStr">
        <is>
          <t>009, 013, 018, 021, 022, 023, 025, 026, 028, 033... (100 số)</t>
        </is>
      </c>
      <c r="G235" s="3" t="inlineStr">
        <is>
          <t>TRƯỢT ❌</t>
        </is>
      </c>
      <c r="H235" s="3" t="inlineStr">
        <is>
          <t>TRƯỢT ❌</t>
        </is>
      </c>
      <c r="I235" s="3" t="inlineStr">
        <is>
          <t>... (200 số)</t>
        </is>
      </c>
      <c r="J235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2026-08-27T16:15:03Z</dcterms:created>
  <dcterms:modified xsi:type="dcterms:W3CDTF">2026-08-27T16:15:08Z</dcterms:modified>
</cp:coreProperties>
</file>
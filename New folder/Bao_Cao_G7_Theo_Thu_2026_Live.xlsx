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_Doan_Tong_Theo_Thu" sheetId="1" state="visible" r:id="rId1"/>
    <sheet name="Thong_Ke_Phong_Do_G7_Thu" sheetId="2" state="visible" r:id="rId2"/>
    <sheet name="Nhat_Ky_Kiem_Chung_Thu" sheetId="3" state="visible" r:id="rId3"/>
    <sheet name="Phan_Tich_Cau_Ghep_Goc" sheetId="4" state="visible" r:id="rId4"/>
    <sheet name="Dan_Ha_So_Nhip_Vang" sheetId="5" state="visible" r:id="rId5"/>
    <sheet name="LIVE_LOC_THEO_THU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1" workbookViewId="0">
      <selection activeCell="A1" sqref="A1"/>
    </sheetView>
  </sheetViews>
  <sheetFormatPr baseColWidth="8" defaultRowHeight="15"/>
  <cols>
    <col width="51" customWidth="1" min="1" max="1"/>
    <col width="65" customWidth="1" min="2" max="2"/>
  </cols>
  <sheetData>
    <row r="1">
      <c r="A1" s="1" t="inlineStr">
        <is>
          <t>Hạng Mục Dự Đoán</t>
        </is>
      </c>
      <c r="B1" s="1" t="inlineStr">
        <is>
          <t>Chi Tiết Kế Thừa &amp; Dự Đoán Theo Thứ</t>
        </is>
      </c>
    </row>
    <row r="2">
      <c r="A2" s="2" t="inlineStr">
        <is>
          <t>Ngày Dự Đoán Tiếp Theo</t>
        </is>
      </c>
      <c r="B2" s="2" t="inlineStr">
        <is>
          <t>Thứ Tư (Kế thừa phong độ Thứ Tư năm 2026)</t>
        </is>
      </c>
    </row>
    <row r="3">
      <c r="A3" s="2" t="inlineStr">
        <is>
          <t>Top 2 Vị Trí G7 Ưu Tiên</t>
        </is>
      </c>
      <c r="B3" s="2" t="inlineStr">
        <is>
          <t>G7.2, G7.4</t>
        </is>
      </c>
    </row>
    <row r="4">
      <c r="A4" s="2" t="inlineStr">
        <is>
          <t>Các Tổng &amp; Bóng Ưu Tiên Nổ</t>
        </is>
      </c>
      <c r="B4" s="2" t="inlineStr">
        <is>
          <t>Tổng 3, Tổng 4, Tổng 8, Tổng 9</t>
        </is>
      </c>
    </row>
    <row r="5">
      <c r="A5" s="2" t="inlineStr">
        <is>
          <t>Tập Chạm Ngày Ưu Tiên</t>
        </is>
      </c>
      <c r="B5" s="2" t="inlineStr">
        <is>
          <t>0123456789</t>
        </is>
      </c>
    </row>
    <row r="6">
      <c r="A6" s="2" t="inlineStr">
        <is>
          <t>Cầu Ghép Góc (G7.1[0] + G7.4[1])</t>
        </is>
      </c>
      <c r="B6" s="2" t="inlineStr">
        <is>
          <t>Tổng 8 - Bóng 3</t>
        </is>
      </c>
    </row>
    <row r="7">
      <c r="A7" s="2" t="inlineStr">
        <is>
          <t>Dàn Giao Thoa Dự Đoán (~47 con)</t>
        </is>
      </c>
      <c r="B7" s="2" t="inlineStr">
        <is>
          <t>03, 04, 08, 09, 12, 13, 17, 18, 21, 22, 26, 27, 30, 31, 35, 36, 40, 44, 45, 49, 53, 54, 58, 59, 62, 63, 67, 68, 71, 72, 76, 77, 80, 81, 85, 86, 90, 94, 95, 99</t>
        </is>
      </c>
    </row>
    <row r="8">
      <c r="A8" s="2" t="inlineStr">
        <is>
          <t>Dàn Hạ Số Hỏa Lực Top 20</t>
        </is>
      </c>
      <c r="B8" s="2" t="inlineStr">
        <is>
          <t>18, 26, 44, 54, 67, 21, 09, 22, 36, 53, 04, 85, 94, 99, 68, 90, 63, 71, 80, 08</t>
        </is>
      </c>
    </row>
    <row r="9">
      <c r="A9" s="2" t="inlineStr">
        <is>
          <t>--- XU HƯỚNG VỊ TRÍ G7 THEO TỪNG THỨ (2026) ---</t>
        </is>
      </c>
      <c r="B9" s="2" t="inlineStr"/>
    </row>
    <row r="10">
      <c r="A10" s="2" t="inlineStr">
        <is>
          <t>Phong Độ Thứ Hai</t>
        </is>
      </c>
      <c r="B10" s="2" t="inlineStr">
        <is>
          <t>Top 1 Vị Trí G7.3 (Trúng 8/32 ngày - 25.0%)</t>
        </is>
      </c>
    </row>
    <row r="11">
      <c r="A11" s="2" t="inlineStr">
        <is>
          <t>Phong Độ Thứ Ba</t>
        </is>
      </c>
      <c r="B11" s="2" t="inlineStr">
        <is>
          <t>Top 1 Vị Trí G7.2 (Trúng 7/31 ngày - 22.6%)</t>
        </is>
      </c>
    </row>
    <row r="12">
      <c r="A12" s="2" t="inlineStr">
        <is>
          <t>Phong Độ Thứ Tư</t>
        </is>
      </c>
      <c r="B12" s="2" t="inlineStr">
        <is>
          <t>Top 1 Vị Trí G7.1 (Trúng 8/31 ngày - 25.8%)</t>
        </is>
      </c>
    </row>
    <row r="13">
      <c r="A13" s="2" t="inlineStr">
        <is>
          <t>Phong Độ Thứ Năm</t>
        </is>
      </c>
      <c r="B13" s="2" t="inlineStr">
        <is>
          <t>Top 1 Vị Trí G7.3 (Trúng 11/32 ngày - 34.4%)</t>
        </is>
      </c>
    </row>
    <row r="14">
      <c r="A14" s="2" t="inlineStr">
        <is>
          <t>Phong Độ Thứ Sáu</t>
        </is>
      </c>
      <c r="B14" s="2" t="inlineStr">
        <is>
          <t>Top 1 Vị Trí G7.3 (Trúng 9/33 ngày - 27.3%)</t>
        </is>
      </c>
    </row>
    <row r="15">
      <c r="A15" s="2" t="inlineStr">
        <is>
          <t>Phong Độ Thứ Bảy</t>
        </is>
      </c>
      <c r="B15" s="2" t="inlineStr">
        <is>
          <t>Top 1 Vị Trí G7.2 (Trúng 8/33 ngày - 24.2%)</t>
        </is>
      </c>
    </row>
    <row r="16">
      <c r="A16" s="2" t="inlineStr">
        <is>
          <t>Phong Độ Chủ Nhật</t>
        </is>
      </c>
      <c r="B16" s="2" t="inlineStr">
        <is>
          <t>Top 1 Vị Trí G7.2 (Trúng 7/33 ngày - 21.2%)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4" customWidth="1" min="3" max="3"/>
    <col width="24" customWidth="1" min="4" max="4"/>
    <col width="24" customWidth="1" min="5" max="5"/>
    <col width="24" customWidth="1" min="6" max="6"/>
    <col width="29" customWidth="1" min="7" max="7"/>
    <col width="31" customWidth="1" min="8" max="8"/>
  </cols>
  <sheetData>
    <row r="1">
      <c r="A1" s="1" t="inlineStr">
        <is>
          <t>Thứ Trong Tuần</t>
        </is>
      </c>
      <c r="B1" s="1" t="inlineStr">
        <is>
          <t>Số Ngày Phân Tích</t>
        </is>
      </c>
      <c r="C1" s="1" t="inlineStr">
        <is>
          <t>G7.1 Trúng Tổng/Bóng</t>
        </is>
      </c>
      <c r="D1" s="1" t="inlineStr">
        <is>
          <t>G7.2 Trúng Tổng/Bóng</t>
        </is>
      </c>
      <c r="E1" s="1" t="inlineStr">
        <is>
          <t>G7.3 Trúng Tổng/Bóng</t>
        </is>
      </c>
      <c r="F1" s="1" t="inlineStr">
        <is>
          <t>G7.4 Trúng Tổng/Bóng</t>
        </is>
      </c>
      <c r="G1" s="1" t="inlineStr">
        <is>
          <t>Vị Trí G7 Tối Ưu Nhất</t>
        </is>
      </c>
      <c r="H1" s="1" t="inlineStr">
        <is>
          <t>Khuyên Dùng Đánh Theo Thứ</t>
        </is>
      </c>
    </row>
    <row r="2">
      <c r="A2" s="2" t="inlineStr">
        <is>
          <t>Thứ Hai</t>
        </is>
      </c>
      <c r="B2" s="2" t="inlineStr">
        <is>
          <t>32 ngày</t>
        </is>
      </c>
      <c r="C2" s="3" t="inlineStr">
        <is>
          <t>6 lần (18.8%)</t>
        </is>
      </c>
      <c r="D2" s="3" t="inlineStr">
        <is>
          <t>4 lần (12.5%)</t>
        </is>
      </c>
      <c r="E2" s="3" t="inlineStr">
        <is>
          <t>8 lần (25.0%)</t>
        </is>
      </c>
      <c r="F2" s="3" t="inlineStr">
        <is>
          <t>4 lần (12.5%)</t>
        </is>
      </c>
      <c r="G2" s="3" t="inlineStr">
        <is>
          <t>Top 1: G7.3 | Top 2: G7.1</t>
        </is>
      </c>
      <c r="H2" s="3" t="inlineStr">
        <is>
          <t>Ưu tiên ép Tổng G7.3 &amp; G7.1</t>
        </is>
      </c>
    </row>
    <row r="3">
      <c r="A3" s="2" t="inlineStr">
        <is>
          <t>Thứ Ba</t>
        </is>
      </c>
      <c r="B3" s="2" t="inlineStr">
        <is>
          <t>31 ngày</t>
        </is>
      </c>
      <c r="C3" s="3" t="inlineStr">
        <is>
          <t>3 lần (9.7%)</t>
        </is>
      </c>
      <c r="D3" s="3" t="inlineStr">
        <is>
          <t>7 lần (22.6%)</t>
        </is>
      </c>
      <c r="E3" s="3" t="inlineStr">
        <is>
          <t>5 lần (16.1%)</t>
        </is>
      </c>
      <c r="F3" s="3" t="inlineStr">
        <is>
          <t>4 lần (12.9%)</t>
        </is>
      </c>
      <c r="G3" s="3" t="inlineStr">
        <is>
          <t>Top 1: G7.2 | Top 2: G7.3</t>
        </is>
      </c>
      <c r="H3" s="3" t="inlineStr">
        <is>
          <t>Ưu tiên ép Tổng G7.2 &amp; G7.3</t>
        </is>
      </c>
    </row>
    <row r="4">
      <c r="A4" s="2" t="inlineStr">
        <is>
          <t>Thứ Tư</t>
        </is>
      </c>
      <c r="B4" s="2" t="inlineStr">
        <is>
          <t>31 ngày</t>
        </is>
      </c>
      <c r="C4" s="3" t="inlineStr">
        <is>
          <t>8 lần (25.8%)</t>
        </is>
      </c>
      <c r="D4" s="3" t="inlineStr">
        <is>
          <t>4 lần (12.9%)</t>
        </is>
      </c>
      <c r="E4" s="3" t="inlineStr">
        <is>
          <t>3 lần (9.7%)</t>
        </is>
      </c>
      <c r="F4" s="3" t="inlineStr">
        <is>
          <t>1 lần (3.2%)</t>
        </is>
      </c>
      <c r="G4" s="3" t="inlineStr">
        <is>
          <t>Top 1: G7.1 | Top 2: G7.2</t>
        </is>
      </c>
      <c r="H4" s="3" t="inlineStr">
        <is>
          <t>Ưu tiên ép Tổng G7.1 &amp; G7.2</t>
        </is>
      </c>
    </row>
    <row r="5">
      <c r="A5" s="2" t="inlineStr">
        <is>
          <t>Thứ Năm</t>
        </is>
      </c>
      <c r="B5" s="2" t="inlineStr">
        <is>
          <t>32 ngày</t>
        </is>
      </c>
      <c r="C5" s="3" t="inlineStr">
        <is>
          <t>10 lần (31.2%)</t>
        </is>
      </c>
      <c r="D5" s="3" t="inlineStr">
        <is>
          <t>3 lần (9.4%)</t>
        </is>
      </c>
      <c r="E5" s="3" t="inlineStr">
        <is>
          <t>11 lần (34.4%)</t>
        </is>
      </c>
      <c r="F5" s="3" t="inlineStr">
        <is>
          <t>4 lần (12.5%)</t>
        </is>
      </c>
      <c r="G5" s="3" t="inlineStr">
        <is>
          <t>Top 1: G7.3 | Top 2: G7.1</t>
        </is>
      </c>
      <c r="H5" s="3" t="inlineStr">
        <is>
          <t>Ưu tiên ép Tổng G7.3 &amp; G7.1</t>
        </is>
      </c>
    </row>
    <row r="6">
      <c r="A6" s="2" t="inlineStr">
        <is>
          <t>Thứ Sáu</t>
        </is>
      </c>
      <c r="B6" s="2" t="inlineStr">
        <is>
          <t>33 ngày</t>
        </is>
      </c>
      <c r="C6" s="3" t="inlineStr">
        <is>
          <t>0 lần (0.0%)</t>
        </is>
      </c>
      <c r="D6" s="3" t="inlineStr">
        <is>
          <t>6 lần (18.2%)</t>
        </is>
      </c>
      <c r="E6" s="3" t="inlineStr">
        <is>
          <t>9 lần (27.3%)</t>
        </is>
      </c>
      <c r="F6" s="3" t="inlineStr">
        <is>
          <t>7 lần (21.2%)</t>
        </is>
      </c>
      <c r="G6" s="3" t="inlineStr">
        <is>
          <t>Top 1: G7.3 | Top 2: G7.4</t>
        </is>
      </c>
      <c r="H6" s="3" t="inlineStr">
        <is>
          <t>Ưu tiên ép Tổng G7.3 &amp; G7.4</t>
        </is>
      </c>
    </row>
    <row r="7">
      <c r="A7" s="2" t="inlineStr">
        <is>
          <t>Thứ Bảy</t>
        </is>
      </c>
      <c r="B7" s="2" t="inlineStr">
        <is>
          <t>33 ngày</t>
        </is>
      </c>
      <c r="C7" s="3" t="inlineStr">
        <is>
          <t>6 lần (18.2%)</t>
        </is>
      </c>
      <c r="D7" s="3" t="inlineStr">
        <is>
          <t>8 lần (24.2%)</t>
        </is>
      </c>
      <c r="E7" s="3" t="inlineStr">
        <is>
          <t>5 lần (15.2%)</t>
        </is>
      </c>
      <c r="F7" s="3" t="inlineStr">
        <is>
          <t>7 lần (21.2%)</t>
        </is>
      </c>
      <c r="G7" s="3" t="inlineStr">
        <is>
          <t>Top 1: G7.2 | Top 2: G7.4</t>
        </is>
      </c>
      <c r="H7" s="3" t="inlineStr">
        <is>
          <t>Ưu tiên ép Tổng G7.2 &amp; G7.4</t>
        </is>
      </c>
    </row>
    <row r="8">
      <c r="A8" s="2" t="inlineStr">
        <is>
          <t>Chủ Nhật</t>
        </is>
      </c>
      <c r="B8" s="2" t="inlineStr">
        <is>
          <t>33 ngày</t>
        </is>
      </c>
      <c r="C8" s="3" t="inlineStr">
        <is>
          <t>3 lần (9.1%)</t>
        </is>
      </c>
      <c r="D8" s="3" t="inlineStr">
        <is>
          <t>7 lần (21.2%)</t>
        </is>
      </c>
      <c r="E8" s="3" t="inlineStr">
        <is>
          <t>5 lần (15.2%)</t>
        </is>
      </c>
      <c r="F8" s="3" t="inlineStr">
        <is>
          <t>6 lần (18.2%)</t>
        </is>
      </c>
      <c r="G8" s="3" t="inlineStr">
        <is>
          <t>Top 1: G7.2 | Top 2: G7.4</t>
        </is>
      </c>
      <c r="H8" s="3" t="inlineStr">
        <is>
          <t>Ưu tiên ép Tổng G7.2 &amp; G7.4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STT</t>
        </is>
      </c>
      <c r="B1" t="inlineStr">
        <is>
          <t>Ngày Quay</t>
        </is>
      </c>
      <c r="C1" t="inlineStr">
        <is>
          <t>Thứ</t>
        </is>
      </c>
      <c r="D1" t="inlineStr">
        <is>
          <t>Giải Đặc Biệt</t>
        </is>
      </c>
      <c r="E1" t="inlineStr">
        <is>
          <t>Số Đề</t>
        </is>
      </c>
      <c r="F1" t="inlineStr">
        <is>
          <t>Top 2 G7 Theo Thứ</t>
        </is>
      </c>
      <c r="G1" t="inlineStr">
        <is>
          <t>Tổng &amp; Bóng Dự Đoán</t>
        </is>
      </c>
      <c r="H1" t="inlineStr">
        <is>
          <t>Tập Chạm Ngày</t>
        </is>
      </c>
      <c r="I1" t="inlineStr">
        <is>
          <t>Cầu Ghép Góc</t>
        </is>
      </c>
      <c r="J1" t="inlineStr">
        <is>
          <t>Số Con Dàn</t>
        </is>
      </c>
      <c r="K1" t="inlineStr">
        <is>
          <t>Kết Quả Trúng 1 Ngày (K1)</t>
        </is>
      </c>
      <c r="L1" t="inlineStr">
        <is>
          <t>Dàn Hạ Số Hỏa Lực</t>
        </is>
      </c>
      <c r="M1" t="inlineStr">
        <is>
          <t>Kết Quả Dàn Hạ Số</t>
        </is>
      </c>
      <c r="N1" t="inlineStr">
        <is>
          <t>Kết Quả Nuôi Khung 3 Ngày</t>
        </is>
      </c>
      <c r="O1" t="inlineStr">
        <is>
          <t>Danh Sách Dàn Giao Thoa</t>
        </is>
      </c>
    </row>
    <row r="2">
      <c r="A2" t="inlineStr">
        <is>
          <t>TỔNG CỘNG 2026</t>
        </is>
      </c>
      <c r="B2" t="inlineStr">
        <is>
          <t>Tổng: 225 Ngày</t>
        </is>
      </c>
      <c r="C2" t="inlineStr">
        <is>
          <t>---</t>
        </is>
      </c>
      <c r="D2" t="inlineStr">
        <is>
          <t>TỔNG QUAN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TB 47.3 con</t>
        </is>
      </c>
      <c r="K2" t="inlineStr">
        <is>
          <t>Trúng 1N: 96/225 (42.67%)</t>
        </is>
      </c>
      <c r="L2" t="inlineStr">
        <is>
          <t>TB 19.9 con</t>
        </is>
      </c>
      <c r="M2" t="inlineStr">
        <is>
          <t>Trúng Hỏa Lực: 35/225 (15.56%)</t>
        </is>
      </c>
      <c r="N2" t="inlineStr">
        <is>
          <t>Trúng Khung 3N: 194/223 (87.00%)</t>
        </is>
      </c>
      <c r="O2" t="inlineStr">
        <is>
          <t>Mô Hình Giao Thoa G7 Theo Thứ</t>
        </is>
      </c>
    </row>
    <row r="3">
      <c r="A3" t="n">
        <v>225</v>
      </c>
      <c r="B3" t="inlineStr">
        <is>
          <t>Thứ ba ngày 18-08-2026</t>
        </is>
      </c>
      <c r="C3" t="inlineStr">
        <is>
          <t>Thứ Hai</t>
        </is>
      </c>
      <c r="D3" t="inlineStr">
        <is>
          <t>29183</t>
        </is>
      </c>
      <c r="E3" t="inlineStr">
        <is>
          <t>83</t>
        </is>
      </c>
      <c r="F3" t="inlineStr">
        <is>
          <t>G7.2, G7.4</t>
        </is>
      </c>
      <c r="G3" t="inlineStr">
        <is>
          <t>Tổng 2, Tổng 3, Tổng 4, Tổng 7, Tổng 8, Tổng 9</t>
        </is>
      </c>
      <c r="H3" t="inlineStr">
        <is>
          <t>12346789</t>
        </is>
      </c>
      <c r="I3" t="inlineStr">
        <is>
          <t>Tổng 9-Bóng 4</t>
        </is>
      </c>
      <c r="J3" t="n">
        <v>60</v>
      </c>
      <c r="K3" t="inlineStr">
        <is>
          <t>TRƯỢT ❌</t>
        </is>
      </c>
      <c r="L3" t="inlineStr">
        <is>
          <t>04, 09, 16, 18, 21, 22, 25, 26, 34, 36, 39, 44, 53, 54, 57, 67, 68, 70, 85, 89</t>
        </is>
      </c>
      <c r="M3" t="inlineStr">
        <is>
          <t>TRƯỢT ❌</t>
        </is>
      </c>
      <c r="N3" t="inlineStr">
        <is>
          <t>TRƯỢT KHUNG ❌</t>
        </is>
      </c>
      <c r="O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4">
      <c r="A4" t="n">
        <v>224</v>
      </c>
      <c r="B4" t="inlineStr">
        <is>
          <t>Thứ hai ngày 17-08-2026</t>
        </is>
      </c>
      <c r="C4" t="inlineStr">
        <is>
          <t>Chủ Nhật</t>
        </is>
      </c>
      <c r="D4" t="inlineStr">
        <is>
          <t>01939</t>
        </is>
      </c>
      <c r="E4" t="inlineStr">
        <is>
          <t>39</t>
        </is>
      </c>
      <c r="F4" t="inlineStr">
        <is>
          <t>G7.3, G7.1</t>
        </is>
      </c>
      <c r="G4" t="inlineStr">
        <is>
          <t>Tổng 0, Tổng 1, Tổng 2, Tổng 5, Tổng 6, Tổng 7</t>
        </is>
      </c>
      <c r="H4" t="inlineStr">
        <is>
          <t>02345789</t>
        </is>
      </c>
      <c r="I4" t="inlineStr">
        <is>
          <t>Tổng 1-Bóng 6</t>
        </is>
      </c>
      <c r="J4" t="n">
        <v>56</v>
      </c>
      <c r="K4" t="inlineStr">
        <is>
          <t>TRÚNG N1 🎯</t>
        </is>
      </c>
      <c r="L4" t="inlineStr">
        <is>
          <t>00, 10, 23, 25, 28, 34, 38, 39, 42, 47, 51, 57, 60, 65, 70, 78, 79, 83, 91, 96</t>
        </is>
      </c>
      <c r="M4" t="inlineStr">
        <is>
          <t>TRÚNG HỎA LỰC 🎯</t>
        </is>
      </c>
      <c r="N4" t="inlineStr">
        <is>
          <t>TRƯỢT KHUNG ❌</t>
        </is>
      </c>
      <c r="O4" t="inlineStr">
        <is>
          <t>00, 01, 02, 05, 06, 07, 10, 14, 15, 19, 20, 23, 24, 25, 28, 29, 32, 33, 34, 37, 38, 39, 41, 42, 43, 46, 47, 48, 50, 51, 52, 55, 56, 57, 60, 64, 65, 69, 70, 73, 74, 75, 78, 79, 82, 83, 84, 87, 88, 89, 91, 92, 93, 96, 97, 98</t>
        </is>
      </c>
    </row>
    <row r="5">
      <c r="A5" t="n">
        <v>223</v>
      </c>
      <c r="B5" t="inlineStr">
        <is>
          <t>Chủ nhật ngày 16-08-2026</t>
        </is>
      </c>
      <c r="C5" t="inlineStr">
        <is>
          <t>Thứ Bảy</t>
        </is>
      </c>
      <c r="D5" t="inlineStr">
        <is>
          <t>14696</t>
        </is>
      </c>
      <c r="E5" t="inlineStr">
        <is>
          <t>96</t>
        </is>
      </c>
      <c r="F5" t="inlineStr">
        <is>
          <t>G7.1, G7.3</t>
        </is>
      </c>
      <c r="G5" t="inlineStr">
        <is>
          <t>Tổng 1, Tổng 2, Tổng 6, Tổng 7</t>
        </is>
      </c>
      <c r="H5" t="inlineStr">
        <is>
          <t>0123456789</t>
        </is>
      </c>
      <c r="I5" t="inlineStr">
        <is>
          <t>Tổng 7-Bóng 2</t>
        </is>
      </c>
      <c r="J5" t="n">
        <v>40</v>
      </c>
      <c r="K5" t="inlineStr">
        <is>
          <t>TRƯỢT ❌</t>
        </is>
      </c>
      <c r="L5" t="inlineStr">
        <is>
          <t>01, 10, 16, 25, 34, 38, 39, 42, 47, 51, 52, 57, 60, 65, 70, 79, 83, 84, 89, 97</t>
        </is>
      </c>
      <c r="M5" t="inlineStr">
        <is>
          <t>TRƯỢT ❌</t>
        </is>
      </c>
      <c r="N5" t="inlineStr">
        <is>
          <t>TRÚNG N2 🎯</t>
        </is>
      </c>
      <c r="O5" t="inlineStr">
        <is>
          <t>01, 02, 06, 07, 10, 11, 15, 16, 20, 24, 25, 29, 33, 34, 38, 39, 42, 43, 47, 48, 51, 52, 56, 57, 60, 61, 65, 66, 70, 74, 75, 79, 83, 84, 88, 89, 92, 93, 97, 98</t>
        </is>
      </c>
    </row>
    <row r="6">
      <c r="A6" t="n">
        <v>222</v>
      </c>
      <c r="B6" t="inlineStr">
        <is>
          <t>Thứ bảy ngày 15-08-2026</t>
        </is>
      </c>
      <c r="C6" t="inlineStr">
        <is>
          <t>Thứ Sáu</t>
        </is>
      </c>
      <c r="D6" t="inlineStr">
        <is>
          <t>80278</t>
        </is>
      </c>
      <c r="E6" t="inlineStr">
        <is>
          <t>78</t>
        </is>
      </c>
      <c r="F6" t="inlineStr">
        <is>
          <t>G7.1, G7.4</t>
        </is>
      </c>
      <c r="G6" t="inlineStr">
        <is>
          <t>Tổng 0, Tổng 2, Tổng 3, Tổng 5, Tổng 7, Tổng 8</t>
        </is>
      </c>
      <c r="H6" t="inlineStr">
        <is>
          <t>01345689</t>
        </is>
      </c>
      <c r="I6" t="inlineStr">
        <is>
          <t>Tổng 8-Bóng 3</t>
        </is>
      </c>
      <c r="J6" t="n">
        <v>60</v>
      </c>
      <c r="K6" t="inlineStr">
        <is>
          <t>TRÚNG N1 🎯</t>
        </is>
      </c>
      <c r="L6" t="inlineStr">
        <is>
          <t>00, 16, 21, 23, 25, 26, 28, 34, 39, 44, 53, 57, 67, 70, 84, 85, 89, 91, 94, 96</t>
        </is>
      </c>
      <c r="M6" t="inlineStr">
        <is>
          <t>TRƯỢT ❌</t>
        </is>
      </c>
      <c r="N6" t="inlineStr">
        <is>
          <t>TRÚNG N1 🎯</t>
        </is>
      </c>
      <c r="O6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7">
      <c r="A7" t="n">
        <v>221</v>
      </c>
      <c r="B7" t="inlineStr">
        <is>
          <t>Thứ sáu ngày 14-08-2026</t>
        </is>
      </c>
      <c r="C7" t="inlineStr">
        <is>
          <t>Thứ Năm</t>
        </is>
      </c>
      <c r="D7" t="inlineStr">
        <is>
          <t>80018</t>
        </is>
      </c>
      <c r="E7" t="inlineStr">
        <is>
          <t>18</t>
        </is>
      </c>
      <c r="F7" t="inlineStr">
        <is>
          <t>G7.1, G7.4</t>
        </is>
      </c>
      <c r="G7" t="inlineStr">
        <is>
          <t>Tổng 0, Tổng 2, Tổng 5, Tổng 7</t>
        </is>
      </c>
      <c r="H7" t="inlineStr">
        <is>
          <t>12346789</t>
        </is>
      </c>
      <c r="I7" t="inlineStr">
        <is>
          <t>Tổng 5-Bóng 0</t>
        </is>
      </c>
      <c r="J7" t="n">
        <v>36</v>
      </c>
      <c r="K7" t="inlineStr">
        <is>
          <t>TRƯỢT ❌</t>
        </is>
      </c>
      <c r="L7" t="inlineStr">
        <is>
          <t>14, 16, 19, 23, 25, 28, 32, 34, 37, 39, 43, 52, 57, 70, 78, 84, 87, 89, 91, 96</t>
        </is>
      </c>
      <c r="M7" t="inlineStr">
        <is>
          <t>TRƯỢT ❌</t>
        </is>
      </c>
      <c r="N7" t="inlineStr">
        <is>
          <t>TRÚNG N2 🎯</t>
        </is>
      </c>
      <c r="O7" t="inlineStr">
        <is>
          <t>02, 07, 11, 14, 16, 19, 20, 23, 25, 28, 32, 34, 37, 39, 41, 43, 46, 48, 52, 57, 61, 64, 66, 69, 70, 73, 75, 78, 82, 84, 87, 89, 91, 93, 96, 98</t>
        </is>
      </c>
    </row>
    <row r="8">
      <c r="A8" t="n">
        <v>220</v>
      </c>
      <c r="B8" t="inlineStr">
        <is>
          <t>Thứ năm ngày 13-08-2026</t>
        </is>
      </c>
      <c r="C8" t="inlineStr">
        <is>
          <t>Thứ Tư</t>
        </is>
      </c>
      <c r="D8" t="inlineStr">
        <is>
          <t>79344</t>
        </is>
      </c>
      <c r="E8" t="inlineStr">
        <is>
          <t>44</t>
        </is>
      </c>
      <c r="F8" t="inlineStr">
        <is>
          <t>G7.2, G7.4</t>
        </is>
      </c>
      <c r="G8" t="inlineStr">
        <is>
          <t>Tổng 0, Tổng 1, Tổng 2, Tổng 5, Tổng 6, Tổng 7</t>
        </is>
      </c>
      <c r="H8" t="inlineStr">
        <is>
          <t>01245679</t>
        </is>
      </c>
      <c r="I8" t="inlineStr">
        <is>
          <t>Tổng 2-Bóng 7</t>
        </is>
      </c>
      <c r="J8" t="n">
        <v>56</v>
      </c>
      <c r="K8" t="inlineStr">
        <is>
          <t>TRƯỢT ❌</t>
        </is>
      </c>
      <c r="L8" t="inlineStr">
        <is>
          <t>00, 10, 16, 19, 23, 25, 28, 34, 39, 42, 47, 51, 57, 60, 65, 70, 79, 84, 91, 96</t>
        </is>
      </c>
      <c r="M8" t="inlineStr">
        <is>
          <t>TRƯỢT ❌</t>
        </is>
      </c>
      <c r="N8" t="inlineStr">
        <is>
          <t>TRÚNG N3 🎯</t>
        </is>
      </c>
      <c r="O8" t="inlineStr">
        <is>
          <t>00, 01, 02, 05, 06, 07, 10, 11, 14, 15, 16, 19, 20, 23, 24, 25, 28, 29, 32, 34, 37, 39, 41, 42, 43, 46, 47, 48, 50, 51, 52, 55, 56, 57, 60, 61, 64, 65, 66, 69, 70, 73, 74, 75, 78, 79, 82, 84, 87, 89, 91, 92, 93, 96, 97, 98</t>
        </is>
      </c>
    </row>
    <row r="9">
      <c r="A9" t="n">
        <v>219</v>
      </c>
      <c r="B9" t="inlineStr">
        <is>
          <t>Thứ tư ngày 12-08-2026</t>
        </is>
      </c>
      <c r="C9" t="inlineStr">
        <is>
          <t>Thứ Ba</t>
        </is>
      </c>
      <c r="D9" t="inlineStr">
        <is>
          <t>82326</t>
        </is>
      </c>
      <c r="E9" t="inlineStr">
        <is>
          <t>26</t>
        </is>
      </c>
      <c r="F9" t="inlineStr">
        <is>
          <t>G7.3, G7.4</t>
        </is>
      </c>
      <c r="G9" t="inlineStr">
        <is>
          <t>Tổng 0, Tổng 2, Tổng 4, Tổng 5, Tổng 7, Tổng 9</t>
        </is>
      </c>
      <c r="H9" t="inlineStr">
        <is>
          <t>024579</t>
        </is>
      </c>
      <c r="I9" t="inlineStr">
        <is>
          <t>Tổng 2-Bóng 7</t>
        </is>
      </c>
      <c r="J9" t="n">
        <v>48</v>
      </c>
      <c r="K9" t="inlineStr">
        <is>
          <t>TRƯỢT ❌</t>
        </is>
      </c>
      <c r="L9" t="inlineStr">
        <is>
          <t>00, 04, 09, 14, 19, 22, 23, 25, 28, 32, 34, 39, 54, 57, 70, 84, 89, 90, 91, 96</t>
        </is>
      </c>
      <c r="M9" t="inlineStr">
        <is>
          <t>TRƯỢT ❌</t>
        </is>
      </c>
      <c r="N9" t="inlineStr">
        <is>
          <t>TRƯỢT KHUNG ❌</t>
        </is>
      </c>
      <c r="O9" t="inlineStr">
        <is>
          <t>00, 02, 04, 05, 07, 09, 14, 19, 20, 22, 23, 25, 27, 28, 32, 34, 37, 39, 40, 41, 43, 45, 46, 48, 50, 52, 54, 55, 57, 59, 64, 69, 70, 72, 73, 75, 77, 78, 82, 84, 87, 89, 90, 91, 93, 95, 96, 98</t>
        </is>
      </c>
    </row>
    <row r="10">
      <c r="A10" t="n">
        <v>218</v>
      </c>
      <c r="B10" t="inlineStr">
        <is>
          <t>Thứ ba ngày 11-08-2026</t>
        </is>
      </c>
      <c r="C10" t="inlineStr">
        <is>
          <t>Thứ Hai</t>
        </is>
      </c>
      <c r="D10" t="inlineStr">
        <is>
          <t>92191</t>
        </is>
      </c>
      <c r="E10" t="inlineStr">
        <is>
          <t>91</t>
        </is>
      </c>
      <c r="F10" t="inlineStr">
        <is>
          <t>G7.2, G7.4</t>
        </is>
      </c>
      <c r="G10" t="inlineStr">
        <is>
          <t>Tổng 0, Tổng 1, Tổng 2, Tổng 5, Tổng 6, Tổng 7</t>
        </is>
      </c>
      <c r="H10" t="inlineStr">
        <is>
          <t>0123456789</t>
        </is>
      </c>
      <c r="I10" t="inlineStr">
        <is>
          <t>Tổng 5-Bóng 0</t>
        </is>
      </c>
      <c r="J10" t="n">
        <v>60</v>
      </c>
      <c r="K10" t="inlineStr">
        <is>
          <t>TRÚNG N1 🎯</t>
        </is>
      </c>
      <c r="L10" t="inlineStr">
        <is>
          <t>00, 10, 16, 19, 23, 25, 28, 34, 38, 39, 42, 47, 57, 60, 70, 79, 83, 84, 89, 96</t>
        </is>
      </c>
      <c r="M10" t="inlineStr">
        <is>
          <t>TRƯỢT ❌</t>
        </is>
      </c>
      <c r="N10" t="inlineStr">
        <is>
          <t>TRÚNG N1 🎯</t>
        </is>
      </c>
      <c r="O10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11">
      <c r="A11" t="n">
        <v>217</v>
      </c>
      <c r="B11" t="inlineStr">
        <is>
          <t>Thứ hai ngày 10-08-2026</t>
        </is>
      </c>
      <c r="C11" t="inlineStr">
        <is>
          <t>Chủ Nhật</t>
        </is>
      </c>
      <c r="D11" t="inlineStr">
        <is>
          <t>92957</t>
        </is>
      </c>
      <c r="E11" t="inlineStr">
        <is>
          <t>57</t>
        </is>
      </c>
      <c r="F11" t="inlineStr">
        <is>
          <t>G7.3, G7.1</t>
        </is>
      </c>
      <c r="G11" t="inlineStr">
        <is>
          <t>Tổng 1, Tổng 3, Tổng 4, Tổng 6, Tổng 8, Tổng 9</t>
        </is>
      </c>
      <c r="H11" t="inlineStr">
        <is>
          <t>124679</t>
        </is>
      </c>
      <c r="I11" t="inlineStr">
        <is>
          <t>Tổng 9-Bóng 4</t>
        </is>
      </c>
      <c r="J11" t="n">
        <v>48</v>
      </c>
      <c r="K11" t="inlineStr">
        <is>
          <t>TRƯỢT ❌</t>
        </is>
      </c>
      <c r="L11" t="inlineStr">
        <is>
          <t>01, 04, 09, 10, 21, 22, 36, 42, 47, 51, 54, 60, 63, 65, 67, 68, 79, 90, 94, 99</t>
        </is>
      </c>
      <c r="M11" t="inlineStr">
        <is>
          <t>TRƯỢT ❌</t>
        </is>
      </c>
      <c r="N11" t="inlineStr">
        <is>
          <t>TRÚNG N3 🎯</t>
        </is>
      </c>
      <c r="O11" t="inlineStr">
        <is>
          <t>01, 04, 06, 09, 10, 12, 13, 15, 17, 18, 21, 22, 24, 26, 27, 29, 31, 36, 40, 42, 44, 45, 47, 49, 51, 54, 56, 59, 60, 62, 63, 65, 67, 68, 71, 72, 74, 76, 77, 79, 81, 86, 90, 92, 94, 95, 97, 99</t>
        </is>
      </c>
    </row>
    <row r="12">
      <c r="A12" t="n">
        <v>216</v>
      </c>
      <c r="B12" t="inlineStr">
        <is>
          <t>Chủ nhật ngày 09-08-2026</t>
        </is>
      </c>
      <c r="C12" t="inlineStr">
        <is>
          <t>Thứ Bảy</t>
        </is>
      </c>
      <c r="D12" t="inlineStr">
        <is>
          <t>12221</t>
        </is>
      </c>
      <c r="E12" t="inlineStr">
        <is>
          <t>21</t>
        </is>
      </c>
      <c r="F12" t="inlineStr">
        <is>
          <t>G7.1, G7.3</t>
        </is>
      </c>
      <c r="G12" t="inlineStr">
        <is>
          <t>Tổng 3, Tổng 4, Tổng 8, Tổng 9</t>
        </is>
      </c>
      <c r="H12" t="inlineStr">
        <is>
          <t>02345789</t>
        </is>
      </c>
      <c r="I12" t="inlineStr">
        <is>
          <t>Tổng 4-Bóng 9</t>
        </is>
      </c>
      <c r="J12" t="n">
        <v>40</v>
      </c>
      <c r="K12" t="inlineStr">
        <is>
          <t>TRÚNG N1 🎯</t>
        </is>
      </c>
      <c r="L12" t="inlineStr">
        <is>
          <t>03, 04, 08, 09, 17, 21, 22, 36, 53, 54, 63, 67, 68, 71, 80, 81, 85, 90, 94, 99</t>
        </is>
      </c>
      <c r="M12" t="inlineStr">
        <is>
          <t>TRÚNG HỎA LỰC 🎯</t>
        </is>
      </c>
      <c r="N12" t="inlineStr">
        <is>
          <t>TRÚNG N1 🎯</t>
        </is>
      </c>
      <c r="O12" t="inlineStr">
        <is>
          <t>03, 04, 08, 09, 12, 13, 17, 18, 21, 22, 26, 27, 30, 31, 35, 36, 40, 44, 45, 49, 53, 54, 58, 59, 62, 63, 67, 68, 71, 72, 76, 77, 80, 81, 85, 86, 90, 94, 95, 99</t>
        </is>
      </c>
    </row>
    <row r="13">
      <c r="A13" t="n">
        <v>215</v>
      </c>
      <c r="B13" t="inlineStr">
        <is>
          <t>Thứ bảy ngày 08-08-2026</t>
        </is>
      </c>
      <c r="C13" t="inlineStr">
        <is>
          <t>Thứ Sáu</t>
        </is>
      </c>
      <c r="D13" t="inlineStr">
        <is>
          <t>04922</t>
        </is>
      </c>
      <c r="E13" t="inlineStr">
        <is>
          <t>22</t>
        </is>
      </c>
      <c r="F13" t="inlineStr">
        <is>
          <t>G7.1, G7.4</t>
        </is>
      </c>
      <c r="G13" t="inlineStr">
        <is>
          <t>Tổng 1, Tổng 3, Tổng 4, Tổng 6, Tổng 8, Tổng 9</t>
        </is>
      </c>
      <c r="H13" t="inlineStr">
        <is>
          <t>0123456789</t>
        </is>
      </c>
      <c r="I13" t="inlineStr">
        <is>
          <t>Tổng 4-Bóng 9</t>
        </is>
      </c>
      <c r="J13" t="n">
        <v>60</v>
      </c>
      <c r="K13" t="inlineStr">
        <is>
          <t>TRÚNG N1 🎯</t>
        </is>
      </c>
      <c r="L13" t="inlineStr">
        <is>
          <t>01, 04, 09, 10, 36, 38, 42, 47, 51, 53, 54, 60, 63, 67, 79, 83, 85, 90, 94, 99</t>
        </is>
      </c>
      <c r="M13" t="inlineStr">
        <is>
          <t>TRƯỢT ❌</t>
        </is>
      </c>
      <c r="N13" t="inlineStr">
        <is>
          <t>TRÚNG N1 🎯</t>
        </is>
      </c>
      <c r="O1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4">
      <c r="A14" t="n">
        <v>214</v>
      </c>
      <c r="B14" t="inlineStr">
        <is>
          <t>Thứ sáu ngày 07-08-2026</t>
        </is>
      </c>
      <c r="C14" t="inlineStr">
        <is>
          <t>Thứ Năm</t>
        </is>
      </c>
      <c r="D14" t="inlineStr">
        <is>
          <t>16479</t>
        </is>
      </c>
      <c r="E14" t="inlineStr">
        <is>
          <t>79</t>
        </is>
      </c>
      <c r="F14" t="inlineStr">
        <is>
          <t>G7.4, G7.1</t>
        </is>
      </c>
      <c r="G14" t="inlineStr">
        <is>
          <t>Tổng 2, Tổng 3, Tổng 7, Tổng 8</t>
        </is>
      </c>
      <c r="H14" t="inlineStr">
        <is>
          <t>01345689</t>
        </is>
      </c>
      <c r="I14" t="inlineStr">
        <is>
          <t>Tổng 2-Bóng 7</t>
        </is>
      </c>
      <c r="J14" t="n">
        <v>40</v>
      </c>
      <c r="K14" t="inlineStr">
        <is>
          <t>TRƯỢT ❌</t>
        </is>
      </c>
      <c r="L14" t="inlineStr">
        <is>
          <t>03, 08, 16, 17, 21, 25, 34, 39, 43, 52, 53, 67, 70, 71, 80, 84, 85, 89, 94, 99</t>
        </is>
      </c>
      <c r="M14" t="inlineStr">
        <is>
          <t>TRƯỢT ❌</t>
        </is>
      </c>
      <c r="N14" t="inlineStr">
        <is>
          <t>TRÚNG N3 🎯</t>
        </is>
      </c>
      <c r="O14" t="inlineStr">
        <is>
          <t>02, 03, 07, 08, 11, 12, 16, 17, 20, 21, 25, 26, 30, 34, 35, 39, 43, 44, 48, 49, 52, 53, 57, 58, 61, 62, 66, 67, 70, 71, 75, 76, 80, 84, 85, 89, 93, 94, 98, 99</t>
        </is>
      </c>
    </row>
    <row r="15">
      <c r="A15" t="n">
        <v>213</v>
      </c>
      <c r="B15" t="inlineStr">
        <is>
          <t>Thứ năm ngày 06-08-2026</t>
        </is>
      </c>
      <c r="C15" t="inlineStr">
        <is>
          <t>Thứ Tư</t>
        </is>
      </c>
      <c r="D15" t="inlineStr">
        <is>
          <t>26167</t>
        </is>
      </c>
      <c r="E15" t="inlineStr">
        <is>
          <t>67</t>
        </is>
      </c>
      <c r="F15" t="inlineStr">
        <is>
          <t>G7.2, G7.4</t>
        </is>
      </c>
      <c r="G15" t="inlineStr">
        <is>
          <t>Tổng 0, Tổng 1, Tổng 4, Tổng 5, Tổng 6, Tổng 9</t>
        </is>
      </c>
      <c r="H15" t="inlineStr">
        <is>
          <t>0123456789</t>
        </is>
      </c>
      <c r="I15" t="inlineStr">
        <is>
          <t>Tổng 0-Bóng 5</t>
        </is>
      </c>
      <c r="J15" t="n">
        <v>60</v>
      </c>
      <c r="K15" t="inlineStr">
        <is>
          <t>TRƯỢT ❌</t>
        </is>
      </c>
      <c r="L15" t="inlineStr">
        <is>
          <t>00, 01, 04, 09, 10, 19, 23, 28, 36, 38, 42, 47, 51, 54, 60, 63, 79, 83, 90, 96</t>
        </is>
      </c>
      <c r="M15" t="inlineStr">
        <is>
          <t>TRƯỢT ❌</t>
        </is>
      </c>
      <c r="N15" t="inlineStr">
        <is>
          <t>TRÚNG N2 🎯</t>
        </is>
      </c>
      <c r="O15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6">
      <c r="A16" t="n">
        <v>212</v>
      </c>
      <c r="B16" t="inlineStr">
        <is>
          <t>Thứ tư ngày 05-08-2026</t>
        </is>
      </c>
      <c r="C16" t="inlineStr">
        <is>
          <t>Thứ Ba</t>
        </is>
      </c>
      <c r="D16" t="inlineStr">
        <is>
          <t>59760</t>
        </is>
      </c>
      <c r="E16" t="inlineStr">
        <is>
          <t>60</t>
        </is>
      </c>
      <c r="F16" t="inlineStr">
        <is>
          <t>G7.3, G7.4</t>
        </is>
      </c>
      <c r="G16" t="inlineStr">
        <is>
          <t>Tổng 0, Tổng 3, Tổng 4, Tổng 5, Tổng 8, Tổng 9</t>
        </is>
      </c>
      <c r="H16" t="inlineStr">
        <is>
          <t>234789</t>
        </is>
      </c>
      <c r="I16" t="inlineStr">
        <is>
          <t>Tổng 9-Bóng 4</t>
        </is>
      </c>
      <c r="J16" t="n">
        <v>56</v>
      </c>
      <c r="K16" t="inlineStr">
        <is>
          <t>TRƯỢT ❌</t>
        </is>
      </c>
      <c r="L16" t="inlineStr">
        <is>
          <t>04, 08, 09, 14, 19, 23, 28, 32, 36, 53, 54, 63, 67, 68, 80, 85, 90, 94, 96, 99</t>
        </is>
      </c>
      <c r="M16" t="inlineStr">
        <is>
          <t>TRƯỢT ❌</t>
        </is>
      </c>
      <c r="N16" t="inlineStr">
        <is>
          <t>TRÚNG N2 🎯</t>
        </is>
      </c>
      <c r="O16" t="inlineStr">
        <is>
          <t>03, 04, 08, 09, 12, 13, 14, 17, 18, 19, 21, 22, 23, 26, 27, 28, 30, 31, 32, 35, 36, 37, 40, 41, 44, 45, 46, 49, 53, 54, 58, 59, 62, 63, 64, 67, 68, 69, 71, 72, 73, 76, 77, 78, 80, 81, 82, 85, 86, 87, 90, 91, 94, 95, 96, 99</t>
        </is>
      </c>
    </row>
    <row r="17">
      <c r="A17" t="n">
        <v>211</v>
      </c>
      <c r="B17" t="inlineStr">
        <is>
          <t>Thứ ba ngày 04-08-2026</t>
        </is>
      </c>
      <c r="C17" t="inlineStr">
        <is>
          <t>Thứ Hai</t>
        </is>
      </c>
      <c r="D17" t="inlineStr">
        <is>
          <t>51125</t>
        </is>
      </c>
      <c r="E17" t="inlineStr">
        <is>
          <t>25</t>
        </is>
      </c>
      <c r="F17" t="inlineStr">
        <is>
          <t>G7.2, G7.4</t>
        </is>
      </c>
      <c r="G17" t="inlineStr">
        <is>
          <t>Tổng 0, Tổng 1, Tổng 4, Tổng 5, Tổng 6, Tổng 9</t>
        </is>
      </c>
      <c r="H17" t="inlineStr">
        <is>
          <t>0123456789</t>
        </is>
      </c>
      <c r="I17" t="inlineStr">
        <is>
          <t>Tổng 6-Bóng 1</t>
        </is>
      </c>
      <c r="J17" t="n">
        <v>60</v>
      </c>
      <c r="K17" t="inlineStr">
        <is>
          <t>TRƯỢT ❌</t>
        </is>
      </c>
      <c r="L17" t="inlineStr">
        <is>
          <t>00, 01, 04, 09, 10, 19, 23, 28, 36, 38, 47, 51, 54, 63, 65, 79, 83, 90, 96, 97</t>
        </is>
      </c>
      <c r="M17" t="inlineStr">
        <is>
          <t>TRƯỢT ❌</t>
        </is>
      </c>
      <c r="N17" t="inlineStr">
        <is>
          <t>TRÚNG N2 🎯</t>
        </is>
      </c>
      <c r="O17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8">
      <c r="A18" t="n">
        <v>210</v>
      </c>
      <c r="B18" t="inlineStr">
        <is>
          <t>Thứ hai ngày 03-08-2026</t>
        </is>
      </c>
      <c r="C18" t="inlineStr">
        <is>
          <t>Chủ Nhật</t>
        </is>
      </c>
      <c r="D18" t="inlineStr">
        <is>
          <t>79247</t>
        </is>
      </c>
      <c r="E18" t="inlineStr">
        <is>
          <t>47</t>
        </is>
      </c>
      <c r="F18" t="inlineStr">
        <is>
          <t>G7.3, G7.1</t>
        </is>
      </c>
      <c r="G18" t="inlineStr">
        <is>
          <t>Tổng 0, Tổng 2, Tổng 4, Tổng 5, Tổng 7, Tổng 9</t>
        </is>
      </c>
      <c r="H18" t="inlineStr">
        <is>
          <t>0123456789</t>
        </is>
      </c>
      <c r="I18" t="inlineStr">
        <is>
          <t>Tổng 9-Bóng 4</t>
        </is>
      </c>
      <c r="J18" t="n">
        <v>60</v>
      </c>
      <c r="K18" t="inlineStr">
        <is>
          <t>TRƯỢT ❌</t>
        </is>
      </c>
      <c r="L18" t="inlineStr">
        <is>
          <t>00, 04, 09, 16, 19, 23, 28, 34, 36, 39, 54, 63, 68, 70, 78, 84, 87, 89, 90, 96</t>
        </is>
      </c>
      <c r="M18" t="inlineStr">
        <is>
          <t>TRƯỢT ❌</t>
        </is>
      </c>
      <c r="N18" t="inlineStr">
        <is>
          <t>TRÚNG N2 🎯</t>
        </is>
      </c>
      <c r="O18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9">
      <c r="A19" t="n">
        <v>209</v>
      </c>
      <c r="B19" t="inlineStr">
        <is>
          <t>Chủ nhật ngày 02-08-2026</t>
        </is>
      </c>
      <c r="C19" t="inlineStr">
        <is>
          <t>Thứ Bảy</t>
        </is>
      </c>
      <c r="D19" t="inlineStr">
        <is>
          <t>11909</t>
        </is>
      </c>
      <c r="E19" t="inlineStr">
        <is>
          <t>09</t>
        </is>
      </c>
      <c r="F19" t="inlineStr">
        <is>
          <t>G7.1, G7.3</t>
        </is>
      </c>
      <c r="G19" t="inlineStr">
        <is>
          <t>Tổng 0, Tổng 1, Tổng 2, Tổng 5, Tổng 6, Tổng 7</t>
        </is>
      </c>
      <c r="H19" t="inlineStr">
        <is>
          <t>0123456789</t>
        </is>
      </c>
      <c r="I19" t="inlineStr">
        <is>
          <t>Tổng 5-Bóng 0</t>
        </is>
      </c>
      <c r="J19" t="n">
        <v>60</v>
      </c>
      <c r="K19" t="inlineStr">
        <is>
          <t>TRƯỢT ❌</t>
        </is>
      </c>
      <c r="L19" t="inlineStr">
        <is>
          <t>00, 01, 10, 16, 19, 23, 28, 34, 38, 39, 47, 51, 65, 70, 79, 83, 87, 89, 96, 97</t>
        </is>
      </c>
      <c r="M19" t="inlineStr">
        <is>
          <t>TRƯỢT ❌</t>
        </is>
      </c>
      <c r="N19" t="inlineStr">
        <is>
          <t>TRÚNG N2 🎯</t>
        </is>
      </c>
      <c r="O19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20">
      <c r="A20" t="n">
        <v>208</v>
      </c>
      <c r="B20" t="inlineStr">
        <is>
          <t>Thứ bảy ngày 01-08-2026</t>
        </is>
      </c>
      <c r="C20" t="inlineStr">
        <is>
          <t>Thứ Sáu</t>
        </is>
      </c>
      <c r="D20" t="inlineStr">
        <is>
          <t>44823</t>
        </is>
      </c>
      <c r="E20" t="inlineStr">
        <is>
          <t>23</t>
        </is>
      </c>
      <c r="F20" t="inlineStr">
        <is>
          <t>G7.1, G7.4</t>
        </is>
      </c>
      <c r="G20" t="inlineStr">
        <is>
          <t>Tổng 1, Tổng 4, Tổng 6, Tổng 9</t>
        </is>
      </c>
      <c r="H20" t="inlineStr">
        <is>
          <t>01345689</t>
        </is>
      </c>
      <c r="I20" t="inlineStr">
        <is>
          <t>Tổng 4-Bóng 9</t>
        </is>
      </c>
      <c r="J20" t="n">
        <v>36</v>
      </c>
      <c r="K20" t="inlineStr">
        <is>
          <t>TRƯỢT ❌</t>
        </is>
      </c>
      <c r="L20" t="inlineStr">
        <is>
          <t>01, 04, 10, 36, 38, 40, 42, 47, 51, 54, 60, 63, 65, 68, 79, 81, 83, 90, 92, 97</t>
        </is>
      </c>
      <c r="M20" t="inlineStr">
        <is>
          <t>TRƯỢT ❌</t>
        </is>
      </c>
      <c r="N20" t="inlineStr">
        <is>
          <t>TRÚNG N2 🎯</t>
        </is>
      </c>
      <c r="O20" t="inlineStr">
        <is>
          <t>01, 04, 06, 09, 10, 13, 15, 18, 24, 29, 31, 33, 36, 38, 40, 42, 45, 47, 51, 54, 56, 59, 60, 63, 65, 68, 74, 79, 81, 83, 86, 88, 90, 92, 95, 97</t>
        </is>
      </c>
    </row>
    <row r="21">
      <c r="A21" t="n">
        <v>207</v>
      </c>
      <c r="B21" t="inlineStr">
        <is>
          <t>Thứ sáu ngày 31-07-2026</t>
        </is>
      </c>
      <c r="C21" t="inlineStr">
        <is>
          <t>Thứ Năm</t>
        </is>
      </c>
      <c r="D21" t="inlineStr">
        <is>
          <t>41710</t>
        </is>
      </c>
      <c r="E21" t="inlineStr">
        <is>
          <t>10</t>
        </is>
      </c>
      <c r="F21" t="inlineStr">
        <is>
          <t>G7.4, G7.1</t>
        </is>
      </c>
      <c r="G21" t="inlineStr">
        <is>
          <t>Tổng 0, Tổng 1, Tổng 4, Tổng 5, Tổng 6, Tổng 9</t>
        </is>
      </c>
      <c r="H21" t="inlineStr">
        <is>
          <t>0123456789</t>
        </is>
      </c>
      <c r="I21" t="inlineStr">
        <is>
          <t>Tổng 0-Bóng 5</t>
        </is>
      </c>
      <c r="J21" t="n">
        <v>60</v>
      </c>
      <c r="K21" t="inlineStr">
        <is>
          <t>TRÚNG N1 🎯</t>
        </is>
      </c>
      <c r="L21" t="inlineStr">
        <is>
          <t>00, 01, 04, 19, 23, 28, 36, 38, 42, 47, 51, 54, 63, 65, 79, 83, 87, 90, 96, 97</t>
        </is>
      </c>
      <c r="M21" t="inlineStr">
        <is>
          <t>TRƯỢT ❌</t>
        </is>
      </c>
      <c r="N21" t="inlineStr">
        <is>
          <t>TRÚNG N1 🎯</t>
        </is>
      </c>
      <c r="O21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22">
      <c r="A22" t="n">
        <v>206</v>
      </c>
      <c r="B22" t="inlineStr">
        <is>
          <t>Thứ năm ngày 30-07-2026</t>
        </is>
      </c>
      <c r="C22" t="inlineStr">
        <is>
          <t>Thứ Tư</t>
        </is>
      </c>
      <c r="D22" t="inlineStr">
        <is>
          <t>50834</t>
        </is>
      </c>
      <c r="E22" t="inlineStr">
        <is>
          <t>34</t>
        </is>
      </c>
      <c r="F22" t="inlineStr">
        <is>
          <t>G7.2, G7.4</t>
        </is>
      </c>
      <c r="G22" t="inlineStr">
        <is>
          <t>Tổng 2, Tổng 3, Tổng 4, Tổng 7, Tổng 8, Tổng 9</t>
        </is>
      </c>
      <c r="H22" t="inlineStr">
        <is>
          <t>0123456789</t>
        </is>
      </c>
      <c r="I22" t="inlineStr">
        <is>
          <t>Tổng 8-Bóng 3</t>
        </is>
      </c>
      <c r="J22" t="n">
        <v>60</v>
      </c>
      <c r="K22" t="inlineStr">
        <is>
          <t>TRÚNG N1 🎯</t>
        </is>
      </c>
      <c r="L22" t="inlineStr">
        <is>
          <t>04, 08, 16, 36, 39, 53, 54, 63, 67, 68, 70, 71, 80, 84, 85, 89, 90, 93, 94, 99</t>
        </is>
      </c>
      <c r="M22" t="inlineStr">
        <is>
          <t>TRƯỢT ❌</t>
        </is>
      </c>
      <c r="N22" t="inlineStr">
        <is>
          <t>TRÚNG N1 🎯</t>
        </is>
      </c>
      <c r="O22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23">
      <c r="A23" t="n">
        <v>205</v>
      </c>
      <c r="B23" t="inlineStr">
        <is>
          <t>Thứ tư ngày 29-07-2026</t>
        </is>
      </c>
      <c r="C23" t="inlineStr">
        <is>
          <t>Thứ Ba</t>
        </is>
      </c>
      <c r="D23" t="inlineStr">
        <is>
          <t>39983</t>
        </is>
      </c>
      <c r="E23" t="inlineStr">
        <is>
          <t>83</t>
        </is>
      </c>
      <c r="F23" t="inlineStr">
        <is>
          <t>G7.3, G7.4</t>
        </is>
      </c>
      <c r="G23" t="inlineStr">
        <is>
          <t>Tổng 0, Tổng 1, Tổng 5, Tổng 6</t>
        </is>
      </c>
      <c r="H23" t="inlineStr">
        <is>
          <t>01345689</t>
        </is>
      </c>
      <c r="I23" t="inlineStr">
        <is>
          <t>Tổng 6-Bóng 1</t>
        </is>
      </c>
      <c r="J23" t="n">
        <v>40</v>
      </c>
      <c r="K23" t="inlineStr">
        <is>
          <t>TRÚNG N1 🎯</t>
        </is>
      </c>
      <c r="L23" t="inlineStr">
        <is>
          <t>00, 01, 14, 19, 23, 28, 32, 37, 38, 42, 47, 51, 60, 65, 78, 79, 83, 87, 96, 97</t>
        </is>
      </c>
      <c r="M23" t="inlineStr">
        <is>
          <t>TRÚNG HỎA LỰC 🎯</t>
        </is>
      </c>
      <c r="N23" t="inlineStr">
        <is>
          <t>TRÚNG N1 🎯</t>
        </is>
      </c>
      <c r="O23" t="inlineStr">
        <is>
          <t>00, 01, 05, 06, 10, 14, 15, 19, 23, 24, 28, 29, 32, 33, 37, 38, 41, 42, 46, 47, 50, 51, 55, 56, 60, 64, 65, 69, 73, 74, 78, 79, 82, 83, 87, 88, 91, 92, 96, 97</t>
        </is>
      </c>
    </row>
    <row r="24">
      <c r="A24" t="n">
        <v>204</v>
      </c>
      <c r="B24" t="inlineStr">
        <is>
          <t>Thứ ba ngày 28-07-2026</t>
        </is>
      </c>
      <c r="C24" t="inlineStr">
        <is>
          <t>Thứ Hai</t>
        </is>
      </c>
      <c r="D24" t="inlineStr">
        <is>
          <t>65000</t>
        </is>
      </c>
      <c r="E24" t="inlineStr">
        <is>
          <t>00</t>
        </is>
      </c>
      <c r="F24" t="inlineStr">
        <is>
          <t>G7.4, G7.2</t>
        </is>
      </c>
      <c r="G24" t="inlineStr">
        <is>
          <t>Tổng 0, Tổng 1, Tổng 2, Tổng 5, Tổng 6, Tổng 7</t>
        </is>
      </c>
      <c r="H24" t="inlineStr">
        <is>
          <t>02345789</t>
        </is>
      </c>
      <c r="I24" t="inlineStr">
        <is>
          <t>Tổng 0-Bóng 5</t>
        </is>
      </c>
      <c r="J24" t="n">
        <v>56</v>
      </c>
      <c r="K24" t="inlineStr">
        <is>
          <t>TRÚNG N1 🎯</t>
        </is>
      </c>
      <c r="L24" t="inlineStr">
        <is>
          <t>01, 19, 23, 28, 32, 38, 39, 42, 47, 51, 52, 65, 70, 79, 83, 84, 87, 89, 96, 97</t>
        </is>
      </c>
      <c r="M24" t="inlineStr">
        <is>
          <t>TRƯỢT ❌</t>
        </is>
      </c>
      <c r="N24" t="inlineStr">
        <is>
          <t>TRÚNG N1 🎯</t>
        </is>
      </c>
      <c r="O24" t="inlineStr">
        <is>
          <t>00, 01, 02, 05, 06, 07, 10, 14, 15, 19, 20, 23, 24, 25, 28, 29, 32, 33, 34, 37, 38, 39, 41, 42, 43, 46, 47, 48, 50, 51, 52, 55, 56, 57, 60, 64, 65, 69, 70, 73, 74, 75, 78, 79, 82, 83, 84, 87, 88, 89, 91, 92, 93, 96, 97, 98</t>
        </is>
      </c>
    </row>
    <row r="25">
      <c r="A25" t="n">
        <v>203</v>
      </c>
      <c r="B25" t="inlineStr">
        <is>
          <t>Thứ hai ngày 27-07-2026</t>
        </is>
      </c>
      <c r="C25" t="inlineStr">
        <is>
          <t>Chủ Nhật</t>
        </is>
      </c>
      <c r="D25" t="inlineStr">
        <is>
          <t>54796</t>
        </is>
      </c>
      <c r="E25" t="inlineStr">
        <is>
          <t>96</t>
        </is>
      </c>
      <c r="F25" t="inlineStr">
        <is>
          <t>G7.3, G7.1</t>
        </is>
      </c>
      <c r="G25" t="inlineStr">
        <is>
          <t>Tổng 0, Tổng 2, Tổng 3, Tổng 5, Tổng 7, Tổng 8</t>
        </is>
      </c>
      <c r="H25" t="inlineStr">
        <is>
          <t>01235678</t>
        </is>
      </c>
      <c r="I25" t="inlineStr">
        <is>
          <t>Tổng 3-Bóng 8</t>
        </is>
      </c>
      <c r="J25" t="n">
        <v>56</v>
      </c>
      <c r="K25" t="inlineStr">
        <is>
          <t>TRÚNG N1 🎯</t>
        </is>
      </c>
      <c r="L25" t="inlineStr">
        <is>
          <t>08, 16, 19, 23, 28, 32, 37, 39, 50, 52, 53, 67, 70, 71, 78, 80, 84, 85, 87, 89</t>
        </is>
      </c>
      <c r="M25" t="inlineStr">
        <is>
          <t>TRƯỢT ❌</t>
        </is>
      </c>
      <c r="N25" t="inlineStr">
        <is>
          <t>TRÚNG N1 🎯</t>
        </is>
      </c>
      <c r="O25" t="inlineStr">
        <is>
          <t>00, 02, 03, 05, 07, 08, 11, 12, 14, 16, 17, 19, 20, 21, 23, 25, 26, 28, 30, 32, 34, 35, 37, 39, 41, 43, 46, 48, 50, 52, 53, 55, 57, 58, 61, 62, 64, 66, 67, 69, 70, 71, 73, 75, 76, 78, 80, 82, 84, 85, 87, 89, 91, 93, 96, 98</t>
        </is>
      </c>
    </row>
    <row r="26">
      <c r="A26" t="n">
        <v>202</v>
      </c>
      <c r="B26" t="inlineStr">
        <is>
          <t>Chủ nhật ngày 26-07-2026</t>
        </is>
      </c>
      <c r="C26" t="inlineStr">
        <is>
          <t>Thứ Bảy</t>
        </is>
      </c>
      <c r="D26" t="inlineStr">
        <is>
          <t>42916</t>
        </is>
      </c>
      <c r="E26" t="inlineStr">
        <is>
          <t>16</t>
        </is>
      </c>
      <c r="F26" t="inlineStr">
        <is>
          <t>G7.1, G7.3</t>
        </is>
      </c>
      <c r="G26" t="inlineStr">
        <is>
          <t>Tổng 0, Tổng 3, Tổng 5, Tổng 8</t>
        </is>
      </c>
      <c r="H26" t="inlineStr">
        <is>
          <t>0123456789</t>
        </is>
      </c>
      <c r="I26" t="inlineStr">
        <is>
          <t>Tổng 5-Bóng 0</t>
        </is>
      </c>
      <c r="J26" t="n">
        <v>40</v>
      </c>
      <c r="K26" t="inlineStr">
        <is>
          <t>TRƯỢT ❌</t>
        </is>
      </c>
      <c r="L26" t="inlineStr">
        <is>
          <t>00, 03, 08, 14, 19, 23, 28, 32, 37, 50, 53, 55, 67, 71, 78, 80, 85, 87, 94, 99</t>
        </is>
      </c>
      <c r="M26" t="inlineStr">
        <is>
          <t>TRƯỢT ❌</t>
        </is>
      </c>
      <c r="N26" t="inlineStr">
        <is>
          <t>TRÚNG N2 🎯</t>
        </is>
      </c>
      <c r="O26" t="inlineStr">
        <is>
          <t>00, 03, 05, 08, 12, 14, 17, 19, 21, 23, 26, 28, 30, 32, 35, 37, 41, 44, 46, 49, 50, 53, 55, 58, 62, 64, 67, 69, 71, 73, 76, 78, 80, 82, 85, 87, 91, 94, 96, 99</t>
        </is>
      </c>
    </row>
    <row r="27">
      <c r="A27" t="n">
        <v>201</v>
      </c>
      <c r="B27" t="inlineStr">
        <is>
          <t>Thứ bảy ngày 25-07-2026</t>
        </is>
      </c>
      <c r="C27" t="inlineStr">
        <is>
          <t>Thứ Sáu</t>
        </is>
      </c>
      <c r="D27" t="inlineStr">
        <is>
          <t>89228</t>
        </is>
      </c>
      <c r="E27" t="inlineStr">
        <is>
          <t>28</t>
        </is>
      </c>
      <c r="F27" t="inlineStr">
        <is>
          <t>G7.4, G7.1</t>
        </is>
      </c>
      <c r="G27" t="inlineStr">
        <is>
          <t>Tổng 0, Tổng 1, Tổng 2, Tổng 5, Tổng 6, Tổng 7</t>
        </is>
      </c>
      <c r="H27" t="inlineStr">
        <is>
          <t>0123456789</t>
        </is>
      </c>
      <c r="I27" t="inlineStr">
        <is>
          <t>Tổng 2-Bóng 7</t>
        </is>
      </c>
      <c r="J27" t="n">
        <v>60</v>
      </c>
      <c r="K27" t="inlineStr">
        <is>
          <t>TRÚNG N1 🎯</t>
        </is>
      </c>
      <c r="L27" t="inlineStr">
        <is>
          <t>01, 16, 19, 23, 28, 32, 38, 39, 42, 47, 51, 52, 65, 70, 79, 83, 84, 87, 89, 97</t>
        </is>
      </c>
      <c r="M27" t="inlineStr">
        <is>
          <t>TRÚNG HỎA LỰC 🎯</t>
        </is>
      </c>
      <c r="N27" t="inlineStr">
        <is>
          <t>TRÚNG N1 🎯</t>
        </is>
      </c>
      <c r="O27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28">
      <c r="A28" t="n">
        <v>200</v>
      </c>
      <c r="B28" t="inlineStr">
        <is>
          <t>Thứ sáu ngày 24-07-2026</t>
        </is>
      </c>
      <c r="C28" t="inlineStr">
        <is>
          <t>Thứ Năm</t>
        </is>
      </c>
      <c r="D28" t="inlineStr">
        <is>
          <t>94738</t>
        </is>
      </c>
      <c r="E28" t="inlineStr">
        <is>
          <t>38</t>
        </is>
      </c>
      <c r="F28" t="inlineStr">
        <is>
          <t>G7.4, G7.1</t>
        </is>
      </c>
      <c r="G28" t="inlineStr">
        <is>
          <t>Tổng 0, Tổng 3, Tổng 4, Tổng 5, Tổng 8, Tổng 9</t>
        </is>
      </c>
      <c r="H28" t="inlineStr">
        <is>
          <t>0123456789</t>
        </is>
      </c>
      <c r="I28" t="inlineStr">
        <is>
          <t>Tổng 5-Bóng 0</t>
        </is>
      </c>
      <c r="J28" t="n">
        <v>60</v>
      </c>
      <c r="K28" t="inlineStr">
        <is>
          <t>TRƯỢT ❌</t>
        </is>
      </c>
      <c r="L28" t="inlineStr">
        <is>
          <t>04, 19, 23, 28, 32, 36, 37, 50, 53, 54, 63, 67, 68, 71, 80, 85, 87, 90, 94, 99</t>
        </is>
      </c>
      <c r="M28" t="inlineStr">
        <is>
          <t>TRƯỢT ❌</t>
        </is>
      </c>
      <c r="N28" t="inlineStr">
        <is>
          <t>TRÚNG N2 🎯</t>
        </is>
      </c>
      <c r="O28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29">
      <c r="A29" t="n">
        <v>199</v>
      </c>
      <c r="B29" t="inlineStr">
        <is>
          <t>Thứ năm ngày 23-07-2026</t>
        </is>
      </c>
      <c r="C29" t="inlineStr">
        <is>
          <t>Thứ Tư</t>
        </is>
      </c>
      <c r="D29" t="inlineStr">
        <is>
          <t>78754</t>
        </is>
      </c>
      <c r="E29" t="inlineStr">
        <is>
          <t>54</t>
        </is>
      </c>
      <c r="F29" t="inlineStr">
        <is>
          <t>G7.2, G7.4</t>
        </is>
      </c>
      <c r="G29" t="inlineStr">
        <is>
          <t>Tổng 0, Tổng 2, Tổng 4, Tổng 5, Tổng 7, Tổng 9</t>
        </is>
      </c>
      <c r="H29" t="inlineStr">
        <is>
          <t>01245679</t>
        </is>
      </c>
      <c r="I29" t="inlineStr">
        <is>
          <t>Tổng 2-Bóng 7</t>
        </is>
      </c>
      <c r="J29" t="n">
        <v>60</v>
      </c>
      <c r="K29" t="inlineStr">
        <is>
          <t>TRÚNG N1 🎯</t>
        </is>
      </c>
      <c r="L29" t="inlineStr">
        <is>
          <t>04, 16, 19, 23, 28, 32, 36, 37, 39, 50, 52, 54, 63, 68, 70, 78, 84, 87, 89, 90</t>
        </is>
      </c>
      <c r="M29" t="inlineStr">
        <is>
          <t>TRÚNG HỎA LỰC 🎯</t>
        </is>
      </c>
      <c r="N29" t="inlineStr">
        <is>
          <t>TRÚNG N1 🎯</t>
        </is>
      </c>
      <c r="O29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30">
      <c r="A30" t="n">
        <v>198</v>
      </c>
      <c r="B30" t="inlineStr">
        <is>
          <t>Thứ tư ngày 22-07-2026</t>
        </is>
      </c>
      <c r="C30" t="inlineStr">
        <is>
          <t>Thứ Ba</t>
        </is>
      </c>
      <c r="D30" t="inlineStr">
        <is>
          <t>92154</t>
        </is>
      </c>
      <c r="E30" t="inlineStr">
        <is>
          <t>54</t>
        </is>
      </c>
      <c r="F30" t="inlineStr">
        <is>
          <t>G7.3, G7.4</t>
        </is>
      </c>
      <c r="G30" t="inlineStr">
        <is>
          <t>Tổng 1, Tổng 3, Tổng 4, Tổng 6, Tổng 8, Tổng 9</t>
        </is>
      </c>
      <c r="H30" t="inlineStr">
        <is>
          <t>02345789</t>
        </is>
      </c>
      <c r="I30" t="inlineStr">
        <is>
          <t>Tổng 8-Bóng 3</t>
        </is>
      </c>
      <c r="J30" t="n">
        <v>60</v>
      </c>
      <c r="K30" t="inlineStr">
        <is>
          <t>TRÚNG N1 🎯</t>
        </is>
      </c>
      <c r="L30" t="inlineStr">
        <is>
          <t>01, 04, 36, 38, 42, 47, 51, 53, 54, 63, 65, 67, 71, 79, 83, 85, 90, 94, 97, 99</t>
        </is>
      </c>
      <c r="M30" t="inlineStr">
        <is>
          <t>TRÚNG HỎA LỰC 🎯</t>
        </is>
      </c>
      <c r="N30" t="inlineStr">
        <is>
          <t>TRÚNG N1 🎯</t>
        </is>
      </c>
      <c r="O30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31">
      <c r="A31" t="n">
        <v>197</v>
      </c>
      <c r="B31" t="inlineStr">
        <is>
          <t>Thứ ba ngày 21-07-2026</t>
        </is>
      </c>
      <c r="C31" t="inlineStr">
        <is>
          <t>Thứ Hai</t>
        </is>
      </c>
      <c r="D31" t="inlineStr">
        <is>
          <t>73070</t>
        </is>
      </c>
      <c r="E31" t="inlineStr">
        <is>
          <t>70</t>
        </is>
      </c>
      <c r="F31" t="inlineStr">
        <is>
          <t>G7.4, G7.2</t>
        </is>
      </c>
      <c r="G31" t="inlineStr">
        <is>
          <t>Tổng 3, Tổng 4, Tổng 8, Tổng 9</t>
        </is>
      </c>
      <c r="H31" t="inlineStr">
        <is>
          <t>01345689</t>
        </is>
      </c>
      <c r="I31" t="inlineStr">
        <is>
          <t>Tổng 3-Bóng 8</t>
        </is>
      </c>
      <c r="J31" t="n">
        <v>36</v>
      </c>
      <c r="K31" t="inlineStr">
        <is>
          <t>TRƯỢT ❌</t>
        </is>
      </c>
      <c r="L31" t="inlineStr">
        <is>
          <t>03, 04, 08, 13, 17, 21, 36, 53, 54, 59, 63, 67, 68, 71, 80, 81, 85, 90, 94, 99</t>
        </is>
      </c>
      <c r="M31" t="inlineStr">
        <is>
          <t>TRƯỢT ❌</t>
        </is>
      </c>
      <c r="N31" t="inlineStr">
        <is>
          <t>TRÚNG N2 🎯</t>
        </is>
      </c>
      <c r="O31" t="inlineStr">
        <is>
          <t>03, 04, 08, 09, 12, 13, 17, 18, 21, 26, 30, 31, 35, 36, 40, 44, 45, 49, 53, 54, 58, 59, 62, 63, 67, 68, 71, 76, 80, 81, 85, 86, 90, 94, 95, 99</t>
        </is>
      </c>
    </row>
    <row r="32">
      <c r="A32" t="n">
        <v>196</v>
      </c>
      <c r="B32" t="inlineStr">
        <is>
          <t>Thứ hai ngày 20-07-2026</t>
        </is>
      </c>
      <c r="C32" t="inlineStr">
        <is>
          <t>Chủ Nhật</t>
        </is>
      </c>
      <c r="D32" t="inlineStr">
        <is>
          <t>39128</t>
        </is>
      </c>
      <c r="E32" t="inlineStr">
        <is>
          <t>28</t>
        </is>
      </c>
      <c r="F32" t="inlineStr">
        <is>
          <t>G7.3, G7.1</t>
        </is>
      </c>
      <c r="G32" t="inlineStr">
        <is>
          <t>Tổng 0, Tổng 2, Tổng 4, Tổng 5, Tổng 7, Tổng 9</t>
        </is>
      </c>
      <c r="H32" t="inlineStr">
        <is>
          <t>01235678</t>
        </is>
      </c>
      <c r="I32" t="inlineStr">
        <is>
          <t>Tổng 5-Bóng 0</t>
        </is>
      </c>
      <c r="J32" t="n">
        <v>60</v>
      </c>
      <c r="K32" t="inlineStr">
        <is>
          <t>TRÚNG N1 🎯</t>
        </is>
      </c>
      <c r="L32" t="inlineStr">
        <is>
          <t>04, 14, 16, 19, 23, 32, 36, 37, 39, 50, 52, 54, 63, 68, 78, 81, 84, 87, 89, 90</t>
        </is>
      </c>
      <c r="M32" t="inlineStr">
        <is>
          <t>TRƯỢT ❌</t>
        </is>
      </c>
      <c r="N32" t="inlineStr">
        <is>
          <t>TRÚNG N1 🎯</t>
        </is>
      </c>
      <c r="O32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33">
      <c r="A33" t="n">
        <v>195</v>
      </c>
      <c r="B33" t="inlineStr">
        <is>
          <t>Chủ nhật ngày 19-07-2026</t>
        </is>
      </c>
      <c r="C33" t="inlineStr">
        <is>
          <t>Thứ Bảy</t>
        </is>
      </c>
      <c r="D33" t="inlineStr">
        <is>
          <t>46438</t>
        </is>
      </c>
      <c r="E33" t="inlineStr">
        <is>
          <t>38</t>
        </is>
      </c>
      <c r="F33" t="inlineStr">
        <is>
          <t>G7.1, G7.3</t>
        </is>
      </c>
      <c r="G33" t="inlineStr">
        <is>
          <t>Tổng 3, Tổng 4, Tổng 8, Tổng 9</t>
        </is>
      </c>
      <c r="H33" t="inlineStr">
        <is>
          <t>01345689</t>
        </is>
      </c>
      <c r="I33" t="inlineStr">
        <is>
          <t>Tổng 8-Bóng 3</t>
        </is>
      </c>
      <c r="J33" t="n">
        <v>36</v>
      </c>
      <c r="K33" t="inlineStr">
        <is>
          <t>TRƯỢT ❌</t>
        </is>
      </c>
      <c r="L33" t="inlineStr">
        <is>
          <t>03, 04, 08, 13, 17, 21, 36, 53, 54, 63, 67, 68, 71, 76, 80, 81, 85, 90, 94, 99</t>
        </is>
      </c>
      <c r="M33" t="inlineStr">
        <is>
          <t>TRƯỢT ❌</t>
        </is>
      </c>
      <c r="N33" t="inlineStr">
        <is>
          <t>TRƯỢT KHUNG ❌</t>
        </is>
      </c>
      <c r="O33" t="inlineStr">
        <is>
          <t>03, 04, 08, 09, 12, 13, 17, 18, 21, 26, 30, 31, 35, 36, 40, 44, 45, 49, 53, 54, 58, 59, 62, 63, 67, 68, 71, 76, 80, 81, 85, 86, 90, 94, 95, 99</t>
        </is>
      </c>
    </row>
    <row r="34">
      <c r="A34" t="n">
        <v>194</v>
      </c>
      <c r="B34" t="inlineStr">
        <is>
          <t>Thứ bảy ngày 18-07-2026</t>
        </is>
      </c>
      <c r="C34" t="inlineStr">
        <is>
          <t>Thứ Sáu</t>
        </is>
      </c>
      <c r="D34" t="inlineStr">
        <is>
          <t>26890</t>
        </is>
      </c>
      <c r="E34" t="inlineStr">
        <is>
          <t>90</t>
        </is>
      </c>
      <c r="F34" t="inlineStr">
        <is>
          <t>G7.4, G7.2</t>
        </is>
      </c>
      <c r="G34" t="inlineStr">
        <is>
          <t>Tổng 3, Tổng 4, Tổng 8, Tổng 9</t>
        </is>
      </c>
      <c r="H34" t="inlineStr">
        <is>
          <t>0123456789</t>
        </is>
      </c>
      <c r="I34" t="inlineStr">
        <is>
          <t>Tổng 8-Bóng 3</t>
        </is>
      </c>
      <c r="J34" t="n">
        <v>40</v>
      </c>
      <c r="K34" t="inlineStr">
        <is>
          <t>TRÚNG N1 🎯</t>
        </is>
      </c>
      <c r="L34" t="inlineStr">
        <is>
          <t>03, 04, 08, 13, 17, 21, 36, 53, 54, 59, 63, 67, 68, 71, 76, 80, 81, 85, 94, 99</t>
        </is>
      </c>
      <c r="M34" t="inlineStr">
        <is>
          <t>TRƯỢT ❌</t>
        </is>
      </c>
      <c r="N34" t="inlineStr">
        <is>
          <t>TRÚNG N1 🎯</t>
        </is>
      </c>
      <c r="O34" t="inlineStr">
        <is>
          <t>03, 04, 08, 09, 12, 13, 17, 18, 21, 22, 26, 27, 30, 31, 35, 36, 40, 44, 45, 49, 53, 54, 58, 59, 62, 63, 67, 68, 71, 72, 76, 77, 80, 81, 85, 86, 90, 94, 95, 99</t>
        </is>
      </c>
    </row>
    <row r="35">
      <c r="A35" t="n">
        <v>193</v>
      </c>
      <c r="B35" t="inlineStr">
        <is>
          <t>Thứ sáu ngày 17-07-2026</t>
        </is>
      </c>
      <c r="C35" t="inlineStr">
        <is>
          <t>Thứ Năm</t>
        </is>
      </c>
      <c r="D35" t="inlineStr">
        <is>
          <t>45739</t>
        </is>
      </c>
      <c r="E35" t="inlineStr">
        <is>
          <t>39</t>
        </is>
      </c>
      <c r="F35" t="inlineStr">
        <is>
          <t>G7.4, G7.1</t>
        </is>
      </c>
      <c r="G35" t="inlineStr">
        <is>
          <t>Tổng 2, Tổng 7</t>
        </is>
      </c>
      <c r="H35" t="inlineStr">
        <is>
          <t>01345689</t>
        </is>
      </c>
      <c r="I35" t="inlineStr">
        <is>
          <t>Tổng 7-Bóng 2</t>
        </is>
      </c>
      <c r="J35" t="n">
        <v>20</v>
      </c>
      <c r="K35" t="inlineStr">
        <is>
          <t>TRÚNG N1 🎯</t>
        </is>
      </c>
      <c r="L35" t="inlineStr">
        <is>
          <t>02, 07, 11, 16, 20, 25, 34, 39, 43, 48, 52, 57, 61, 66, 70, 75, 84, 89, 93, 98</t>
        </is>
      </c>
      <c r="M35" t="inlineStr">
        <is>
          <t>TRÚNG HỎA LỰC 🎯</t>
        </is>
      </c>
      <c r="N35" t="inlineStr">
        <is>
          <t>TRÚNG N1 🎯</t>
        </is>
      </c>
      <c r="O35" t="inlineStr">
        <is>
          <t>02, 07, 11, 16, 20, 25, 34, 39, 43, 48, 52, 57, 61, 66, 70, 75, 84, 89, 93, 98</t>
        </is>
      </c>
    </row>
    <row r="36">
      <c r="A36" t="n">
        <v>192</v>
      </c>
      <c r="B36" t="inlineStr">
        <is>
          <t>Thứ năm ngày 16-07-2026</t>
        </is>
      </c>
      <c r="C36" t="inlineStr">
        <is>
          <t>Thứ Tư</t>
        </is>
      </c>
      <c r="D36" t="inlineStr">
        <is>
          <t>96763</t>
        </is>
      </c>
      <c r="E36" t="inlineStr">
        <is>
          <t>63</t>
        </is>
      </c>
      <c r="F36" t="inlineStr">
        <is>
          <t>G7.2, G7.4</t>
        </is>
      </c>
      <c r="G36" t="inlineStr">
        <is>
          <t>Tổng 1, Tổng 3, Tổng 4, Tổng 6, Tổng 8, Tổng 9</t>
        </is>
      </c>
      <c r="H36" t="inlineStr">
        <is>
          <t>02345789</t>
        </is>
      </c>
      <c r="I36" t="inlineStr">
        <is>
          <t>Tổng 9-Bóng 4</t>
        </is>
      </c>
      <c r="J36" t="n">
        <v>60</v>
      </c>
      <c r="K36" t="inlineStr">
        <is>
          <t>TRÚNG N1 🎯</t>
        </is>
      </c>
      <c r="L36" t="inlineStr">
        <is>
          <t>01, 03, 04, 36, 42, 47, 51, 53, 54, 60, 65, 67, 68, 71, 79, 83, 85, 94, 97, 99</t>
        </is>
      </c>
      <c r="M36" t="inlineStr">
        <is>
          <t>TRƯỢT ❌</t>
        </is>
      </c>
      <c r="N36" t="inlineStr">
        <is>
          <t>TRÚNG N1 🎯</t>
        </is>
      </c>
      <c r="O36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37">
      <c r="A37" t="n">
        <v>191</v>
      </c>
      <c r="B37" t="inlineStr">
        <is>
          <t>Thứ tư ngày 15-07-2026</t>
        </is>
      </c>
      <c r="C37" t="inlineStr">
        <is>
          <t>Thứ Ba</t>
        </is>
      </c>
      <c r="D37" t="inlineStr">
        <is>
          <t>36119</t>
        </is>
      </c>
      <c r="E37" t="inlineStr">
        <is>
          <t>19</t>
        </is>
      </c>
      <c r="F37" t="inlineStr">
        <is>
          <t>G7.3, G7.1</t>
        </is>
      </c>
      <c r="G37" t="inlineStr">
        <is>
          <t>Tổng 0, Tổng 1, Tổng 4, Tổng 5, Tổng 6, Tổng 9</t>
        </is>
      </c>
      <c r="H37" t="inlineStr">
        <is>
          <t>0123456789</t>
        </is>
      </c>
      <c r="I37" t="inlineStr">
        <is>
          <t>Tổng 1-Bóng 6</t>
        </is>
      </c>
      <c r="J37" t="n">
        <v>60</v>
      </c>
      <c r="K37" t="inlineStr">
        <is>
          <t>TRÚNG N1 🎯</t>
        </is>
      </c>
      <c r="L37" t="inlineStr">
        <is>
          <t>01, 04, 23, 32, 36, 37, 42, 47, 50, 51, 54, 55, 60, 65, 68, 78, 79, 83, 87, 97</t>
        </is>
      </c>
      <c r="M37" t="inlineStr">
        <is>
          <t>TRƯỢT ❌</t>
        </is>
      </c>
      <c r="N37" t="inlineStr">
        <is>
          <t>TRÚNG N1 🎯</t>
        </is>
      </c>
      <c r="O37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38">
      <c r="A38" t="n">
        <v>190</v>
      </c>
      <c r="B38" t="inlineStr">
        <is>
          <t>Thứ ba ngày 14-07-2026</t>
        </is>
      </c>
      <c r="C38" t="inlineStr">
        <is>
          <t>Thứ Hai</t>
        </is>
      </c>
      <c r="D38" t="inlineStr">
        <is>
          <t>59147</t>
        </is>
      </c>
      <c r="E38" t="inlineStr">
        <is>
          <t>47</t>
        </is>
      </c>
      <c r="F38" t="inlineStr">
        <is>
          <t>G7.4, G7.2</t>
        </is>
      </c>
      <c r="G38" t="inlineStr">
        <is>
          <t>Tổng 2, Tổng 3, Tổng 4, Tổng 7, Tổng 8, Tổng 9</t>
        </is>
      </c>
      <c r="H38" t="inlineStr">
        <is>
          <t>01245679</t>
        </is>
      </c>
      <c r="I38" t="inlineStr">
        <is>
          <t>Tổng 4-Bóng 9</t>
        </is>
      </c>
      <c r="J38" t="n">
        <v>60</v>
      </c>
      <c r="K38" t="inlineStr">
        <is>
          <t>TRƯỢT ❌</t>
        </is>
      </c>
      <c r="L38" t="inlineStr">
        <is>
          <t>03, 04, 08, 16, 21, 36, 39, 43, 52, 53, 54, 67, 68, 71, 80, 84, 85, 89, 94, 99</t>
        </is>
      </c>
      <c r="M38" t="inlineStr">
        <is>
          <t>TRƯỢT ❌</t>
        </is>
      </c>
      <c r="N38" t="inlineStr">
        <is>
          <t>TRÚNG N3 🎯</t>
        </is>
      </c>
      <c r="O38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39">
      <c r="A39" t="n">
        <v>189</v>
      </c>
      <c r="B39" t="inlineStr">
        <is>
          <t>Thứ hai ngày 13-07-2026</t>
        </is>
      </c>
      <c r="C39" t="inlineStr">
        <is>
          <t>Chủ Nhật</t>
        </is>
      </c>
      <c r="D39" t="inlineStr">
        <is>
          <t>74299</t>
        </is>
      </c>
      <c r="E39" t="inlineStr">
        <is>
          <t>99</t>
        </is>
      </c>
      <c r="F39" t="inlineStr">
        <is>
          <t>G7.3, G7.1</t>
        </is>
      </c>
      <c r="G39" t="inlineStr">
        <is>
          <t>Tổng 0, Tổng 2, Tổng 4, Tổng 5, Tổng 7, Tổng 9</t>
        </is>
      </c>
      <c r="H39" t="inlineStr">
        <is>
          <t>0123456789</t>
        </is>
      </c>
      <c r="I39" t="inlineStr">
        <is>
          <t>Tổng 7-Bóng 2</t>
        </is>
      </c>
      <c r="J39" t="n">
        <v>60</v>
      </c>
      <c r="K39" t="inlineStr">
        <is>
          <t>TRƯỢT ❌</t>
        </is>
      </c>
      <c r="L39" t="inlineStr">
        <is>
          <t>00, 04, 14, 16, 23, 32, 36, 37, 39, 43, 50, 52, 54, 55, 68, 69, 78, 84, 87, 89</t>
        </is>
      </c>
      <c r="M39" t="inlineStr">
        <is>
          <t>TRƯỢT ❌</t>
        </is>
      </c>
      <c r="N39" t="inlineStr">
        <is>
          <t>TRÚNG N3 🎯</t>
        </is>
      </c>
      <c r="O39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40">
      <c r="A40" t="n">
        <v>188</v>
      </c>
      <c r="B40" t="inlineStr">
        <is>
          <t>Chủ nhật ngày 12-07-2026</t>
        </is>
      </c>
      <c r="C40" t="inlineStr">
        <is>
          <t>Thứ Bảy</t>
        </is>
      </c>
      <c r="D40" t="inlineStr">
        <is>
          <t>10494</t>
        </is>
      </c>
      <c r="E40" t="inlineStr">
        <is>
          <t>94</t>
        </is>
      </c>
      <c r="F40" t="inlineStr">
        <is>
          <t>G7.1, G7.3</t>
        </is>
      </c>
      <c r="G40" t="inlineStr">
        <is>
          <t>Tổng 0, Tổng 1, Tổng 2, Tổng 5, Tổng 6, Tổng 7</t>
        </is>
      </c>
      <c r="H40" t="inlineStr">
        <is>
          <t>01235678</t>
        </is>
      </c>
      <c r="I40" t="inlineStr">
        <is>
          <t>Tổng 2-Bóng 7</t>
        </is>
      </c>
      <c r="J40" t="n">
        <v>60</v>
      </c>
      <c r="K40" t="inlineStr">
        <is>
          <t>TRƯỢT ❌</t>
        </is>
      </c>
      <c r="L40" t="inlineStr">
        <is>
          <t>00, 01, 14, 16, 23, 32, 37, 39, 42, 51, 52, 55, 60, 65, 79, 83, 84, 87, 89, 97</t>
        </is>
      </c>
      <c r="M40" t="inlineStr">
        <is>
          <t>TRƯỢT ❌</t>
        </is>
      </c>
      <c r="N40" t="inlineStr">
        <is>
          <t>TRÚNG N3 🎯</t>
        </is>
      </c>
      <c r="O40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41">
      <c r="A41" t="n">
        <v>187</v>
      </c>
      <c r="B41" t="inlineStr">
        <is>
          <t>Thứ bảy ngày 11-07-2026</t>
        </is>
      </c>
      <c r="C41" t="inlineStr">
        <is>
          <t>Thứ Sáu</t>
        </is>
      </c>
      <c r="D41" t="inlineStr">
        <is>
          <t>09401</t>
        </is>
      </c>
      <c r="E41" t="inlineStr">
        <is>
          <t>01</t>
        </is>
      </c>
      <c r="F41" t="inlineStr">
        <is>
          <t>G7.4, G7.1</t>
        </is>
      </c>
      <c r="G41" t="inlineStr">
        <is>
          <t>Tổng 0, Tổng 2, Tổng 5, Tổng 7</t>
        </is>
      </c>
      <c r="H41" t="inlineStr">
        <is>
          <t>0123456789</t>
        </is>
      </c>
      <c r="I41" t="inlineStr">
        <is>
          <t>Tổng 2-Bóng 7</t>
        </is>
      </c>
      <c r="J41" t="n">
        <v>40</v>
      </c>
      <c r="K41" t="inlineStr">
        <is>
          <t>TRƯỢT ❌</t>
        </is>
      </c>
      <c r="L41" t="inlineStr">
        <is>
          <t>00, 05, 11, 14, 16, 23, 32, 37, 39, 43, 50, 52, 55, 61, 69, 78, 84, 87, 89, 93</t>
        </is>
      </c>
      <c r="M41" t="inlineStr">
        <is>
          <t>TRƯỢT ❌</t>
        </is>
      </c>
      <c r="N41" t="inlineStr">
        <is>
          <t>TRƯỢT KHUNG ❌</t>
        </is>
      </c>
      <c r="O41" t="inlineStr">
        <is>
          <t>00, 02, 05, 07, 11, 14, 16, 19, 20, 23, 25, 28, 32, 34, 37, 39, 41, 43, 46, 48, 50, 52, 55, 57, 61, 64, 66, 69, 70, 73, 75, 78, 82, 84, 87, 89, 91, 93, 96, 98</t>
        </is>
      </c>
    </row>
    <row r="42">
      <c r="A42" t="n">
        <v>186</v>
      </c>
      <c r="B42" t="inlineStr">
        <is>
          <t>Thứ sáu ngày 10-07-2026</t>
        </is>
      </c>
      <c r="C42" t="inlineStr">
        <is>
          <t>Thứ Năm</t>
        </is>
      </c>
      <c r="D42" t="inlineStr">
        <is>
          <t>72767</t>
        </is>
      </c>
      <c r="E42" t="inlineStr">
        <is>
          <t>67</t>
        </is>
      </c>
      <c r="F42" t="inlineStr">
        <is>
          <t>G7.4, G7.1</t>
        </is>
      </c>
      <c r="G42" t="inlineStr">
        <is>
          <t>Tổng 0, Tổng 2, Tổng 4, Tổng 5, Tổng 7, Tổng 9</t>
        </is>
      </c>
      <c r="H42" t="inlineStr">
        <is>
          <t>01345689</t>
        </is>
      </c>
      <c r="I42" t="inlineStr">
        <is>
          <t>Tổng 7-Bóng 2</t>
        </is>
      </c>
      <c r="J42" t="n">
        <v>56</v>
      </c>
      <c r="K42" t="inlineStr">
        <is>
          <t>TRƯỢT ❌</t>
        </is>
      </c>
      <c r="L42" t="inlineStr">
        <is>
          <t>00, 04, 14, 16, 23, 32, 36, 37, 39, 43, 50, 52, 54, 55, 68, 69, 78, 84, 87, 89</t>
        </is>
      </c>
      <c r="M42" t="inlineStr">
        <is>
          <t>TRƯỢT ❌</t>
        </is>
      </c>
      <c r="N42" t="inlineStr">
        <is>
          <t>TRƯỢT KHUNG ❌</t>
        </is>
      </c>
      <c r="O42" t="inlineStr">
        <is>
          <t>00, 02, 04, 05, 07, 09, 11, 13, 14, 16, 18, 19, 20, 23, 25, 28, 31, 32, 34, 36, 37, 39, 40, 41, 43, 45, 46, 48, 50, 52, 54, 55, 57, 59, 61, 63, 64, 66, 68, 69, 70, 73, 75, 78, 81, 82, 84, 86, 87, 89, 90, 91, 93, 95, 96, 98</t>
        </is>
      </c>
    </row>
    <row r="43">
      <c r="A43" t="n">
        <v>185</v>
      </c>
      <c r="B43" t="inlineStr">
        <is>
          <t>Thứ năm ngày 09-07-2026</t>
        </is>
      </c>
      <c r="C43" t="inlineStr">
        <is>
          <t>Thứ Tư</t>
        </is>
      </c>
      <c r="D43" t="inlineStr">
        <is>
          <t>69185</t>
        </is>
      </c>
      <c r="E43" t="inlineStr">
        <is>
          <t>85</t>
        </is>
      </c>
      <c r="F43" t="inlineStr">
        <is>
          <t>G7.2, G7.4</t>
        </is>
      </c>
      <c r="G43" t="inlineStr">
        <is>
          <t>Tổng 0, Tổng 1, Tổng 5, Tổng 6</t>
        </is>
      </c>
      <c r="H43" t="inlineStr">
        <is>
          <t>0123456789</t>
        </is>
      </c>
      <c r="I43" t="inlineStr">
        <is>
          <t>Tổng 1-Bóng 6</t>
        </is>
      </c>
      <c r="J43" t="n">
        <v>40</v>
      </c>
      <c r="K43" t="inlineStr">
        <is>
          <t>TRƯỢT ❌</t>
        </is>
      </c>
      <c r="L43" t="inlineStr">
        <is>
          <t>00, 05, 14, 23, 32, 33, 37, 38, 42, 50, 51, 55, 60, 65, 69, 78, 79, 83, 87, 97</t>
        </is>
      </c>
      <c r="M43" t="inlineStr">
        <is>
          <t>TRƯỢT ❌</t>
        </is>
      </c>
      <c r="N43" t="inlineStr">
        <is>
          <t>TRÚNG N3 🎯</t>
        </is>
      </c>
      <c r="O43" t="inlineStr">
        <is>
          <t>00, 01, 05, 06, 10, 14, 15, 19, 23, 24, 28, 29, 32, 33, 37, 38, 41, 42, 46, 47, 50, 51, 55, 56, 60, 64, 65, 69, 73, 74, 78, 79, 82, 83, 87, 88, 91, 92, 96, 97</t>
        </is>
      </c>
    </row>
    <row r="44">
      <c r="A44" t="n">
        <v>184</v>
      </c>
      <c r="B44" t="inlineStr">
        <is>
          <t>Thứ tư ngày 08-07-2026</t>
        </is>
      </c>
      <c r="C44" t="inlineStr">
        <is>
          <t>Thứ Ba</t>
        </is>
      </c>
      <c r="D44" t="inlineStr">
        <is>
          <t>95089</t>
        </is>
      </c>
      <c r="E44" t="inlineStr">
        <is>
          <t>89</t>
        </is>
      </c>
      <c r="F44" t="inlineStr">
        <is>
          <t>G7.3, G7.1</t>
        </is>
      </c>
      <c r="G44" t="inlineStr">
        <is>
          <t>Tổng 3, Tổng 4, Tổng 8, Tổng 9</t>
        </is>
      </c>
      <c r="H44" t="inlineStr">
        <is>
          <t>0123456789</t>
        </is>
      </c>
      <c r="I44" t="inlineStr">
        <is>
          <t>Tổng 9-Bóng 4</t>
        </is>
      </c>
      <c r="J44" t="n">
        <v>40</v>
      </c>
      <c r="K44" t="inlineStr">
        <is>
          <t>TRƯỢT ❌</t>
        </is>
      </c>
      <c r="L44" t="inlineStr">
        <is>
          <t>03, 04, 08, 12, 13, 17, 21, 36, 40, 53, 54, 59, 63, 68, 71, 76, 80, 81, 85, 94</t>
        </is>
      </c>
      <c r="M44" t="inlineStr">
        <is>
          <t>TRƯỢT ❌</t>
        </is>
      </c>
      <c r="N44" t="inlineStr">
        <is>
          <t>TRÚNG N2 🎯</t>
        </is>
      </c>
      <c r="O44" t="inlineStr">
        <is>
          <t>03, 04, 08, 09, 12, 13, 17, 18, 21, 22, 26, 27, 30, 31, 35, 36, 40, 44, 45, 49, 53, 54, 58, 59, 62, 63, 67, 68, 71, 72, 76, 77, 80, 81, 85, 86, 90, 94, 95, 99</t>
        </is>
      </c>
    </row>
    <row r="45">
      <c r="A45" t="n">
        <v>183</v>
      </c>
      <c r="B45" t="inlineStr">
        <is>
          <t>Thứ ba ngày 07-07-2026</t>
        </is>
      </c>
      <c r="C45" t="inlineStr">
        <is>
          <t>Thứ Hai</t>
        </is>
      </c>
      <c r="D45" t="inlineStr">
        <is>
          <t>92579</t>
        </is>
      </c>
      <c r="E45" t="inlineStr">
        <is>
          <t>79</t>
        </is>
      </c>
      <c r="F45" t="inlineStr">
        <is>
          <t>G7.4, G7.2</t>
        </is>
      </c>
      <c r="G45" t="inlineStr">
        <is>
          <t>Tổng 0, Tổng 2, Tổng 3, Tổng 5, Tổng 7, Tổng 8</t>
        </is>
      </c>
      <c r="H45" t="inlineStr">
        <is>
          <t>02345789</t>
        </is>
      </c>
      <c r="I45" t="inlineStr">
        <is>
          <t>Tổng 3-Bóng 8</t>
        </is>
      </c>
      <c r="J45" t="n">
        <v>56</v>
      </c>
      <c r="K45" t="inlineStr">
        <is>
          <t>TRƯỢT ❌</t>
        </is>
      </c>
      <c r="L45" t="inlineStr">
        <is>
          <t>00, 03, 05, 08, 14, 23, 32, 37, 39, 50, 52, 53, 55, 69, 71, 80, 84, 87, 89, 93</t>
        </is>
      </c>
      <c r="M45" t="inlineStr">
        <is>
          <t>TRƯỢT ❌</t>
        </is>
      </c>
      <c r="N45" t="inlineStr">
        <is>
          <t>TRÚNG N2 🎯</t>
        </is>
      </c>
      <c r="O45" t="inlineStr">
        <is>
          <t>00, 02, 03, 05, 07, 08, 12, 14, 17, 19, 20, 21, 23, 25, 26, 28, 30, 32, 34, 35, 37, 39, 41, 43, 44, 46, 48, 49, 50, 52, 53, 55, 57, 58, 62, 64, 67, 69, 70, 71, 73, 75, 76, 78, 80, 82, 84, 85, 87, 89, 91, 93, 94, 96, 98, 99</t>
        </is>
      </c>
    </row>
    <row r="46">
      <c r="A46" t="n">
        <v>182</v>
      </c>
      <c r="B46" t="inlineStr">
        <is>
          <t>Thứ hai ngày 06-07-2026</t>
        </is>
      </c>
      <c r="C46" t="inlineStr">
        <is>
          <t>Chủ Nhật</t>
        </is>
      </c>
      <c r="D46" t="inlineStr">
        <is>
          <t>43497</t>
        </is>
      </c>
      <c r="E46" t="inlineStr">
        <is>
          <t>97</t>
        </is>
      </c>
      <c r="F46" t="inlineStr">
        <is>
          <t>G7.3, G7.1</t>
        </is>
      </c>
      <c r="G46" t="inlineStr">
        <is>
          <t>Tổng 0, Tổng 3, Tổng 5, Tổng 8</t>
        </is>
      </c>
      <c r="H46" t="inlineStr">
        <is>
          <t>01345689</t>
        </is>
      </c>
      <c r="I46" t="inlineStr">
        <is>
          <t>Tổng 5-Bóng 0</t>
        </is>
      </c>
      <c r="J46" t="n">
        <v>40</v>
      </c>
      <c r="K46" t="inlineStr">
        <is>
          <t>TRƯỢT ❌</t>
        </is>
      </c>
      <c r="L46" t="inlineStr">
        <is>
          <t>00, 03, 05, 08, 14, 17, 21, 23, 32, 37, 50, 53, 55, 69, 71, 78, 80, 85, 87, 94</t>
        </is>
      </c>
      <c r="M46" t="inlineStr">
        <is>
          <t>TRƯỢT ❌</t>
        </is>
      </c>
      <c r="N46" t="inlineStr">
        <is>
          <t>TRƯỢT KHUNG ❌</t>
        </is>
      </c>
      <c r="O46" t="inlineStr">
        <is>
          <t>00, 03, 05, 08, 12, 14, 17, 19, 21, 23, 26, 28, 30, 32, 35, 37, 41, 44, 46, 49, 50, 53, 55, 58, 62, 64, 67, 69, 71, 73, 76, 78, 80, 82, 85, 87, 91, 94, 96, 99</t>
        </is>
      </c>
    </row>
    <row r="47">
      <c r="A47" t="n">
        <v>181</v>
      </c>
      <c r="B47" t="inlineStr">
        <is>
          <t>Chủ nhật ngày 05-07-2026</t>
        </is>
      </c>
      <c r="C47" t="inlineStr">
        <is>
          <t>Thứ Bảy</t>
        </is>
      </c>
      <c r="D47" t="inlineStr">
        <is>
          <t>66771</t>
        </is>
      </c>
      <c r="E47" t="inlineStr">
        <is>
          <t>71</t>
        </is>
      </c>
      <c r="F47" t="inlineStr">
        <is>
          <t>G7.1, G7.3</t>
        </is>
      </c>
      <c r="G47" t="inlineStr">
        <is>
          <t>Tổng 0, Tổng 3, Tổng 5, Tổng 8</t>
        </is>
      </c>
      <c r="H47" t="inlineStr">
        <is>
          <t>0123456789</t>
        </is>
      </c>
      <c r="I47" t="inlineStr">
        <is>
          <t>Tổng 8-Bóng 3</t>
        </is>
      </c>
      <c r="J47" t="n">
        <v>40</v>
      </c>
      <c r="K47" t="inlineStr">
        <is>
          <t>TRÚNG N1 🎯</t>
        </is>
      </c>
      <c r="L47" t="inlineStr">
        <is>
          <t>00, 03, 05, 08, 14, 17, 21, 23, 32, 37, 41, 50, 53, 55, 69, 78, 80, 85, 87, 94</t>
        </is>
      </c>
      <c r="M47" t="inlineStr">
        <is>
          <t>TRƯỢT ❌</t>
        </is>
      </c>
      <c r="N47" t="inlineStr">
        <is>
          <t>TRÚNG N1 🎯</t>
        </is>
      </c>
      <c r="O47" t="inlineStr">
        <is>
          <t>00, 03, 05, 08, 12, 14, 17, 19, 21, 23, 26, 28, 30, 32, 35, 37, 41, 44, 46, 49, 50, 53, 55, 58, 62, 64, 67, 69, 71, 73, 76, 78, 80, 82, 85, 87, 91, 94, 96, 99</t>
        </is>
      </c>
    </row>
    <row r="48">
      <c r="A48" t="n">
        <v>180</v>
      </c>
      <c r="B48" t="inlineStr">
        <is>
          <t>Thứ bảy ngày 04-07-2026</t>
        </is>
      </c>
      <c r="C48" t="inlineStr">
        <is>
          <t>Thứ Sáu</t>
        </is>
      </c>
      <c r="D48" t="inlineStr">
        <is>
          <t>14887</t>
        </is>
      </c>
      <c r="E48" t="inlineStr">
        <is>
          <t>87</t>
        </is>
      </c>
      <c r="F48" t="inlineStr">
        <is>
          <t>G7.4, G7.1</t>
        </is>
      </c>
      <c r="G48" t="inlineStr">
        <is>
          <t>Tổng 2, Tổng 4, Tổng 7, Tổng 9</t>
        </is>
      </c>
      <c r="H48" t="inlineStr">
        <is>
          <t>0123456789</t>
        </is>
      </c>
      <c r="I48" t="inlineStr">
        <is>
          <t>Tổng 2-Bóng 7</t>
        </is>
      </c>
      <c r="J48" t="n">
        <v>40</v>
      </c>
      <c r="K48" t="inlineStr">
        <is>
          <t>TRƯỢT ❌</t>
        </is>
      </c>
      <c r="L48" t="inlineStr">
        <is>
          <t>04, 11, 13, 16, 20, 25, 36, 39, 40, 43, 48, 52, 54, 59, 61, 68, 81, 84, 89, 93</t>
        </is>
      </c>
      <c r="M48" t="inlineStr">
        <is>
          <t>TRƯỢT ❌</t>
        </is>
      </c>
      <c r="N48" t="inlineStr">
        <is>
          <t>TRƯỢT KHUNG ❌</t>
        </is>
      </c>
      <c r="O48" t="inlineStr">
        <is>
          <t>02, 04, 07, 09, 11, 13, 16, 18, 20, 22, 25, 27, 31, 34, 36, 39, 40, 43, 45, 48, 52, 54, 57, 59, 61, 63, 66, 68, 70, 72, 75, 77, 81, 84, 86, 89, 90, 93, 95, 98</t>
        </is>
      </c>
    </row>
    <row r="49">
      <c r="A49" t="n">
        <v>179</v>
      </c>
      <c r="B49" t="inlineStr">
        <is>
          <t>Thứ sáu ngày 03-07-2026</t>
        </is>
      </c>
      <c r="C49" t="inlineStr">
        <is>
          <t>Thứ Năm</t>
        </is>
      </c>
      <c r="D49" t="inlineStr">
        <is>
          <t>18165</t>
        </is>
      </c>
      <c r="E49" t="inlineStr">
        <is>
          <t>65</t>
        </is>
      </c>
      <c r="F49" t="inlineStr">
        <is>
          <t>G7.4, G7.1</t>
        </is>
      </c>
      <c r="G49" t="inlineStr">
        <is>
          <t>Tổng 0, Tổng 2, Tổng 4, Tổng 5, Tổng 7, Tổng 9</t>
        </is>
      </c>
      <c r="H49" t="inlineStr">
        <is>
          <t>02345789</t>
        </is>
      </c>
      <c r="I49" t="inlineStr">
        <is>
          <t>Tổng 5-Bóng 0</t>
        </is>
      </c>
      <c r="J49" t="n">
        <v>56</v>
      </c>
      <c r="K49" t="inlineStr">
        <is>
          <t>TRƯỢT ❌</t>
        </is>
      </c>
      <c r="L49" t="inlineStr">
        <is>
          <t>00, 04, 05, 14, 23, 32, 36, 37, 39, 43, 50, 52, 54, 55, 68, 69, 78, 84, 89, 93</t>
        </is>
      </c>
      <c r="M49" t="inlineStr">
        <is>
          <t>TRƯỢT ❌</t>
        </is>
      </c>
      <c r="N49" t="inlineStr">
        <is>
          <t>TRÚNG N2 🎯</t>
        </is>
      </c>
      <c r="O49" t="inlineStr">
        <is>
          <t>00, 02, 04, 05, 07, 09, 13, 14, 18, 19, 20, 22, 23, 25, 27, 28, 31, 32, 34, 36, 37, 39, 40, 41, 43, 45, 46, 48, 50, 52, 54, 55, 57, 59, 63, 64, 68, 69, 70, 72, 73, 75, 77, 78, 81, 82, 84, 86, 87, 89, 90, 91, 93, 95, 96, 98</t>
        </is>
      </c>
    </row>
    <row r="50">
      <c r="A50" t="n">
        <v>178</v>
      </c>
      <c r="B50" t="inlineStr">
        <is>
          <t>Thứ năm ngày 02-07-2026</t>
        </is>
      </c>
      <c r="C50" t="inlineStr">
        <is>
          <t>Thứ Tư</t>
        </is>
      </c>
      <c r="D50" t="inlineStr">
        <is>
          <t>51139</t>
        </is>
      </c>
      <c r="E50" t="inlineStr">
        <is>
          <t>39</t>
        </is>
      </c>
      <c r="F50" t="inlineStr">
        <is>
          <t>G7.2, G7.4</t>
        </is>
      </c>
      <c r="G50" t="inlineStr">
        <is>
          <t>Tổng 2, Tổng 3, Tổng 4, Tổng 7, Tổng 8, Tổng 9</t>
        </is>
      </c>
      <c r="H50" t="inlineStr">
        <is>
          <t>0123456789</t>
        </is>
      </c>
      <c r="I50" t="inlineStr">
        <is>
          <t>Tổng 9-Bóng 4</t>
        </is>
      </c>
      <c r="J50" t="n">
        <v>60</v>
      </c>
      <c r="K50" t="inlineStr">
        <is>
          <t>TRÚNG N1 🎯</t>
        </is>
      </c>
      <c r="L50" t="inlineStr">
        <is>
          <t>03, 04, 08, 16, 17, 21, 36, 39, 40, 43, 52, 53, 54, 68, 80, 81, 84, 89, 93, 94</t>
        </is>
      </c>
      <c r="M50" t="inlineStr">
        <is>
          <t>TRÚNG HỎA LỰC 🎯</t>
        </is>
      </c>
      <c r="N50" t="inlineStr">
        <is>
          <t>TRÚNG N1 🎯</t>
        </is>
      </c>
      <c r="O50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51">
      <c r="A51" t="n">
        <v>177</v>
      </c>
      <c r="B51" t="inlineStr">
        <is>
          <t>Thứ tư ngày 01-07-2026</t>
        </is>
      </c>
      <c r="C51" t="inlineStr">
        <is>
          <t>Thứ Ba</t>
        </is>
      </c>
      <c r="D51" t="inlineStr">
        <is>
          <t>31854</t>
        </is>
      </c>
      <c r="E51" t="inlineStr">
        <is>
          <t>54</t>
        </is>
      </c>
      <c r="F51" t="inlineStr">
        <is>
          <t>G7.3, G7.4</t>
        </is>
      </c>
      <c r="G51" t="inlineStr">
        <is>
          <t>Tổng 0, Tổng 1, Tổng 3, Tổng 5, Tổng 6, Tổng 8</t>
        </is>
      </c>
      <c r="H51" t="inlineStr">
        <is>
          <t>0123456789</t>
        </is>
      </c>
      <c r="I51" t="inlineStr">
        <is>
          <t>Tổng 5-Bóng 0</t>
        </is>
      </c>
      <c r="J51" t="n">
        <v>60</v>
      </c>
      <c r="K51" t="inlineStr">
        <is>
          <t>TRƯỢT ❌</t>
        </is>
      </c>
      <c r="L51" t="inlineStr">
        <is>
          <t>00, 03, 05, 08, 14, 17, 23, 32, 37, 42, 50, 51, 53, 55, 60, 65, 69, 78, 80, 83</t>
        </is>
      </c>
      <c r="M51" t="inlineStr">
        <is>
          <t>TRƯỢT ❌</t>
        </is>
      </c>
      <c r="N51" t="inlineStr">
        <is>
          <t>TRÚNG N3 🎯</t>
        </is>
      </c>
      <c r="O51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52">
      <c r="A52" t="n">
        <v>176</v>
      </c>
      <c r="B52" t="inlineStr">
        <is>
          <t>Thứ ba ngày 30-06-2026</t>
        </is>
      </c>
      <c r="C52" t="inlineStr">
        <is>
          <t>Thứ Hai</t>
        </is>
      </c>
      <c r="D52" t="inlineStr">
        <is>
          <t>60468</t>
        </is>
      </c>
      <c r="E52" t="inlineStr">
        <is>
          <t>68</t>
        </is>
      </c>
      <c r="F52" t="inlineStr">
        <is>
          <t>G7.4, G7.2</t>
        </is>
      </c>
      <c r="G52" t="inlineStr">
        <is>
          <t>Tổng 2, Tổng 3, Tổng 4, Tổng 7, Tổng 8, Tổng 9</t>
        </is>
      </c>
      <c r="H52" t="inlineStr">
        <is>
          <t>02345789</t>
        </is>
      </c>
      <c r="I52" t="inlineStr">
        <is>
          <t>Tổng 9-Bóng 4</t>
        </is>
      </c>
      <c r="J52" t="n">
        <v>56</v>
      </c>
      <c r="K52" t="inlineStr">
        <is>
          <t>TRÚNG N1 🎯</t>
        </is>
      </c>
      <c r="L52" t="inlineStr">
        <is>
          <t>03, 04, 08, 12, 17, 21, 36, 39, 40, 43, 52, 53, 54, 68, 80, 81, 84, 89, 93, 94</t>
        </is>
      </c>
      <c r="M52" t="inlineStr">
        <is>
          <t>TRÚNG HỎA LỰC 🎯</t>
        </is>
      </c>
      <c r="N52" t="inlineStr">
        <is>
          <t>TRÚNG N1 🎯</t>
        </is>
      </c>
      <c r="O52" t="inlineStr">
        <is>
          <t>02, 03, 04, 07, 08, 09, 12, 13, 17, 18, 20, 21, 22, 25, 26, 27, 30, 31, 34, 35, 36, 39, 40, 43, 44, 45, 48, 49, 52, 53, 54, 57, 58, 59, 62, 63, 67, 68, 70, 71, 72, 75, 76, 77, 80, 81, 84, 85, 86, 89, 90, 93, 94, 95, 98, 99</t>
        </is>
      </c>
    </row>
    <row r="53">
      <c r="A53" t="n">
        <v>175</v>
      </c>
      <c r="B53" t="inlineStr">
        <is>
          <t>Thứ hai ngày 29-06-2026</t>
        </is>
      </c>
      <c r="C53" t="inlineStr">
        <is>
          <t>Chủ Nhật</t>
        </is>
      </c>
      <c r="D53" t="inlineStr">
        <is>
          <t>37642</t>
        </is>
      </c>
      <c r="E53" t="inlineStr">
        <is>
          <t>42</t>
        </is>
      </c>
      <c r="F53" t="inlineStr">
        <is>
          <t>G7.3, G7.4</t>
        </is>
      </c>
      <c r="G53" t="inlineStr">
        <is>
          <t>Tổng 0, Tổng 4, Tổng 5, Tổng 9</t>
        </is>
      </c>
      <c r="H53" t="inlineStr">
        <is>
          <t>01345689</t>
        </is>
      </c>
      <c r="I53" t="inlineStr">
        <is>
          <t>Tổng 4-Bóng 9</t>
        </is>
      </c>
      <c r="J53" t="n">
        <v>36</v>
      </c>
      <c r="K53" t="inlineStr">
        <is>
          <t>TRƯỢT ❌</t>
        </is>
      </c>
      <c r="L53" t="inlineStr">
        <is>
          <t>00, 04, 05, 13, 14, 23, 32, 36, 37, 40, 41, 50, 54, 55, 59, 64, 68, 69, 78, 81</t>
        </is>
      </c>
      <c r="M53" t="inlineStr">
        <is>
          <t>TRƯỢT ❌</t>
        </is>
      </c>
      <c r="N53" t="inlineStr">
        <is>
          <t>TRÚNG N2 🎯</t>
        </is>
      </c>
      <c r="O53" t="inlineStr">
        <is>
          <t>00, 04, 05, 09, 13, 14, 18, 19, 23, 28, 31, 32, 36, 37, 40, 41, 45, 46, 50, 54, 55, 59, 63, 64, 68, 69, 73, 78, 81, 82, 86, 87, 90, 91, 95, 96</t>
        </is>
      </c>
    </row>
    <row r="54">
      <c r="A54" t="n">
        <v>174</v>
      </c>
      <c r="B54" t="inlineStr">
        <is>
          <t>Chủ nhật ngày 28-06-2026</t>
        </is>
      </c>
      <c r="C54" t="inlineStr">
        <is>
          <t>Thứ Bảy</t>
        </is>
      </c>
      <c r="D54" t="inlineStr">
        <is>
          <t>12452</t>
        </is>
      </c>
      <c r="E54" t="inlineStr">
        <is>
          <t>52</t>
        </is>
      </c>
      <c r="F54" t="inlineStr">
        <is>
          <t>G7.1, G7.3</t>
        </is>
      </c>
      <c r="G54" t="inlineStr">
        <is>
          <t>Tổng 0, Tổng 2, Tổng 4, Tổng 5, Tổng 7, Tổng 9</t>
        </is>
      </c>
      <c r="H54" t="inlineStr">
        <is>
          <t>01345689</t>
        </is>
      </c>
      <c r="I54" t="inlineStr">
        <is>
          <t>Tổng 7-Bóng 2</t>
        </is>
      </c>
      <c r="J54" t="n">
        <v>56</v>
      </c>
      <c r="K54" t="inlineStr">
        <is>
          <t>TRÚNG N1 🎯</t>
        </is>
      </c>
      <c r="L54" t="inlineStr">
        <is>
          <t>00, 04, 05, 14, 16, 23, 32, 36, 37, 39, 43, 50, 54, 55, 64, 69, 78, 84, 89, 93</t>
        </is>
      </c>
      <c r="M54" t="inlineStr">
        <is>
          <t>TRƯỢT ❌</t>
        </is>
      </c>
      <c r="N54" t="inlineStr">
        <is>
          <t>TRÚNG N1 🎯</t>
        </is>
      </c>
      <c r="O54" t="inlineStr">
        <is>
          <t>00, 02, 04, 05, 07, 09, 11, 13, 14, 16, 18, 19, 20, 23, 25, 28, 31, 32, 34, 36, 37, 39, 40, 41, 43, 45, 46, 48, 50, 52, 54, 55, 57, 59, 61, 63, 64, 66, 68, 69, 70, 73, 75, 78, 81, 82, 84, 86, 87, 89, 90, 91, 93, 95, 96, 98</t>
        </is>
      </c>
    </row>
    <row r="55">
      <c r="A55" t="n">
        <v>173</v>
      </c>
      <c r="B55" t="inlineStr">
        <is>
          <t>Thứ bảy ngày 27-06-2026</t>
        </is>
      </c>
      <c r="C55" t="inlineStr">
        <is>
          <t>Thứ Sáu</t>
        </is>
      </c>
      <c r="D55" t="inlineStr">
        <is>
          <t>09253</t>
        </is>
      </c>
      <c r="E55" t="inlineStr">
        <is>
          <t>53</t>
        </is>
      </c>
      <c r="F55" t="inlineStr">
        <is>
          <t>G7.4, G7.1</t>
        </is>
      </c>
      <c r="G55" t="inlineStr">
        <is>
          <t>Tổng 0, Tổng 2, Tổng 5, Tổng 7</t>
        </is>
      </c>
      <c r="H55" t="inlineStr">
        <is>
          <t>02345789</t>
        </is>
      </c>
      <c r="I55" t="inlineStr">
        <is>
          <t>Tổng 0-Bóng 5</t>
        </is>
      </c>
      <c r="J55" t="n">
        <v>36</v>
      </c>
      <c r="K55" t="inlineStr">
        <is>
          <t>TRƯỢT ❌</t>
        </is>
      </c>
      <c r="L55" t="inlineStr">
        <is>
          <t>00, 05, 14, 23, 25, 32, 37, 39, 41, 43, 48, 50, 55, 64, 69, 75, 78, 84, 89, 93</t>
        </is>
      </c>
      <c r="M55" t="inlineStr">
        <is>
          <t>TRƯỢT ❌</t>
        </is>
      </c>
      <c r="N55" t="inlineStr">
        <is>
          <t>TRÚNG N2 🎯</t>
        </is>
      </c>
      <c r="O55" t="inlineStr">
        <is>
          <t>00, 02, 05, 07, 14, 19, 20, 23, 25, 28, 32, 34, 37, 39, 41, 43, 46, 48, 50, 52, 55, 57, 64, 69, 70, 73, 75, 78, 82, 84, 87, 89, 91, 93, 96, 98</t>
        </is>
      </c>
    </row>
    <row r="56">
      <c r="A56" t="n">
        <v>172</v>
      </c>
      <c r="B56" t="inlineStr">
        <is>
          <t>Thứ sáu ngày 26-06-2026</t>
        </is>
      </c>
      <c r="C56" t="inlineStr">
        <is>
          <t>Thứ Năm</t>
        </is>
      </c>
      <c r="D56" t="inlineStr">
        <is>
          <t>54804</t>
        </is>
      </c>
      <c r="E56" t="inlineStr">
        <is>
          <t>04</t>
        </is>
      </c>
      <c r="F56" t="inlineStr">
        <is>
          <t>G7.4, G7.1</t>
        </is>
      </c>
      <c r="G56" t="inlineStr">
        <is>
          <t>Tổng 0, Tổng 1, Tổng 3, Tổng 5, Tổng 6, Tổng 8</t>
        </is>
      </c>
      <c r="H56" t="inlineStr">
        <is>
          <t>013568</t>
        </is>
      </c>
      <c r="I56" t="inlineStr">
        <is>
          <t>Tổng 3-Bóng 8</t>
        </is>
      </c>
      <c r="J56" t="n">
        <v>48</v>
      </c>
      <c r="K56" t="inlineStr">
        <is>
          <t>TRƯỢT ❌</t>
        </is>
      </c>
      <c r="L56" t="inlineStr">
        <is>
          <t>00, 03, 05, 08, 14, 17, 23, 32, 37, 50, 51, 53, 55, 60, 64, 65, 69, 78, 80, 83</t>
        </is>
      </c>
      <c r="M56" t="inlineStr">
        <is>
          <t>TRƯỢT ❌</t>
        </is>
      </c>
      <c r="N56" t="inlineStr">
        <is>
          <t>TRÚNG N2 🎯</t>
        </is>
      </c>
      <c r="O56" t="inlineStr">
        <is>
          <t>00, 01, 03, 05, 06, 08, 10, 12, 14, 15, 17, 19, 21, 23, 26, 28, 30, 32, 33, 35, 37, 38, 41, 46, 50, 51, 53, 55, 56, 58, 60, 62, 64, 65, 67, 69, 71, 73, 76, 78, 80, 82, 83, 85, 87, 88, 91, 96</t>
        </is>
      </c>
    </row>
    <row r="57">
      <c r="A57" t="n">
        <v>171</v>
      </c>
      <c r="B57" t="inlineStr">
        <is>
          <t>Thứ năm ngày 25-06-2026</t>
        </is>
      </c>
      <c r="C57" t="inlineStr">
        <is>
          <t>Thứ Tư</t>
        </is>
      </c>
      <c r="D57" t="inlineStr">
        <is>
          <t>01816</t>
        </is>
      </c>
      <c r="E57" t="inlineStr">
        <is>
          <t>16</t>
        </is>
      </c>
      <c r="F57" t="inlineStr">
        <is>
          <t>G7.2, G7.4</t>
        </is>
      </c>
      <c r="G57" t="inlineStr">
        <is>
          <t>Tổng 0, Tổng 3, Tổng 4, Tổng 5, Tổng 8, Tổng 9</t>
        </is>
      </c>
      <c r="H57" t="inlineStr">
        <is>
          <t>0123456789</t>
        </is>
      </c>
      <c r="I57" t="inlineStr">
        <is>
          <t>Tổng 0-Bóng 5</t>
        </is>
      </c>
      <c r="J57" t="n">
        <v>60</v>
      </c>
      <c r="K57" t="inlineStr">
        <is>
          <t>TRƯỢT ❌</t>
        </is>
      </c>
      <c r="L57" t="inlineStr">
        <is>
          <t>00, 03, 04, 05, 08, 13, 14, 17, 23, 32, 36, 37, 50, 53, 54, 55, 64, 69, 78, 80</t>
        </is>
      </c>
      <c r="M57" t="inlineStr">
        <is>
          <t>TRƯỢT ❌</t>
        </is>
      </c>
      <c r="N57" t="inlineStr">
        <is>
          <t>TRÚNG N2 🎯</t>
        </is>
      </c>
      <c r="O57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58">
      <c r="A58" t="n">
        <v>170</v>
      </c>
      <c r="B58" t="inlineStr">
        <is>
          <t>Thứ tư ngày 24-06-2026</t>
        </is>
      </c>
      <c r="C58" t="inlineStr">
        <is>
          <t>Thứ Ba</t>
        </is>
      </c>
      <c r="D58" t="inlineStr">
        <is>
          <t>52751</t>
        </is>
      </c>
      <c r="E58" t="inlineStr">
        <is>
          <t>51</t>
        </is>
      </c>
      <c r="F58" t="inlineStr">
        <is>
          <t>G7.3, G7.4</t>
        </is>
      </c>
      <c r="G58" t="inlineStr">
        <is>
          <t>Tổng 0, Tổng 2, Tổng 3, Tổng 5, Tổng 7, Tổng 8</t>
        </is>
      </c>
      <c r="H58" t="inlineStr">
        <is>
          <t>12346789</t>
        </is>
      </c>
      <c r="I58" t="inlineStr">
        <is>
          <t>Tổng 5-Bóng 0</t>
        </is>
      </c>
      <c r="J58" t="n">
        <v>56</v>
      </c>
      <c r="K58" t="inlineStr">
        <is>
          <t>TRƯỢT ❌</t>
        </is>
      </c>
      <c r="L58" t="inlineStr">
        <is>
          <t>03, 08, 11, 14, 17, 21, 23, 32, 37, 39, 43, 53, 64, 69, 78, 80, 84, 89, 93, 94</t>
        </is>
      </c>
      <c r="M58" t="inlineStr">
        <is>
          <t>TRƯỢT ❌</t>
        </is>
      </c>
      <c r="N58" t="inlineStr">
        <is>
          <t>TRÚNG N2 🎯</t>
        </is>
      </c>
      <c r="O58" t="inlineStr">
        <is>
          <t>02, 03, 07, 08, 11, 12, 14, 16, 17, 19, 20, 21, 23, 25, 26, 28, 30, 32, 34, 35, 37, 39, 41, 43, 44, 46, 48, 49, 52, 53, 57, 58, 61, 62, 64, 66, 67, 69, 70, 71, 73, 75, 76, 78, 80, 82, 84, 85, 87, 89, 91, 93, 94, 96, 98, 99</t>
        </is>
      </c>
    </row>
    <row r="59">
      <c r="A59" t="n">
        <v>169</v>
      </c>
      <c r="B59" t="inlineStr">
        <is>
          <t>Thứ ba ngày 23-06-2026</t>
        </is>
      </c>
      <c r="C59" t="inlineStr">
        <is>
          <t>Thứ Hai</t>
        </is>
      </c>
      <c r="D59" t="inlineStr">
        <is>
          <t>50437</t>
        </is>
      </c>
      <c r="E59" t="inlineStr">
        <is>
          <t>37</t>
        </is>
      </c>
      <c r="F59" t="inlineStr">
        <is>
          <t>G7.2, G7.4</t>
        </is>
      </c>
      <c r="G59" t="inlineStr">
        <is>
          <t>Tổng 1, Tổng 4, Tổng 6, Tổng 9</t>
        </is>
      </c>
      <c r="H59" t="inlineStr">
        <is>
          <t>02345789</t>
        </is>
      </c>
      <c r="I59" t="inlineStr">
        <is>
          <t>Tổng 6-Bóng 1</t>
        </is>
      </c>
      <c r="J59" t="n">
        <v>40</v>
      </c>
      <c r="K59" t="inlineStr">
        <is>
          <t>TRƯỢT ❌</t>
        </is>
      </c>
      <c r="L59" t="inlineStr">
        <is>
          <t>04, 06, 13, 33, 36, 38, 40, 42, 47, 51, 54, 59, 60, 63, 65, 68, 81, 83, 88, 92</t>
        </is>
      </c>
      <c r="M59" t="inlineStr">
        <is>
          <t>TRƯỢT ❌</t>
        </is>
      </c>
      <c r="N59" t="inlineStr">
        <is>
          <t>TRÚNG N2 🎯</t>
        </is>
      </c>
      <c r="O59" t="inlineStr">
        <is>
          <t>01, 04, 06, 09, 10, 13, 15, 18, 22, 24, 27, 29, 31, 33, 36, 38, 40, 42, 45, 47, 51, 54, 56, 59, 60, 63, 65, 68, 72, 74, 77, 79, 81, 83, 86, 88, 90, 92, 95, 97</t>
        </is>
      </c>
    </row>
    <row r="60">
      <c r="A60" t="n">
        <v>168</v>
      </c>
      <c r="B60" t="inlineStr">
        <is>
          <t>Thứ hai ngày 22-06-2026</t>
        </is>
      </c>
      <c r="C60" t="inlineStr">
        <is>
          <t>Chủ Nhật</t>
        </is>
      </c>
      <c r="D60" t="inlineStr">
        <is>
          <t>62136</t>
        </is>
      </c>
      <c r="E60" t="inlineStr">
        <is>
          <t>36</t>
        </is>
      </c>
      <c r="F60" t="inlineStr">
        <is>
          <t>G7.3, G7.4</t>
        </is>
      </c>
      <c r="G60" t="inlineStr">
        <is>
          <t>Tổng 2, Tổng 4, Tổng 7, Tổng 9</t>
        </is>
      </c>
      <c r="H60" t="inlineStr">
        <is>
          <t>0123456789</t>
        </is>
      </c>
      <c r="I60" t="inlineStr">
        <is>
          <t>Tổng 2-Bóng 7</t>
        </is>
      </c>
      <c r="J60" t="n">
        <v>40</v>
      </c>
      <c r="K60" t="inlineStr">
        <is>
          <t>TRÚNG N1 🎯</t>
        </is>
      </c>
      <c r="L60" t="inlineStr">
        <is>
          <t>04, 11, 13, 20, 25, 36, 39, 40, 43, 48, 54, 59, 61, 63, 68, 75, 81, 84, 89, 93</t>
        </is>
      </c>
      <c r="M60" t="inlineStr">
        <is>
          <t>TRÚNG HỎA LỰC 🎯</t>
        </is>
      </c>
      <c r="N60" t="inlineStr">
        <is>
          <t>TRÚNG N1 🎯</t>
        </is>
      </c>
      <c r="O60" t="inlineStr">
        <is>
          <t>02, 04, 07, 09, 11, 13, 16, 18, 20, 22, 25, 27, 31, 34, 36, 39, 40, 43, 45, 48, 52, 54, 57, 59, 61, 63, 66, 68, 70, 72, 75, 77, 81, 84, 86, 89, 90, 93, 95, 98</t>
        </is>
      </c>
    </row>
    <row r="61">
      <c r="A61" t="n">
        <v>167</v>
      </c>
      <c r="B61" t="inlineStr">
        <is>
          <t>Chủ nhật ngày 21-06-2026</t>
        </is>
      </c>
      <c r="C61" t="inlineStr">
        <is>
          <t>Thứ Bảy</t>
        </is>
      </c>
      <c r="D61" t="inlineStr">
        <is>
          <t>28083</t>
        </is>
      </c>
      <c r="E61" t="inlineStr">
        <is>
          <t>83</t>
        </is>
      </c>
      <c r="F61" t="inlineStr">
        <is>
          <t>G7.1, G7.3</t>
        </is>
      </c>
      <c r="G61" t="inlineStr">
        <is>
          <t>Tổng 0, Tổng 2, Tổng 3, Tổng 5, Tổng 7, Tổng 8</t>
        </is>
      </c>
      <c r="H61" t="inlineStr">
        <is>
          <t>0123456789</t>
        </is>
      </c>
      <c r="I61" t="inlineStr">
        <is>
          <t>Tổng 7-Bóng 2</t>
        </is>
      </c>
      <c r="J61" t="n">
        <v>60</v>
      </c>
      <c r="K61" t="inlineStr">
        <is>
          <t>TRƯỢT ❌</t>
        </is>
      </c>
      <c r="L61" t="inlineStr">
        <is>
          <t>00, 03, 05, 08, 11, 14, 21, 23, 32, 39, 43, 50, 53, 55, 69, 78, 80, 84, 89, 93</t>
        </is>
      </c>
      <c r="M61" t="inlineStr">
        <is>
          <t>TRƯỢT ❌</t>
        </is>
      </c>
      <c r="N61" t="inlineStr">
        <is>
          <t>TRÚNG N3 🎯</t>
        </is>
      </c>
      <c r="O61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62">
      <c r="A62" t="n">
        <v>166</v>
      </c>
      <c r="B62" t="inlineStr">
        <is>
          <t>Thứ bảy ngày 20-06-2026</t>
        </is>
      </c>
      <c r="C62" t="inlineStr">
        <is>
          <t>Thứ Sáu</t>
        </is>
      </c>
      <c r="D62" t="inlineStr">
        <is>
          <t>54860</t>
        </is>
      </c>
      <c r="E62" t="inlineStr">
        <is>
          <t>60</t>
        </is>
      </c>
      <c r="F62" t="inlineStr">
        <is>
          <t>G7.4, G7.1</t>
        </is>
      </c>
      <c r="G62" t="inlineStr">
        <is>
          <t>Tổng 0, Tổng 3, Tổng 5, Tổng 8</t>
        </is>
      </c>
      <c r="H62" t="inlineStr">
        <is>
          <t>01345689</t>
        </is>
      </c>
      <c r="I62" t="inlineStr">
        <is>
          <t>Tổng 0-Bóng 5</t>
        </is>
      </c>
      <c r="J62" t="n">
        <v>40</v>
      </c>
      <c r="K62" t="inlineStr">
        <is>
          <t>TRƯỢT ❌</t>
        </is>
      </c>
      <c r="L62" t="inlineStr">
        <is>
          <t>00, 03, 05, 08, 14, 17, 21, 23, 32, 37, 50, 53, 55, 64, 69, 76, 78, 80, 85, 94</t>
        </is>
      </c>
      <c r="M62" t="inlineStr">
        <is>
          <t>TRƯỢT ❌</t>
        </is>
      </c>
      <c r="N62" t="inlineStr">
        <is>
          <t>TRƯỢT KHUNG ❌</t>
        </is>
      </c>
      <c r="O62" t="inlineStr">
        <is>
          <t>00, 03, 05, 08, 12, 14, 17, 19, 21, 23, 26, 28, 30, 32, 35, 37, 41, 44, 46, 49, 50, 53, 55, 58, 62, 64, 67, 69, 71, 73, 76, 78, 80, 82, 85, 87, 91, 94, 96, 99</t>
        </is>
      </c>
    </row>
    <row r="63">
      <c r="A63" t="n">
        <v>165</v>
      </c>
      <c r="B63" t="inlineStr">
        <is>
          <t>Thứ sáu ngày 19-06-2026</t>
        </is>
      </c>
      <c r="C63" t="inlineStr">
        <is>
          <t>Thứ Năm</t>
        </is>
      </c>
      <c r="D63" t="inlineStr">
        <is>
          <t>63155</t>
        </is>
      </c>
      <c r="E63" t="inlineStr">
        <is>
          <t>55</t>
        </is>
      </c>
      <c r="F63" t="inlineStr">
        <is>
          <t>G7.4, G7.1</t>
        </is>
      </c>
      <c r="G63" t="inlineStr">
        <is>
          <t>Tổng 1, Tổng 4, Tổng 6, Tổng 9</t>
        </is>
      </c>
      <c r="H63" t="inlineStr">
        <is>
          <t>013568</t>
        </is>
      </c>
      <c r="I63" t="inlineStr">
        <is>
          <t>Tổng 1-Bóng 6</t>
        </is>
      </c>
      <c r="J63" t="n">
        <v>28</v>
      </c>
      <c r="K63" t="inlineStr">
        <is>
          <t>TRƯỢT ❌</t>
        </is>
      </c>
      <c r="L63" t="inlineStr">
        <is>
          <t>04, 06, 10, 13, 18, 33, 36, 38, 40, 45, 51, 54, 59, 63, 65, 68, 81, 83, 88, 90</t>
        </is>
      </c>
      <c r="M63" t="inlineStr">
        <is>
          <t>TRƯỢT ❌</t>
        </is>
      </c>
      <c r="N63" t="inlineStr">
        <is>
          <t>TRÚNG N2 🎯</t>
        </is>
      </c>
      <c r="O63" t="inlineStr">
        <is>
          <t>01, 04, 06, 09, 10, 13, 15, 18, 31, 33, 36, 38, 40, 45, 51, 54, 56, 59, 60, 63, 65, 68, 81, 83, 86, 88, 90, 95</t>
        </is>
      </c>
    </row>
    <row r="64">
      <c r="A64" t="n">
        <v>164</v>
      </c>
      <c r="B64" t="inlineStr">
        <is>
          <t>Thứ năm ngày 18-06-2026</t>
        </is>
      </c>
      <c r="C64" t="inlineStr">
        <is>
          <t>Thứ Tư</t>
        </is>
      </c>
      <c r="D64" t="inlineStr">
        <is>
          <t>15032</t>
        </is>
      </c>
      <c r="E64" t="inlineStr">
        <is>
          <t>32</t>
        </is>
      </c>
      <c r="F64" t="inlineStr">
        <is>
          <t>G7.2, G7.1</t>
        </is>
      </c>
      <c r="G64" t="inlineStr">
        <is>
          <t>Tổng 2, Tổng 3, Tổng 4, Tổng 7, Tổng 8, Tổng 9</t>
        </is>
      </c>
      <c r="H64" t="inlineStr">
        <is>
          <t>124679</t>
        </is>
      </c>
      <c r="I64" t="inlineStr">
        <is>
          <t>Tổng 9-Bóng 4</t>
        </is>
      </c>
      <c r="J64" t="n">
        <v>52</v>
      </c>
      <c r="K64" t="inlineStr">
        <is>
          <t>TRƯỢT ❌</t>
        </is>
      </c>
      <c r="L64" t="inlineStr">
        <is>
          <t>04, 11, 13, 17, 21, 25, 36, 39, 40, 43, 48, 54, 59, 68, 76, 81, 84, 89, 93, 94</t>
        </is>
      </c>
      <c r="M64" t="inlineStr">
        <is>
          <t>TRƯỢT ❌</t>
        </is>
      </c>
      <c r="N64" t="inlineStr">
        <is>
          <t>TRƯỢT KHUNG ❌</t>
        </is>
      </c>
      <c r="O64" t="inlineStr">
        <is>
          <t>02, 04, 07, 09, 11, 12, 13, 16, 17, 18, 20, 21, 22, 25, 26, 27, 31, 34, 36, 39, 40, 43, 44, 45, 48, 49, 52, 54, 57, 59, 61, 62, 63, 66, 67, 68, 70, 71, 72, 75, 76, 77, 81, 84, 86, 89, 90, 93, 94, 95, 98, 99</t>
        </is>
      </c>
    </row>
    <row r="65">
      <c r="A65" t="n">
        <v>163</v>
      </c>
      <c r="B65" t="inlineStr">
        <is>
          <t>Thứ tư ngày 17-06-2026</t>
        </is>
      </c>
      <c r="C65" t="inlineStr">
        <is>
          <t>Thứ Ba</t>
        </is>
      </c>
      <c r="D65" t="inlineStr">
        <is>
          <t>71203</t>
        </is>
      </c>
      <c r="E65" t="inlineStr">
        <is>
          <t>03</t>
        </is>
      </c>
      <c r="F65" t="inlineStr">
        <is>
          <t>G7.3, G7.4</t>
        </is>
      </c>
      <c r="G65" t="inlineStr">
        <is>
          <t>Tổng 0, Tổng 1, Tổng 2, Tổng 5, Tổng 6, Tổng 7</t>
        </is>
      </c>
      <c r="H65" t="inlineStr">
        <is>
          <t>01245679</t>
        </is>
      </c>
      <c r="I65" t="inlineStr">
        <is>
          <t>Tổng 1-Bóng 6</t>
        </is>
      </c>
      <c r="J65" t="n">
        <v>56</v>
      </c>
      <c r="K65" t="inlineStr">
        <is>
          <t>TRƯỢT ❌</t>
        </is>
      </c>
      <c r="L65" t="inlineStr">
        <is>
          <t>00, 05, 11, 14, 23, 25, 32, 39, 42, 43, 50, 51, 61, 64, 65, 69, 78, 84, 89, 93</t>
        </is>
      </c>
      <c r="M65" t="inlineStr">
        <is>
          <t>TRƯỢT ❌</t>
        </is>
      </c>
      <c r="N65" t="inlineStr">
        <is>
          <t>TRÚNG N2 🎯</t>
        </is>
      </c>
      <c r="O65" t="inlineStr">
        <is>
          <t>00, 01, 02, 05, 06, 07, 10, 11, 14, 15, 16, 19, 20, 23, 24, 25, 28, 29, 32, 34, 37, 39, 41, 42, 43, 46, 47, 48, 50, 51, 52, 55, 56, 57, 60, 61, 64, 65, 66, 69, 70, 73, 74, 75, 78, 79, 82, 84, 87, 89, 91, 92, 93, 96, 97, 98</t>
        </is>
      </c>
    </row>
    <row r="66">
      <c r="A66" t="n">
        <v>162</v>
      </c>
      <c r="B66" t="inlineStr">
        <is>
          <t>Thứ ba ngày 16-06-2026</t>
        </is>
      </c>
      <c r="C66" t="inlineStr">
        <is>
          <t>Thứ Hai</t>
        </is>
      </c>
      <c r="D66" t="inlineStr">
        <is>
          <t>80384</t>
        </is>
      </c>
      <c r="E66" t="inlineStr">
        <is>
          <t>84</t>
        </is>
      </c>
      <c r="F66" t="inlineStr">
        <is>
          <t>G7.4, G7.2</t>
        </is>
      </c>
      <c r="G66" t="inlineStr">
        <is>
          <t>Tổng 0, Tổng 1, Tổng 4, Tổng 5, Tổng 6, Tổng 9</t>
        </is>
      </c>
      <c r="H66" t="inlineStr">
        <is>
          <t>01235678</t>
        </is>
      </c>
      <c r="I66" t="inlineStr">
        <is>
          <t>Tổng 6-Bóng 1</t>
        </is>
      </c>
      <c r="J66" t="n">
        <v>60</v>
      </c>
      <c r="K66" t="inlineStr">
        <is>
          <t>TRƯỢT ❌</t>
        </is>
      </c>
      <c r="L66" t="inlineStr">
        <is>
          <t>00, 04, 05, 13, 14, 23, 32, 36, 42, 50, 51, 54, 55, 64, 65, 68, 69, 78, 81, 83</t>
        </is>
      </c>
      <c r="M66" t="inlineStr">
        <is>
          <t>TRƯỢT ❌</t>
        </is>
      </c>
      <c r="N66" t="inlineStr">
        <is>
          <t>TRÚNG N3 🎯</t>
        </is>
      </c>
      <c r="O66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67">
      <c r="A67" t="n">
        <v>161</v>
      </c>
      <c r="B67" t="inlineStr">
        <is>
          <t>Thứ hai ngày 15-06-2026</t>
        </is>
      </c>
      <c r="C67" t="inlineStr">
        <is>
          <t>Chủ Nhật</t>
        </is>
      </c>
      <c r="D67" t="inlineStr">
        <is>
          <t>71680</t>
        </is>
      </c>
      <c r="E67" t="inlineStr">
        <is>
          <t>80</t>
        </is>
      </c>
      <c r="F67" t="inlineStr">
        <is>
          <t>G7.3, G7.1</t>
        </is>
      </c>
      <c r="G67" t="inlineStr">
        <is>
          <t>Tổng 0, Tổng 2, Tổng 5, Tổng 7</t>
        </is>
      </c>
      <c r="H67" t="inlineStr">
        <is>
          <t>134689</t>
        </is>
      </c>
      <c r="I67" t="inlineStr">
        <is>
          <t>Tổng 2-Bóng 7</t>
        </is>
      </c>
      <c r="J67" t="n">
        <v>28</v>
      </c>
      <c r="K67" t="inlineStr">
        <is>
          <t>TRƯỢT ❌</t>
        </is>
      </c>
      <c r="L67" t="inlineStr">
        <is>
          <t>11, 14, 23, 28, 32, 37, 39, 41, 43, 48, 61, 64, 66, 69, 78, 84, 87, 89, 91, 93</t>
        </is>
      </c>
      <c r="M67" t="inlineStr">
        <is>
          <t>TRƯỢT ❌</t>
        </is>
      </c>
      <c r="N67" t="inlineStr">
        <is>
          <t>TRÚNG N2 🎯</t>
        </is>
      </c>
      <c r="O67" t="inlineStr">
        <is>
          <t>11, 14, 16, 19, 23, 28, 32, 34, 37, 39, 41, 43, 46, 48, 61, 64, 66, 69, 73, 78, 82, 84, 87, 89, 91, 93, 96, 98</t>
        </is>
      </c>
    </row>
    <row r="68">
      <c r="A68" t="n">
        <v>160</v>
      </c>
      <c r="B68" t="inlineStr">
        <is>
          <t>Chủ nhật ngày 14-06-2026</t>
        </is>
      </c>
      <c r="C68" t="inlineStr">
        <is>
          <t>Thứ Bảy</t>
        </is>
      </c>
      <c r="D68" t="inlineStr">
        <is>
          <t>63000</t>
        </is>
      </c>
      <c r="E68" t="inlineStr">
        <is>
          <t>00</t>
        </is>
      </c>
      <c r="F68" t="inlineStr">
        <is>
          <t>G7.1, G7.3</t>
        </is>
      </c>
      <c r="G68" t="inlineStr">
        <is>
          <t>Tổng 1, Tổng 2, Tổng 6, Tổng 7</t>
        </is>
      </c>
      <c r="H68" t="inlineStr">
        <is>
          <t>0123456789</t>
        </is>
      </c>
      <c r="I68" t="inlineStr">
        <is>
          <t>Tổng 2-Bóng 7</t>
        </is>
      </c>
      <c r="J68" t="n">
        <v>40</v>
      </c>
      <c r="K68" t="inlineStr">
        <is>
          <t>TRƯỢT ❌</t>
        </is>
      </c>
      <c r="L68" t="inlineStr">
        <is>
          <t>11, 25, 33, 38, 39, 42, 43, 47, 48, 51, 61, 65, 75, 83, 84, 88, 89, 92, 93, 97</t>
        </is>
      </c>
      <c r="M68" t="inlineStr">
        <is>
          <t>TRƯỢT ❌</t>
        </is>
      </c>
      <c r="N68" t="inlineStr">
        <is>
          <t>TRÚNG N3 🎯</t>
        </is>
      </c>
      <c r="O68" t="inlineStr">
        <is>
          <t>01, 02, 06, 07, 10, 11, 15, 16, 20, 24, 25, 29, 33, 34, 38, 39, 42, 43, 47, 48, 51, 52, 56, 57, 60, 61, 65, 66, 70, 74, 75, 79, 83, 84, 88, 89, 92, 93, 97, 98</t>
        </is>
      </c>
    </row>
    <row r="69">
      <c r="A69" t="n">
        <v>159</v>
      </c>
      <c r="B69" t="inlineStr">
        <is>
          <t>Thứ bảy ngày 13-06-2026</t>
        </is>
      </c>
      <c r="C69" t="inlineStr">
        <is>
          <t>Thứ Sáu</t>
        </is>
      </c>
      <c r="D69" t="inlineStr">
        <is>
          <t>60014</t>
        </is>
      </c>
      <c r="E69" t="inlineStr">
        <is>
          <t>14</t>
        </is>
      </c>
      <c r="F69" t="inlineStr">
        <is>
          <t>G7.4, G7.1</t>
        </is>
      </c>
      <c r="G69" t="inlineStr">
        <is>
          <t>Tổng 1, Tổng 3, Tổng 4, Tổng 6, Tổng 8, Tổng 9</t>
        </is>
      </c>
      <c r="H69" t="inlineStr">
        <is>
          <t>12346789</t>
        </is>
      </c>
      <c r="I69" t="inlineStr">
        <is>
          <t>Tổng 4-Bóng 9</t>
        </is>
      </c>
      <c r="J69" t="n">
        <v>60</v>
      </c>
      <c r="K69" t="inlineStr">
        <is>
          <t>TRƯỢT ❌</t>
        </is>
      </c>
      <c r="L69" t="inlineStr">
        <is>
          <t>04, 08, 13, 17, 21, 36, 38, 42, 51, 53, 54, 59, 65, 68, 76, 81, 83, 85, 92, 94</t>
        </is>
      </c>
      <c r="M69" t="inlineStr">
        <is>
          <t>TRƯỢT ❌</t>
        </is>
      </c>
      <c r="N69" t="inlineStr">
        <is>
          <t>TRÚNG N3 🎯</t>
        </is>
      </c>
      <c r="O69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70">
      <c r="A70" t="n">
        <v>158</v>
      </c>
      <c r="B70" t="inlineStr">
        <is>
          <t>Thứ sáu ngày 12-06-2026</t>
        </is>
      </c>
      <c r="C70" t="inlineStr">
        <is>
          <t>Thứ Năm</t>
        </is>
      </c>
      <c r="D70" t="inlineStr">
        <is>
          <t>24889</t>
        </is>
      </c>
      <c r="E70" t="inlineStr">
        <is>
          <t>89</t>
        </is>
      </c>
      <c r="F70" t="inlineStr">
        <is>
          <t>G7.4, G7.1</t>
        </is>
      </c>
      <c r="G70" t="inlineStr">
        <is>
          <t>Tổng 1, Tổng 2, Tổng 4, Tổng 6, Tổng 7, Tổng 9</t>
        </is>
      </c>
      <c r="H70" t="inlineStr">
        <is>
          <t>01245679</t>
        </is>
      </c>
      <c r="I70" t="inlineStr">
        <is>
          <t>Tổng 6-Bóng 1</t>
        </is>
      </c>
      <c r="J70" t="n">
        <v>56</v>
      </c>
      <c r="K70" t="inlineStr">
        <is>
          <t>TRÚNG N1 🎯</t>
        </is>
      </c>
      <c r="L70" t="inlineStr">
        <is>
          <t>04, 11, 13, 25, 36, 39, 40, 42, 43, 48, 51, 54, 59, 61, 65, 68, 81, 84, 92, 93</t>
        </is>
      </c>
      <c r="M70" t="inlineStr">
        <is>
          <t>TRƯỢT ❌</t>
        </is>
      </c>
      <c r="N70" t="inlineStr">
        <is>
          <t>TRÚNG N1 🎯</t>
        </is>
      </c>
      <c r="O70" t="inlineStr">
        <is>
          <t>01, 02, 04, 06, 07, 09, 10, 11, 13, 15, 16, 18, 20, 22, 24, 25, 27, 29, 31, 34, 36, 39, 40, 42, 43, 45, 47, 48, 51, 52, 54, 56, 57, 59, 60, 61, 63, 65, 66, 68, 70, 72, 74, 75, 77, 79, 81, 84, 86, 89, 90, 92, 93, 95, 97, 98</t>
        </is>
      </c>
    </row>
    <row r="71">
      <c r="A71" t="n">
        <v>157</v>
      </c>
      <c r="B71" t="inlineStr">
        <is>
          <t>Thứ năm ngày 11-06-2026</t>
        </is>
      </c>
      <c r="C71" t="inlineStr">
        <is>
          <t>Thứ Tư</t>
        </is>
      </c>
      <c r="D71" t="inlineStr">
        <is>
          <t>99983</t>
        </is>
      </c>
      <c r="E71" t="inlineStr">
        <is>
          <t>83</t>
        </is>
      </c>
      <c r="F71" t="inlineStr">
        <is>
          <t>G7.2, G7.1</t>
        </is>
      </c>
      <c r="G71" t="inlineStr">
        <is>
          <t>Tổng 2, Tổng 4, Tổng 7, Tổng 9</t>
        </is>
      </c>
      <c r="H71" t="inlineStr">
        <is>
          <t>01235678</t>
        </is>
      </c>
      <c r="I71" t="inlineStr">
        <is>
          <t>Tổng 2-Bóng 7</t>
        </is>
      </c>
      <c r="J71" t="n">
        <v>40</v>
      </c>
      <c r="K71" t="inlineStr">
        <is>
          <t>TRƯỢT ❌</t>
        </is>
      </c>
      <c r="L71" t="inlineStr">
        <is>
          <t>04, 11, 13, 20, 25, 36, 39, 40, 43, 48, 54, 59, 61, 63, 68, 75, 81, 84, 93, 95</t>
        </is>
      </c>
      <c r="M71" t="inlineStr">
        <is>
          <t>TRƯỢT ❌</t>
        </is>
      </c>
      <c r="N71" t="inlineStr">
        <is>
          <t>TRÚNG N2 🎯</t>
        </is>
      </c>
      <c r="O71" t="inlineStr">
        <is>
          <t>02, 04, 07, 09, 11, 13, 16, 18, 20, 22, 25, 27, 31, 34, 36, 39, 40, 43, 45, 48, 52, 54, 57, 59, 61, 63, 66, 68, 70, 72, 75, 77, 81, 84, 86, 89, 90, 93, 95, 98</t>
        </is>
      </c>
    </row>
    <row r="72">
      <c r="A72" t="n">
        <v>156</v>
      </c>
      <c r="B72" t="inlineStr">
        <is>
          <t>Thứ tư ngày 10-06-2026</t>
        </is>
      </c>
      <c r="C72" t="inlineStr">
        <is>
          <t>Thứ Ba</t>
        </is>
      </c>
      <c r="D72" t="inlineStr">
        <is>
          <t>04308</t>
        </is>
      </c>
      <c r="E72" t="inlineStr">
        <is>
          <t>08</t>
        </is>
      </c>
      <c r="F72" t="inlineStr">
        <is>
          <t>G7.3, G7.4</t>
        </is>
      </c>
      <c r="G72" t="inlineStr">
        <is>
          <t>Tổng 0, Tổng 1, Tổng 3, Tổng 5, Tổng 6, Tổng 8</t>
        </is>
      </c>
      <c r="H72" t="inlineStr">
        <is>
          <t>01245679</t>
        </is>
      </c>
      <c r="I72" t="inlineStr">
        <is>
          <t>Tổng 0-Bóng 5</t>
        </is>
      </c>
      <c r="J72" t="n">
        <v>56</v>
      </c>
      <c r="K72" t="inlineStr">
        <is>
          <t>TRÚNG N1 🎯</t>
        </is>
      </c>
      <c r="L72" t="inlineStr">
        <is>
          <t>05, 14, 17, 21, 23, 32, 37, 42, 50, 51, 53, 55, 64, 65, 69, 76, 78, 85, 92, 94</t>
        </is>
      </c>
      <c r="M72" t="inlineStr">
        <is>
          <t>TRƯỢT ❌</t>
        </is>
      </c>
      <c r="N72" t="inlineStr">
        <is>
          <t>TRÚNG N1 🎯</t>
        </is>
      </c>
      <c r="O72" t="inlineStr">
        <is>
          <t>00, 01, 03, 05, 06, 08, 10, 12, 14, 15, 17, 19, 21, 23, 24, 26, 28, 29, 30, 32, 35, 37, 41, 42, 44, 46, 47, 49, 50, 51, 53, 55, 56, 58, 60, 62, 64, 65, 67, 69, 71, 73, 74, 76, 78, 79, 80, 82, 85, 87, 91, 92, 94, 96, 97, 99</t>
        </is>
      </c>
    </row>
    <row r="73">
      <c r="A73" t="n">
        <v>155</v>
      </c>
      <c r="B73" t="inlineStr">
        <is>
          <t>Thứ ba ngày 09-06-2026</t>
        </is>
      </c>
      <c r="C73" t="inlineStr">
        <is>
          <t>Thứ Hai</t>
        </is>
      </c>
      <c r="D73" t="inlineStr">
        <is>
          <t>07251</t>
        </is>
      </c>
      <c r="E73" t="inlineStr">
        <is>
          <t>51</t>
        </is>
      </c>
      <c r="F73" t="inlineStr">
        <is>
          <t>G7.4, G7.2</t>
        </is>
      </c>
      <c r="G73" t="inlineStr">
        <is>
          <t>Tổng 0, Tổng 2, Tổng 3, Tổng 5, Tổng 7, Tổng 8</t>
        </is>
      </c>
      <c r="H73" t="inlineStr">
        <is>
          <t>01235678</t>
        </is>
      </c>
      <c r="I73" t="inlineStr">
        <is>
          <t>Tổng 0-Bóng 5</t>
        </is>
      </c>
      <c r="J73" t="n">
        <v>56</v>
      </c>
      <c r="K73" t="inlineStr">
        <is>
          <t>TRƯỢT ❌</t>
        </is>
      </c>
      <c r="L73" t="inlineStr">
        <is>
          <t>05, 11, 17, 21, 23, 25, 32, 39, 43, 48, 50, 53, 61, 64, 69, 76, 78, 84, 85, 93</t>
        </is>
      </c>
      <c r="M73" t="inlineStr">
        <is>
          <t>TRƯỢT ❌</t>
        </is>
      </c>
      <c r="N73" t="inlineStr">
        <is>
          <t>TRÚNG N2 🎯</t>
        </is>
      </c>
      <c r="O73" t="inlineStr">
        <is>
          <t>00, 02, 03, 05, 07, 08, 11, 12, 14, 16, 17, 19, 20, 21, 23, 25, 26, 28, 30, 32, 34, 35, 37, 39, 41, 43, 46, 48, 50, 52, 53, 55, 57, 58, 61, 62, 64, 66, 67, 69, 70, 71, 73, 75, 76, 78, 80, 82, 84, 85, 87, 89, 91, 93, 96, 98</t>
        </is>
      </c>
    </row>
    <row r="74">
      <c r="A74" t="n">
        <v>154</v>
      </c>
      <c r="B74" t="inlineStr">
        <is>
          <t>Thứ hai ngày 08-06-2026</t>
        </is>
      </c>
      <c r="C74" t="inlineStr">
        <is>
          <t>Chủ Nhật</t>
        </is>
      </c>
      <c r="D74" t="inlineStr">
        <is>
          <t>53505</t>
        </is>
      </c>
      <c r="E74" t="inlineStr">
        <is>
          <t>05</t>
        </is>
      </c>
      <c r="F74" t="inlineStr">
        <is>
          <t>G7.3, G7.1</t>
        </is>
      </c>
      <c r="G74" t="inlineStr">
        <is>
          <t>Tổng 0, Tổng 4, Tổng 5, Tổng 9</t>
        </is>
      </c>
      <c r="H74" t="inlineStr">
        <is>
          <t>014569</t>
        </is>
      </c>
      <c r="I74" t="inlineStr">
        <is>
          <t>Tổng 5-Bóng 0</t>
        </is>
      </c>
      <c r="J74" t="n">
        <v>28</v>
      </c>
      <c r="K74" t="inlineStr">
        <is>
          <t>TRÚNG N1 🎯</t>
        </is>
      </c>
      <c r="L74" t="inlineStr">
        <is>
          <t>00, 04, 13, 14, 18, 36, 40, 41, 46, 50, 54, 55, 59, 63, 64, 68, 69, 81, 91, 95</t>
        </is>
      </c>
      <c r="M74" t="inlineStr">
        <is>
          <t>TRƯỢT ❌</t>
        </is>
      </c>
      <c r="N74" t="inlineStr">
        <is>
          <t>TRÚNG N1 🎯</t>
        </is>
      </c>
      <c r="O74" t="inlineStr">
        <is>
          <t>00, 04, 05, 09, 13, 14, 18, 19, 31, 36, 40, 41, 45, 46, 50, 54, 55, 59, 63, 64, 68, 69, 81, 86, 90, 91, 95, 96</t>
        </is>
      </c>
    </row>
    <row r="75">
      <c r="A75" t="n">
        <v>153</v>
      </c>
      <c r="B75" t="inlineStr">
        <is>
          <t>Chủ nhật ngày 07-06-2026</t>
        </is>
      </c>
      <c r="C75" t="inlineStr">
        <is>
          <t>Thứ Bảy</t>
        </is>
      </c>
      <c r="D75" t="inlineStr">
        <is>
          <t>15393</t>
        </is>
      </c>
      <c r="E75" t="inlineStr">
        <is>
          <t>93</t>
        </is>
      </c>
      <c r="F75" t="inlineStr">
        <is>
          <t>G7.1, G7.3</t>
        </is>
      </c>
      <c r="G75" t="inlineStr">
        <is>
          <t>Tổng 0, Tổng 2, Tổng 3, Tổng 5, Tổng 7, Tổng 8</t>
        </is>
      </c>
      <c r="H75" t="inlineStr">
        <is>
          <t>0123456789</t>
        </is>
      </c>
      <c r="I75" t="inlineStr">
        <is>
          <t>Tổng 7-Bóng 2</t>
        </is>
      </c>
      <c r="J75" t="n">
        <v>60</v>
      </c>
      <c r="K75" t="inlineStr">
        <is>
          <t>TRÚNG N1 🎯</t>
        </is>
      </c>
      <c r="L75" t="inlineStr">
        <is>
          <t>11, 14, 17, 21, 23, 25, 32, 39, 43, 48, 50, 53, 61, 64, 69, 76, 78, 84, 85, 94</t>
        </is>
      </c>
      <c r="M75" t="inlineStr">
        <is>
          <t>TRƯỢT ❌</t>
        </is>
      </c>
      <c r="N75" t="inlineStr">
        <is>
          <t>TRÚNG N1 🎯</t>
        </is>
      </c>
      <c r="O75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76">
      <c r="A76" t="n">
        <v>152</v>
      </c>
      <c r="B76" t="inlineStr">
        <is>
          <t>Thứ bảy ngày 06-06-2026</t>
        </is>
      </c>
      <c r="C76" t="inlineStr">
        <is>
          <t>Thứ Sáu</t>
        </is>
      </c>
      <c r="D76" t="inlineStr">
        <is>
          <t>33465</t>
        </is>
      </c>
      <c r="E76" t="inlineStr">
        <is>
          <t>65</t>
        </is>
      </c>
      <c r="F76" t="inlineStr">
        <is>
          <t>G7.4, G7.1</t>
        </is>
      </c>
      <c r="G76" t="inlineStr">
        <is>
          <t>Tổng 0, Tổng 3, Tổng 5, Tổng 8</t>
        </is>
      </c>
      <c r="H76" t="inlineStr">
        <is>
          <t>01245679</t>
        </is>
      </c>
      <c r="I76" t="inlineStr">
        <is>
          <t>Tổng 0-Bóng 5</t>
        </is>
      </c>
      <c r="J76" t="n">
        <v>40</v>
      </c>
      <c r="K76" t="inlineStr">
        <is>
          <t>TRƯỢT ❌</t>
        </is>
      </c>
      <c r="L76" t="inlineStr">
        <is>
          <t>00, 12, 14, 17, 21, 23, 28, 32, 35, 37, 41, 50, 53, 55, 64, 69, 76, 78, 85, 94</t>
        </is>
      </c>
      <c r="M76" t="inlineStr">
        <is>
          <t>TRƯỢT ❌</t>
        </is>
      </c>
      <c r="N76" t="inlineStr">
        <is>
          <t>TRÚNG N3 🎯</t>
        </is>
      </c>
      <c r="O76" t="inlineStr">
        <is>
          <t>00, 03, 05, 08, 12, 14, 17, 19, 21, 23, 26, 28, 30, 32, 35, 37, 41, 44, 46, 49, 50, 53, 55, 58, 62, 64, 67, 69, 71, 73, 76, 78, 80, 82, 85, 87, 91, 94, 96, 99</t>
        </is>
      </c>
    </row>
    <row r="77">
      <c r="A77" t="n">
        <v>151</v>
      </c>
      <c r="B77" t="inlineStr">
        <is>
          <t>Thứ sáu ngày 05-06-2026</t>
        </is>
      </c>
      <c r="C77" t="inlineStr">
        <is>
          <t>Thứ Năm</t>
        </is>
      </c>
      <c r="D77" t="inlineStr">
        <is>
          <t>74978</t>
        </is>
      </c>
      <c r="E77" t="inlineStr">
        <is>
          <t>78</t>
        </is>
      </c>
      <c r="F77" t="inlineStr">
        <is>
          <t>G7.4, G7.1</t>
        </is>
      </c>
      <c r="G77" t="inlineStr">
        <is>
          <t>Tổng 1, Tổng 2, Tổng 4, Tổng 6, Tổng 7, Tổng 9</t>
        </is>
      </c>
      <c r="H77" t="inlineStr">
        <is>
          <t>01235678</t>
        </is>
      </c>
      <c r="I77" t="inlineStr">
        <is>
          <t>Tổng 9-Bóng 4</t>
        </is>
      </c>
      <c r="J77" t="n">
        <v>60</v>
      </c>
      <c r="K77" t="inlineStr">
        <is>
          <t>TRƯỢT ❌</t>
        </is>
      </c>
      <c r="L77" t="inlineStr">
        <is>
          <t>04, 11, 13, 25, 33, 36, 38, 39, 40, 42, 43, 47, 54, 59, 61, 68, 81, 83, 84, 92</t>
        </is>
      </c>
      <c r="M77" t="inlineStr">
        <is>
          <t>TRƯỢT ❌</t>
        </is>
      </c>
      <c r="N77" t="inlineStr">
        <is>
          <t>TRÚNG N2 🎯</t>
        </is>
      </c>
      <c r="O77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78">
      <c r="A78" t="n">
        <v>150</v>
      </c>
      <c r="B78" t="inlineStr">
        <is>
          <t>Thứ năm ngày 04-06-2026</t>
        </is>
      </c>
      <c r="C78" t="inlineStr">
        <is>
          <t>Thứ Tư</t>
        </is>
      </c>
      <c r="D78" t="inlineStr">
        <is>
          <t>05583</t>
        </is>
      </c>
      <c r="E78" t="inlineStr">
        <is>
          <t>83</t>
        </is>
      </c>
      <c r="F78" t="inlineStr">
        <is>
          <t>G7.2, G7.1</t>
        </is>
      </c>
      <c r="G78" t="inlineStr">
        <is>
          <t>Tổng 2, Tổng 4, Tổng 7, Tổng 9</t>
        </is>
      </c>
      <c r="H78" t="inlineStr">
        <is>
          <t>02345789</t>
        </is>
      </c>
      <c r="I78" t="inlineStr">
        <is>
          <t>Tổng 9-Bóng 4</t>
        </is>
      </c>
      <c r="J78" t="n">
        <v>36</v>
      </c>
      <c r="K78" t="inlineStr">
        <is>
          <t>TRƯỢT ❌</t>
        </is>
      </c>
      <c r="L78" t="inlineStr">
        <is>
          <t>04, 13, 20, 22, 25, 36, 39, 40, 43, 48, 54, 59, 63, 68, 70, 75, 81, 84, 93, 95</t>
        </is>
      </c>
      <c r="M78" t="inlineStr">
        <is>
          <t>TRƯỢT ❌</t>
        </is>
      </c>
      <c r="N78" t="inlineStr">
        <is>
          <t>TRƯỢT KHUNG ❌</t>
        </is>
      </c>
      <c r="O78" t="inlineStr">
        <is>
          <t>02, 04, 07, 09, 13, 18, 20, 22, 25, 27, 31, 34, 36, 39, 40, 43, 45, 48, 52, 54, 57, 59, 63, 68, 70, 72, 75, 77, 81, 84, 86, 89, 90, 93, 95, 98</t>
        </is>
      </c>
    </row>
    <row r="79">
      <c r="A79" t="n">
        <v>149</v>
      </c>
      <c r="B79" t="inlineStr">
        <is>
          <t>Thứ tư ngày 03-06-2026</t>
        </is>
      </c>
      <c r="C79" t="inlineStr">
        <is>
          <t>Thứ Ba</t>
        </is>
      </c>
      <c r="D79" t="inlineStr">
        <is>
          <t>02636</t>
        </is>
      </c>
      <c r="E79" t="inlineStr">
        <is>
          <t>36</t>
        </is>
      </c>
      <c r="F79" t="inlineStr">
        <is>
          <t>G7.3, G7.4</t>
        </is>
      </c>
      <c r="G79" t="inlineStr">
        <is>
          <t>Tổng 0, Tổng 1, Tổng 5, Tổng 6</t>
        </is>
      </c>
      <c r="H79" t="inlineStr">
        <is>
          <t>02345789</t>
        </is>
      </c>
      <c r="I79" t="inlineStr">
        <is>
          <t>Tổng 0-Bóng 5</t>
        </is>
      </c>
      <c r="J79" t="n">
        <v>40</v>
      </c>
      <c r="K79" t="inlineStr">
        <is>
          <t>TRƯỢT ❌</t>
        </is>
      </c>
      <c r="L79" t="inlineStr">
        <is>
          <t>00, 06, 14, 23, 28, 32, 33, 37, 38, 41, 42, 47, 50, 51, 55, 64, 69, 82, 92, 97</t>
        </is>
      </c>
      <c r="M79" t="inlineStr">
        <is>
          <t>TRƯỢT ❌</t>
        </is>
      </c>
      <c r="N79" t="inlineStr">
        <is>
          <t>TRÚNG N2 🎯</t>
        </is>
      </c>
      <c r="O79" t="inlineStr">
        <is>
          <t>00, 01, 05, 06, 10, 14, 15, 19, 23, 24, 28, 29, 32, 33, 37, 38, 41, 42, 46, 47, 50, 51, 55, 56, 60, 64, 65, 69, 73, 74, 78, 79, 82, 83, 87, 88, 91, 92, 96, 97</t>
        </is>
      </c>
    </row>
    <row r="80">
      <c r="A80" t="n">
        <v>148</v>
      </c>
      <c r="B80" t="inlineStr">
        <is>
          <t>Thứ ba ngày 02-06-2026</t>
        </is>
      </c>
      <c r="C80" t="inlineStr">
        <is>
          <t>Thứ Hai</t>
        </is>
      </c>
      <c r="D80" t="inlineStr">
        <is>
          <t>73823</t>
        </is>
      </c>
      <c r="E80" t="inlineStr">
        <is>
          <t>23</t>
        </is>
      </c>
      <c r="F80" t="inlineStr">
        <is>
          <t>G7.4, G7.2</t>
        </is>
      </c>
      <c r="G80" t="inlineStr">
        <is>
          <t>Tổng 1, Tổng 3, Tổng 4, Tổng 6, Tổng 8, Tổng 9</t>
        </is>
      </c>
      <c r="H80" t="inlineStr">
        <is>
          <t>01245679</t>
        </is>
      </c>
      <c r="I80" t="inlineStr">
        <is>
          <t>Tổng 4-Bóng 9</t>
        </is>
      </c>
      <c r="J80" t="n">
        <v>56</v>
      </c>
      <c r="K80" t="inlineStr">
        <is>
          <t>TRƯỢT ❌</t>
        </is>
      </c>
      <c r="L80" t="inlineStr">
        <is>
          <t>04, 06, 12, 13, 17, 21, 40, 42, 47, 51, 53, 54, 59, 63, 68, 76, 81, 85, 92, 94</t>
        </is>
      </c>
      <c r="M80" t="inlineStr">
        <is>
          <t>TRƯỢT ❌</t>
        </is>
      </c>
      <c r="N80" t="inlineStr">
        <is>
          <t>TRÚNG N2 🎯</t>
        </is>
      </c>
      <c r="O80" t="inlineStr">
        <is>
          <t>01, 03, 04, 06, 08, 09, 10, 12, 13, 15, 17, 18, 21, 22, 24, 26, 27, 29, 30, 31, 35, 36, 40, 42, 44, 45, 47, 49, 51, 53, 54, 56, 58, 59, 60, 62, 63, 65, 67, 68, 71, 72, 74, 76, 77, 79, 80, 81, 85, 86, 90, 92, 94, 95, 97, 99</t>
        </is>
      </c>
    </row>
    <row r="81">
      <c r="A81" t="n">
        <v>147</v>
      </c>
      <c r="B81" t="inlineStr">
        <is>
          <t>Thứ hai ngày 01-06-2026</t>
        </is>
      </c>
      <c r="C81" t="inlineStr">
        <is>
          <t>Chủ Nhật</t>
        </is>
      </c>
      <c r="D81" t="inlineStr">
        <is>
          <t>90353</t>
        </is>
      </c>
      <c r="E81" t="inlineStr">
        <is>
          <t>53</t>
        </is>
      </c>
      <c r="F81" t="inlineStr">
        <is>
          <t>G7.3, G7.1</t>
        </is>
      </c>
      <c r="G81" t="inlineStr">
        <is>
          <t>Tổng 0, Tổng 1, Tổng 4, Tổng 5, Tổng 6, Tổng 9</t>
        </is>
      </c>
      <c r="H81" t="inlineStr">
        <is>
          <t>12346789</t>
        </is>
      </c>
      <c r="I81" t="inlineStr">
        <is>
          <t>Tổng 1-Bóng 6</t>
        </is>
      </c>
      <c r="J81" t="n">
        <v>56</v>
      </c>
      <c r="K81" t="inlineStr">
        <is>
          <t>TRƯỢT ❌</t>
        </is>
      </c>
      <c r="L81" t="inlineStr">
        <is>
          <t>04, 13, 14, 23, 32, 33, 37, 38, 40, 41, 42, 47, 51, 54, 59, 64, 68, 69, 81, 92</t>
        </is>
      </c>
      <c r="M81" t="inlineStr">
        <is>
          <t>TRƯỢT ❌</t>
        </is>
      </c>
      <c r="N81" t="inlineStr">
        <is>
          <t>TRÚNG N2 🎯</t>
        </is>
      </c>
      <c r="O81" t="inlineStr">
        <is>
          <t>01, 04, 06, 09, 10, 13, 14, 15, 18, 19, 22, 23, 24, 27, 28, 29, 31, 32, 33, 36, 37, 38, 40, 41, 42, 45, 46, 47, 51, 54, 56, 59, 60, 63, 64, 65, 68, 69, 72, 73, 74, 77, 78, 79, 81, 82, 83, 86, 87, 88, 90, 91, 92, 95, 96, 97</t>
        </is>
      </c>
    </row>
    <row r="82">
      <c r="A82" t="n">
        <v>146</v>
      </c>
      <c r="B82" t="inlineStr">
        <is>
          <t>Chủ nhật ngày 31-05-2026</t>
        </is>
      </c>
      <c r="C82" t="inlineStr">
        <is>
          <t>Thứ Bảy</t>
        </is>
      </c>
      <c r="D82" t="inlineStr">
        <is>
          <t>24042</t>
        </is>
      </c>
      <c r="E82" t="inlineStr">
        <is>
          <t>42</t>
        </is>
      </c>
      <c r="F82" t="inlineStr">
        <is>
          <t>G7.1, G7.3</t>
        </is>
      </c>
      <c r="G82" t="inlineStr">
        <is>
          <t>Tổng 0, Tổng 1, Tổng 4, Tổng 5, Tổng 6, Tổng 9</t>
        </is>
      </c>
      <c r="H82" t="inlineStr">
        <is>
          <t>014569</t>
        </is>
      </c>
      <c r="I82" t="inlineStr">
        <is>
          <t>Tổng 9-Bóng 4</t>
        </is>
      </c>
      <c r="J82" t="n">
        <v>44</v>
      </c>
      <c r="K82" t="inlineStr">
        <is>
          <t>TRÚNG N1 🎯</t>
        </is>
      </c>
      <c r="L82" t="inlineStr">
        <is>
          <t>00, 04, 06, 13, 14, 40, 41, 47, 50, 51, 54, 55, 59, 63, 64, 68, 69, 81, 92, 97</t>
        </is>
      </c>
      <c r="M82" t="inlineStr">
        <is>
          <t>TRƯỢT ❌</t>
        </is>
      </c>
      <c r="N82" t="inlineStr">
        <is>
          <t>TRÚNG N1 🎯</t>
        </is>
      </c>
      <c r="O82" t="inlineStr">
        <is>
          <t>00, 01, 04, 05, 06, 09, 10, 13, 14, 15, 18, 19, 24, 29, 31, 36, 40, 41, 42, 45, 46, 47, 50, 51, 54, 55, 56, 59, 60, 63, 64, 65, 68, 69, 74, 79, 81, 86, 90, 91, 92, 95, 96, 97</t>
        </is>
      </c>
    </row>
    <row r="83">
      <c r="A83" t="n">
        <v>145</v>
      </c>
      <c r="B83" t="inlineStr">
        <is>
          <t>Thứ bảy ngày 30-05-2026</t>
        </is>
      </c>
      <c r="C83" t="inlineStr">
        <is>
          <t>Thứ Sáu</t>
        </is>
      </c>
      <c r="D83" t="inlineStr">
        <is>
          <t>17743</t>
        </is>
      </c>
      <c r="E83" t="inlineStr">
        <is>
          <t>43</t>
        </is>
      </c>
      <c r="F83" t="inlineStr">
        <is>
          <t>G7.4, G7.1</t>
        </is>
      </c>
      <c r="G83" t="inlineStr">
        <is>
          <t>Tổng 1, Tổng 3, Tổng 4, Tổng 6, Tổng 8, Tổng 9</t>
        </is>
      </c>
      <c r="H83" t="inlineStr">
        <is>
          <t>123678</t>
        </is>
      </c>
      <c r="I83" t="inlineStr">
        <is>
          <t>Tổng 4-Bóng 9</t>
        </is>
      </c>
      <c r="J83" t="n">
        <v>48</v>
      </c>
      <c r="K83" t="inlineStr">
        <is>
          <t>TRƯỢT ❌</t>
        </is>
      </c>
      <c r="L83" t="inlineStr">
        <is>
          <t>06, 12, 13, 17, 21, 24, 33, 35, 38, 47, 51, 63, 67, 68, 76, 81, 85, 88, 92, 97</t>
        </is>
      </c>
      <c r="M83" t="inlineStr">
        <is>
          <t>TRƯỢT ❌</t>
        </is>
      </c>
      <c r="N83" t="inlineStr">
        <is>
          <t>TRÚNG N2 🎯</t>
        </is>
      </c>
      <c r="O83" t="inlineStr">
        <is>
          <t>01, 03, 06, 08, 10, 12, 13, 15, 17, 18, 21, 22, 24, 26, 27, 29, 30, 31, 33, 35, 36, 38, 42, 47, 51, 53, 56, 58, 60, 62, 63, 65, 67, 68, 71, 72, 74, 76, 77, 79, 80, 81, 83, 85, 86, 88, 92, 97</t>
        </is>
      </c>
    </row>
    <row r="84">
      <c r="A84" t="n">
        <v>144</v>
      </c>
      <c r="B84" t="inlineStr">
        <is>
          <t>Thứ sáu ngày 29-05-2026</t>
        </is>
      </c>
      <c r="C84" t="inlineStr">
        <is>
          <t>Thứ Năm</t>
        </is>
      </c>
      <c r="D84" t="inlineStr">
        <is>
          <t>77954</t>
        </is>
      </c>
      <c r="E84" t="inlineStr">
        <is>
          <t>54</t>
        </is>
      </c>
      <c r="F84" t="inlineStr">
        <is>
          <t>G7.4, G7.1</t>
        </is>
      </c>
      <c r="G84" t="inlineStr">
        <is>
          <t>Tổng 0, Tổng 2, Tổng 3, Tổng 5, Tổng 7, Tổng 8</t>
        </is>
      </c>
      <c r="H84" t="inlineStr">
        <is>
          <t>014569</t>
        </is>
      </c>
      <c r="I84" t="inlineStr">
        <is>
          <t>Tổng 0-Bóng 5</t>
        </is>
      </c>
      <c r="J84" t="n">
        <v>52</v>
      </c>
      <c r="K84" t="inlineStr">
        <is>
          <t>TRƯỢT ❌</t>
        </is>
      </c>
      <c r="L84" t="inlineStr">
        <is>
          <t>11, 12, 14, 17, 21, 25, 39, 41, 48, 50, 55, 61, 64, 69, 75, 76, 84, 85, 91, 94</t>
        </is>
      </c>
      <c r="M84" t="inlineStr">
        <is>
          <t>TRƯỢT ❌</t>
        </is>
      </c>
      <c r="N84" t="inlineStr">
        <is>
          <t>TRÚNG N2 🎯</t>
        </is>
      </c>
      <c r="O84" t="inlineStr">
        <is>
          <t>00, 02, 03, 05, 07, 08, 11, 12, 14, 16, 17, 19, 20, 21, 25, 26, 30, 34, 35, 39, 41, 43, 44, 46, 48, 49, 50, 52, 53, 55, 57, 58, 61, 62, 64, 66, 67, 69, 70, 71, 75, 76, 80, 84, 85, 89, 91, 93, 94, 96, 98, 99</t>
        </is>
      </c>
    </row>
    <row r="85">
      <c r="A85" t="n">
        <v>143</v>
      </c>
      <c r="B85" t="inlineStr">
        <is>
          <t>Thứ năm ngày 28-05-2026</t>
        </is>
      </c>
      <c r="C85" t="inlineStr">
        <is>
          <t>Thứ Tư</t>
        </is>
      </c>
      <c r="D85" t="inlineStr">
        <is>
          <t>00250</t>
        </is>
      </c>
      <c r="E85" t="inlineStr">
        <is>
          <t>50</t>
        </is>
      </c>
      <c r="F85" t="inlineStr">
        <is>
          <t>G7.2, G7.3</t>
        </is>
      </c>
      <c r="G85" t="inlineStr">
        <is>
          <t>Tổng 2, Tổng 4, Tổng 7, Tổng 9</t>
        </is>
      </c>
      <c r="H85" t="inlineStr">
        <is>
          <t>01245679</t>
        </is>
      </c>
      <c r="I85" t="inlineStr">
        <is>
          <t>Tổng 9-Bóng 4</t>
        </is>
      </c>
      <c r="J85" t="n">
        <v>40</v>
      </c>
      <c r="K85" t="inlineStr">
        <is>
          <t>TRƯỢT ❌</t>
        </is>
      </c>
      <c r="L85" t="inlineStr">
        <is>
          <t>04, 11, 13, 20, 25, 36, 39, 40, 43, 48, 54, 57, 59, 61, 63, 66, 68, 75, 81, 84</t>
        </is>
      </c>
      <c r="M85" t="inlineStr">
        <is>
          <t>TRƯỢT ❌</t>
        </is>
      </c>
      <c r="N85" t="inlineStr">
        <is>
          <t>TRÚNG N2 🎯</t>
        </is>
      </c>
      <c r="O85" t="inlineStr">
        <is>
          <t>02, 04, 07, 09, 11, 13, 16, 18, 20, 22, 25, 27, 31, 34, 36, 39, 40, 43, 45, 48, 52, 54, 57, 59, 61, 63, 66, 68, 70, 72, 75, 77, 81, 84, 86, 89, 90, 93, 95, 98</t>
        </is>
      </c>
    </row>
    <row r="86">
      <c r="A86" t="n">
        <v>142</v>
      </c>
      <c r="B86" t="inlineStr">
        <is>
          <t>Thứ tư ngày 27-05-2026</t>
        </is>
      </c>
      <c r="C86" t="inlineStr">
        <is>
          <t>Thứ Ba</t>
        </is>
      </c>
      <c r="D86" t="inlineStr">
        <is>
          <t>61513</t>
        </is>
      </c>
      <c r="E86" t="inlineStr">
        <is>
          <t>13</t>
        </is>
      </c>
      <c r="F86" t="inlineStr">
        <is>
          <t>G7.3, G7.4</t>
        </is>
      </c>
      <c r="G86" t="inlineStr">
        <is>
          <t>Tổng 0, Tổng 3, Tổng 4, Tổng 5, Tổng 8, Tổng 9</t>
        </is>
      </c>
      <c r="H86" t="inlineStr">
        <is>
          <t>12346789</t>
        </is>
      </c>
      <c r="I86" t="inlineStr">
        <is>
          <t>Tổng 8-Bóng 3</t>
        </is>
      </c>
      <c r="J86" t="n">
        <v>56</v>
      </c>
      <c r="K86" t="inlineStr">
        <is>
          <t>TRÚNG N1 🎯</t>
        </is>
      </c>
      <c r="L86" t="inlineStr">
        <is>
          <t>04, 12, 14, 17, 21, 23, 32, 37, 40, 41, 54, 59, 64, 68, 69, 76, 81, 85, 91, 94</t>
        </is>
      </c>
      <c r="M86" t="inlineStr">
        <is>
          <t>TRƯỢT ❌</t>
        </is>
      </c>
      <c r="N86" t="inlineStr">
        <is>
          <t>TRÚNG N1 🎯</t>
        </is>
      </c>
      <c r="O86" t="inlineStr">
        <is>
          <t>03, 04, 08, 09, 12, 13, 14, 17, 18, 19, 21, 22, 23, 26, 27, 28, 30, 31, 32, 35, 36, 37, 40, 41, 44, 45, 46, 49, 53, 54, 58, 59, 62, 63, 64, 67, 68, 69, 71, 72, 73, 76, 77, 78, 80, 81, 82, 85, 86, 87, 90, 91, 94, 95, 96, 99</t>
        </is>
      </c>
    </row>
    <row r="87">
      <c r="A87" t="n">
        <v>141</v>
      </c>
      <c r="B87" t="inlineStr">
        <is>
          <t>Thứ ba ngày 26-05-2026</t>
        </is>
      </c>
      <c r="C87" t="inlineStr">
        <is>
          <t>Thứ Hai</t>
        </is>
      </c>
      <c r="D87" t="inlineStr">
        <is>
          <t>49111</t>
        </is>
      </c>
      <c r="E87" t="inlineStr">
        <is>
          <t>11</t>
        </is>
      </c>
      <c r="F87" t="inlineStr">
        <is>
          <t>G7.4, G7.2</t>
        </is>
      </c>
      <c r="G87" t="inlineStr">
        <is>
          <t>Tổng 0, Tổng 2, Tổng 5, Tổng 7</t>
        </is>
      </c>
      <c r="H87" t="inlineStr">
        <is>
          <t>01345689</t>
        </is>
      </c>
      <c r="I87" t="inlineStr">
        <is>
          <t>Tổng 5-Bóng 0</t>
        </is>
      </c>
      <c r="J87" t="n">
        <v>40</v>
      </c>
      <c r="K87" t="inlineStr">
        <is>
          <t>TRÚNG N1 🎯</t>
        </is>
      </c>
      <c r="L87" t="inlineStr">
        <is>
          <t>14, 20, 23, 25, 28, 32, 37, 39, 41, 43, 48, 50, 55, 61, 64, 66, 69, 75, 84, 91</t>
        </is>
      </c>
      <c r="M87" t="inlineStr">
        <is>
          <t>TRƯỢT ❌</t>
        </is>
      </c>
      <c r="N87" t="inlineStr">
        <is>
          <t>TRÚNG N1 🎯</t>
        </is>
      </c>
      <c r="O87" t="inlineStr">
        <is>
          <t>00, 02, 05, 07, 11, 14, 16, 19, 20, 23, 25, 28, 32, 34, 37, 39, 41, 43, 46, 48, 50, 52, 55, 57, 61, 64, 66, 69, 70, 73, 75, 78, 82, 84, 87, 89, 91, 93, 96, 98</t>
        </is>
      </c>
    </row>
    <row r="88">
      <c r="A88" t="n">
        <v>140</v>
      </c>
      <c r="B88" t="inlineStr">
        <is>
          <t>Thứ hai ngày 25-05-2026</t>
        </is>
      </c>
      <c r="C88" t="inlineStr">
        <is>
          <t>Chủ Nhật</t>
        </is>
      </c>
      <c r="D88" t="inlineStr">
        <is>
          <t>97281</t>
        </is>
      </c>
      <c r="E88" t="inlineStr">
        <is>
          <t>81</t>
        </is>
      </c>
      <c r="F88" t="inlineStr">
        <is>
          <t>G7.3, G7.1</t>
        </is>
      </c>
      <c r="G88" t="inlineStr">
        <is>
          <t>Tổng 1, Tổng 3, Tổng 6, Tổng 8</t>
        </is>
      </c>
      <c r="H88" t="inlineStr">
        <is>
          <t>0123456789</t>
        </is>
      </c>
      <c r="I88" t="inlineStr">
        <is>
          <t>Tổng 8-Bóng 3</t>
        </is>
      </c>
      <c r="J88" t="n">
        <v>40</v>
      </c>
      <c r="K88" t="inlineStr">
        <is>
          <t>TRƯỢT ❌</t>
        </is>
      </c>
      <c r="L88" t="inlineStr">
        <is>
          <t>06, 08, 12, 17, 21, 24, 33, 35, 38, 44, 47, 51, 67, 76, 80, 85, 88, 92, 94, 97</t>
        </is>
      </c>
      <c r="M88" t="inlineStr">
        <is>
          <t>TRƯỢT ❌</t>
        </is>
      </c>
      <c r="N88" t="inlineStr">
        <is>
          <t>TRƯỢT KHUNG ❌</t>
        </is>
      </c>
      <c r="O88" t="inlineStr">
        <is>
          <t>01, 03, 06, 08, 10, 12, 15, 17, 21, 24, 26, 29, 30, 33, 35, 38, 42, 44, 47, 49, 51, 53, 56, 58, 60, 62, 65, 67, 71, 74, 76, 79, 80, 83, 85, 88, 92, 94, 97, 99</t>
        </is>
      </c>
    </row>
    <row r="89">
      <c r="A89" t="n">
        <v>139</v>
      </c>
      <c r="B89" t="inlineStr">
        <is>
          <t>Chủ nhật ngày 24-05-2026</t>
        </is>
      </c>
      <c r="C89" t="inlineStr">
        <is>
          <t>Thứ Bảy</t>
        </is>
      </c>
      <c r="D89" t="inlineStr">
        <is>
          <t>20104</t>
        </is>
      </c>
      <c r="E89" t="inlineStr">
        <is>
          <t>04</t>
        </is>
      </c>
      <c r="F89" t="inlineStr">
        <is>
          <t>G7.1, G7.3</t>
        </is>
      </c>
      <c r="G89" t="inlineStr">
        <is>
          <t>Tổng 2, Tổng 3, Tổng 4, Tổng 7, Tổng 8, Tổng 9</t>
        </is>
      </c>
      <c r="H89" t="inlineStr">
        <is>
          <t>0123456789</t>
        </is>
      </c>
      <c r="I89" t="inlineStr">
        <is>
          <t>Tổng 4-Bóng 9</t>
        </is>
      </c>
      <c r="J89" t="n">
        <v>60</v>
      </c>
      <c r="K89" t="inlineStr">
        <is>
          <t>TRÚNG N1 🎯</t>
        </is>
      </c>
      <c r="L89" t="inlineStr">
        <is>
          <t>04, 12, 17, 20, 21, 25, 39, 40, 43, 48, 54, 59, 61, 63, 68, 75, 76, 84, 85, 94</t>
        </is>
      </c>
      <c r="M89" t="inlineStr">
        <is>
          <t>TRÚNG HỎA LỰC 🎯</t>
        </is>
      </c>
      <c r="N89" t="inlineStr">
        <is>
          <t>TRÚNG N1 🎯</t>
        </is>
      </c>
      <c r="O89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90">
      <c r="A90" t="n">
        <v>138</v>
      </c>
      <c r="B90" t="inlineStr">
        <is>
          <t>Thứ bảy ngày 23-05-2026</t>
        </is>
      </c>
      <c r="C90" t="inlineStr">
        <is>
          <t>Thứ Sáu</t>
        </is>
      </c>
      <c r="D90" t="inlineStr">
        <is>
          <t>38021</t>
        </is>
      </c>
      <c r="E90" t="inlineStr">
        <is>
          <t>21</t>
        </is>
      </c>
      <c r="F90" t="inlineStr">
        <is>
          <t>G7.4, G7.1</t>
        </is>
      </c>
      <c r="G90" t="inlineStr">
        <is>
          <t>Tổng 0, Tổng 2, Tổng 4, Tổng 5, Tổng 7, Tổng 9</t>
        </is>
      </c>
      <c r="H90" t="inlineStr">
        <is>
          <t>12346789</t>
        </is>
      </c>
      <c r="I90" t="inlineStr">
        <is>
          <t>Tổng 5-Bóng 0</t>
        </is>
      </c>
      <c r="J90" t="n">
        <v>56</v>
      </c>
      <c r="K90" t="inlineStr">
        <is>
          <t>TRƯỢT ❌</t>
        </is>
      </c>
      <c r="L90" t="inlineStr">
        <is>
          <t>04, 14, 23, 25, 28, 32, 37, 39, 40, 41, 48, 54, 59, 61, 64, 68, 69, 75, 84, 91</t>
        </is>
      </c>
      <c r="M90" t="inlineStr">
        <is>
          <t>TRƯỢT ❌</t>
        </is>
      </c>
      <c r="N90" t="inlineStr">
        <is>
          <t>TRÚNG N2 🎯</t>
        </is>
      </c>
      <c r="O90" t="inlineStr">
        <is>
          <t>02, 04, 07, 09, 11, 13, 14, 16, 18, 19, 20, 22, 23, 25, 27, 28, 31, 32, 34, 36, 37, 39, 40, 41, 43, 45, 46, 48, 52, 54, 57, 59, 61, 63, 64, 66, 68, 69, 70, 72, 73, 75, 77, 78, 81, 82, 84, 86, 87, 89, 90, 91, 93, 95, 96, 98</t>
        </is>
      </c>
    </row>
    <row r="91">
      <c r="A91" t="n">
        <v>137</v>
      </c>
      <c r="B91" t="inlineStr">
        <is>
          <t>Thứ sáu ngày 22-05-2026</t>
        </is>
      </c>
      <c r="C91" t="inlineStr">
        <is>
          <t>Thứ Năm</t>
        </is>
      </c>
      <c r="D91" t="inlineStr">
        <is>
          <t>72939</t>
        </is>
      </c>
      <c r="E91" t="inlineStr">
        <is>
          <t>39</t>
        </is>
      </c>
      <c r="F91" t="inlineStr">
        <is>
          <t>G7.4, G7.1</t>
        </is>
      </c>
      <c r="G91" t="inlineStr">
        <is>
          <t>Tổng 1, Tổng 2, Tổng 6, Tổng 7</t>
        </is>
      </c>
      <c r="H91" t="inlineStr">
        <is>
          <t>02345789</t>
        </is>
      </c>
      <c r="I91" t="inlineStr">
        <is>
          <t>Tổng 7-Bóng 2</t>
        </is>
      </c>
      <c r="J91" t="n">
        <v>36</v>
      </c>
      <c r="K91" t="inlineStr">
        <is>
          <t>TRÚNG N1 🎯</t>
        </is>
      </c>
      <c r="L91" t="inlineStr">
        <is>
          <t>06, 20, 24, 25, 29, 33, 38, 39, 42, 43, 47, 48, 51, 75, 83, 84, 88, 92, 93, 97</t>
        </is>
      </c>
      <c r="M91" t="inlineStr">
        <is>
          <t>TRÚNG HỎA LỰC 🎯</t>
        </is>
      </c>
      <c r="N91" t="inlineStr">
        <is>
          <t>TRÚNG N1 🎯</t>
        </is>
      </c>
      <c r="O91" t="inlineStr">
        <is>
          <t>01, 02, 06, 07, 10, 15, 20, 24, 25, 29, 33, 34, 38, 39, 42, 43, 47, 48, 51, 52, 56, 57, 60, 65, 70, 74, 75, 79, 83, 84, 88, 89, 92, 93, 97, 98</t>
        </is>
      </c>
    </row>
    <row r="92">
      <c r="A92" t="n">
        <v>136</v>
      </c>
      <c r="B92" t="inlineStr">
        <is>
          <t>Thứ năm ngày 21-05-2026</t>
        </is>
      </c>
      <c r="C92" t="inlineStr">
        <is>
          <t>Thứ Tư</t>
        </is>
      </c>
      <c r="D92" t="inlineStr">
        <is>
          <t>72685</t>
        </is>
      </c>
      <c r="E92" t="inlineStr">
        <is>
          <t>85</t>
        </is>
      </c>
      <c r="F92" t="inlineStr">
        <is>
          <t>G7.2, G7.3</t>
        </is>
      </c>
      <c r="G92" t="inlineStr">
        <is>
          <t>Tổng 2, Tổng 3, Tổng 7, Tổng 8</t>
        </is>
      </c>
      <c r="H92" t="inlineStr">
        <is>
          <t>01245679</t>
        </is>
      </c>
      <c r="I92" t="inlineStr">
        <is>
          <t>Tổng 2-Bóng 7</t>
        </is>
      </c>
      <c r="J92" t="n">
        <v>40</v>
      </c>
      <c r="K92" t="inlineStr">
        <is>
          <t>TRÚNG N1 🎯</t>
        </is>
      </c>
      <c r="L92" t="inlineStr">
        <is>
          <t>08, 12, 17, 20, 25, 35, 39, 43, 44, 48, 53, 61, 66, 67, 75, 76, 80, 84, 93, 94</t>
        </is>
      </c>
      <c r="M92" t="inlineStr">
        <is>
          <t>TRƯỢT ❌</t>
        </is>
      </c>
      <c r="N92" t="inlineStr">
        <is>
          <t>TRÚNG N1 🎯</t>
        </is>
      </c>
      <c r="O92" t="inlineStr">
        <is>
          <t>02, 03, 07, 08, 11, 12, 16, 17, 20, 21, 25, 26, 30, 34, 35, 39, 43, 44, 48, 49, 52, 53, 57, 58, 61, 62, 66, 67, 70, 71, 75, 76, 80, 84, 85, 89, 93, 94, 98, 99</t>
        </is>
      </c>
    </row>
    <row r="93">
      <c r="A93" t="n">
        <v>135</v>
      </c>
      <c r="B93" t="inlineStr">
        <is>
          <t>Thứ tư ngày 20-05-2026</t>
        </is>
      </c>
      <c r="C93" t="inlineStr">
        <is>
          <t>Thứ Ba</t>
        </is>
      </c>
      <c r="D93" t="inlineStr">
        <is>
          <t>88568</t>
        </is>
      </c>
      <c r="E93" t="inlineStr">
        <is>
          <t>68</t>
        </is>
      </c>
      <c r="F93" t="inlineStr">
        <is>
          <t>G7.3, G7.4</t>
        </is>
      </c>
      <c r="G93" t="inlineStr">
        <is>
          <t>Tổng 0, Tổng 3, Tổng 5, Tổng 8</t>
        </is>
      </c>
      <c r="H93" t="inlineStr">
        <is>
          <t>123678</t>
        </is>
      </c>
      <c r="I93" t="inlineStr">
        <is>
          <t>Tổng 3-Bóng 8</t>
        </is>
      </c>
      <c r="J93" t="n">
        <v>32</v>
      </c>
      <c r="K93" t="inlineStr">
        <is>
          <t>TRƯỢT ❌</t>
        </is>
      </c>
      <c r="L93" t="inlineStr">
        <is>
          <t>08, 12, 14, 17, 19, 23, 28, 32, 35, 37, 41, 46, 53, 64, 67, 69, 76, 80, 82, 91</t>
        </is>
      </c>
      <c r="M93" t="inlineStr">
        <is>
          <t>TRƯỢT ❌</t>
        </is>
      </c>
      <c r="N93" t="inlineStr">
        <is>
          <t>TRÚNG N2 🎯</t>
        </is>
      </c>
      <c r="O93" t="inlineStr">
        <is>
          <t>03, 08, 12, 14, 17, 19, 21, 23, 26, 28, 30, 32, 35, 37, 41, 46, 53, 58, 62, 64, 67, 69, 71, 73, 76, 78, 80, 82, 85, 87, 91, 96</t>
        </is>
      </c>
    </row>
    <row r="94">
      <c r="A94" t="n">
        <v>134</v>
      </c>
      <c r="B94" t="inlineStr">
        <is>
          <t>Thứ ba ngày 19-05-2026</t>
        </is>
      </c>
      <c r="C94" t="inlineStr">
        <is>
          <t>Thứ Hai</t>
        </is>
      </c>
      <c r="D94" t="inlineStr">
        <is>
          <t>81754</t>
        </is>
      </c>
      <c r="E94" t="inlineStr">
        <is>
          <t>54</t>
        </is>
      </c>
      <c r="F94" t="inlineStr">
        <is>
          <t>G7.4, G7.2</t>
        </is>
      </c>
      <c r="G94" t="inlineStr">
        <is>
          <t>Tổng 0, Tổng 1, Tổng 3, Tổng 5, Tổng 6, Tổng 8</t>
        </is>
      </c>
      <c r="H94" t="inlineStr">
        <is>
          <t>01245679</t>
        </is>
      </c>
      <c r="I94" t="inlineStr">
        <is>
          <t>Tổng 6-Bóng 1</t>
        </is>
      </c>
      <c r="J94" t="n">
        <v>56</v>
      </c>
      <c r="K94" t="inlineStr">
        <is>
          <t>TRƯỢT ❌</t>
        </is>
      </c>
      <c r="L94" t="inlineStr">
        <is>
          <t>12, 14, 17, 23, 24, 28, 32, 37, 41, 47, 50, 51, 55, 64, 69, 76, 91, 92, 94, 97</t>
        </is>
      </c>
      <c r="M94" t="inlineStr">
        <is>
          <t>TRƯỢT ❌</t>
        </is>
      </c>
      <c r="N94" t="inlineStr">
        <is>
          <t>TRÚNG N3 🎯</t>
        </is>
      </c>
      <c r="O94" t="inlineStr">
        <is>
          <t>00, 01, 03, 05, 06, 08, 10, 12, 14, 15, 17, 19, 21, 23, 24, 26, 28, 29, 30, 32, 35, 37, 41, 42, 44, 46, 47, 49, 50, 51, 53, 55, 56, 58, 60, 62, 64, 65, 67, 69, 71, 73, 74, 76, 78, 79, 80, 82, 85, 87, 91, 92, 94, 96, 97, 99</t>
        </is>
      </c>
    </row>
    <row r="95">
      <c r="A95" t="n">
        <v>133</v>
      </c>
      <c r="B95" t="inlineStr">
        <is>
          <t>Thứ hai ngày 18-05-2026</t>
        </is>
      </c>
      <c r="C95" t="inlineStr">
        <is>
          <t>Chủ Nhật</t>
        </is>
      </c>
      <c r="D95" t="inlineStr">
        <is>
          <t>55361</t>
        </is>
      </c>
      <c r="E95" t="inlineStr">
        <is>
          <t>61</t>
        </is>
      </c>
      <c r="F95" t="inlineStr">
        <is>
          <t>G7.3, G7.4</t>
        </is>
      </c>
      <c r="G95" t="inlineStr">
        <is>
          <t>Tổng 2, Tổng 3, Tổng 4, Tổng 7, Tổng 8, Tổng 9</t>
        </is>
      </c>
      <c r="H95" t="inlineStr">
        <is>
          <t>0123456789</t>
        </is>
      </c>
      <c r="I95" t="inlineStr">
        <is>
          <t>Tổng 3-Bóng 8</t>
        </is>
      </c>
      <c r="J95" t="n">
        <v>60</v>
      </c>
      <c r="K95" t="inlineStr">
        <is>
          <t>TRÚNG N1 🎯</t>
        </is>
      </c>
      <c r="L95" t="inlineStr">
        <is>
          <t>04, 12, 17, 20, 25, 39, 40, 43, 48, 54, 59, 63, 66, 67, 75, 76, 84, 93, 94, 95</t>
        </is>
      </c>
      <c r="M95" t="inlineStr">
        <is>
          <t>TRƯỢT ❌</t>
        </is>
      </c>
      <c r="N95" t="inlineStr">
        <is>
          <t>TRÚNG N1 🎯</t>
        </is>
      </c>
      <c r="O95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96">
      <c r="A96" t="n">
        <v>132</v>
      </c>
      <c r="B96" t="inlineStr">
        <is>
          <t>Chủ nhật ngày 17-05-2026</t>
        </is>
      </c>
      <c r="C96" t="inlineStr">
        <is>
          <t>Thứ Bảy</t>
        </is>
      </c>
      <c r="D96" t="inlineStr">
        <is>
          <t>96684</t>
        </is>
      </c>
      <c r="E96" t="inlineStr">
        <is>
          <t>84</t>
        </is>
      </c>
      <c r="F96" t="inlineStr">
        <is>
          <t>G7.1, G7.3</t>
        </is>
      </c>
      <c r="G96" t="inlineStr">
        <is>
          <t>Tổng 0, Tổng 2, Tổng 4, Tổng 5, Tổng 7, Tổng 9</t>
        </is>
      </c>
      <c r="H96" t="inlineStr">
        <is>
          <t>01345689</t>
        </is>
      </c>
      <c r="I96" t="inlineStr">
        <is>
          <t>Tổng 0-Bóng 5</t>
        </is>
      </c>
      <c r="J96" t="n">
        <v>56</v>
      </c>
      <c r="K96" t="inlineStr">
        <is>
          <t>TRÚNG N1 🎯</t>
        </is>
      </c>
      <c r="L96" t="inlineStr">
        <is>
          <t>04, 14, 23, 25, 28, 32, 37, 39, 40, 41, 43, 48, 50, 54, 55, 59, 64, 69, 75, 91</t>
        </is>
      </c>
      <c r="M96" t="inlineStr">
        <is>
          <t>TRƯỢT ❌</t>
        </is>
      </c>
      <c r="N96" t="inlineStr">
        <is>
          <t>TRÚNG N1 🎯</t>
        </is>
      </c>
      <c r="O96" t="inlineStr">
        <is>
          <t>00, 02, 04, 05, 07, 09, 11, 13, 14, 16, 18, 19, 20, 23, 25, 28, 31, 32, 34, 36, 37, 39, 40, 41, 43, 45, 46, 48, 50, 52, 54, 55, 57, 59, 61, 63, 64, 66, 68, 69, 70, 73, 75, 78, 81, 82, 84, 86, 87, 89, 90, 91, 93, 95, 96, 98</t>
        </is>
      </c>
    </row>
    <row r="97">
      <c r="A97" t="n">
        <v>131</v>
      </c>
      <c r="B97" t="inlineStr">
        <is>
          <t>Thứ bảy ngày 16-05-2026</t>
        </is>
      </c>
      <c r="C97" t="inlineStr">
        <is>
          <t>Thứ Sáu</t>
        </is>
      </c>
      <c r="D97" t="inlineStr">
        <is>
          <t>19404</t>
        </is>
      </c>
      <c r="E97" t="inlineStr">
        <is>
          <t>04</t>
        </is>
      </c>
      <c r="F97" t="inlineStr">
        <is>
          <t>G7.4, G7.1</t>
        </is>
      </c>
      <c r="G97" t="inlineStr">
        <is>
          <t>Tổng 1, Tổng 2, Tổng 3, Tổng 6, Tổng 7, Tổng 8</t>
        </is>
      </c>
      <c r="H97" t="inlineStr">
        <is>
          <t>02345789</t>
        </is>
      </c>
      <c r="I97" t="inlineStr">
        <is>
          <t>Tổng 7-Bóng 2</t>
        </is>
      </c>
      <c r="J97" t="n">
        <v>56</v>
      </c>
      <c r="K97" t="inlineStr">
        <is>
          <t>TRƯỢT ❌</t>
        </is>
      </c>
      <c r="L97" t="inlineStr">
        <is>
          <t>06, 12, 17, 20, 24, 25, 33, 35, 38, 39, 43, 47, 48, 51, 75, 76, 88, 92, 94, 97</t>
        </is>
      </c>
      <c r="M97" t="inlineStr">
        <is>
          <t>TRƯỢT ❌</t>
        </is>
      </c>
      <c r="N97" t="inlineStr">
        <is>
          <t>TRÚNG N2 🎯</t>
        </is>
      </c>
      <c r="O97" t="inlineStr">
        <is>
          <t>01, 02, 03, 06, 07, 08, 10, 12, 15, 17, 20, 21, 24, 25, 26, 29, 30, 33, 34, 35, 38, 39, 42, 43, 44, 47, 48, 49, 51, 52, 53, 56, 57, 58, 60, 62, 65, 67, 70, 71, 74, 75, 76, 79, 80, 83, 84, 85, 88, 89, 92, 93, 94, 97, 98, 99</t>
        </is>
      </c>
    </row>
    <row r="98">
      <c r="A98" t="n">
        <v>130</v>
      </c>
      <c r="B98" t="inlineStr">
        <is>
          <t>Thứ sáu ngày 15-05-2026</t>
        </is>
      </c>
      <c r="C98" t="inlineStr">
        <is>
          <t>Thứ Năm</t>
        </is>
      </c>
      <c r="D98" t="inlineStr">
        <is>
          <t>67294</t>
        </is>
      </c>
      <c r="E98" t="inlineStr">
        <is>
          <t>94</t>
        </is>
      </c>
      <c r="F98" t="inlineStr">
        <is>
          <t>G7.4, G7.1</t>
        </is>
      </c>
      <c r="G98" t="inlineStr">
        <is>
          <t>Tổng 2, Tổng 3, Tổng 4, Tổng 7, Tổng 8, Tổng 9</t>
        </is>
      </c>
      <c r="H98" t="inlineStr">
        <is>
          <t>0123456789</t>
        </is>
      </c>
      <c r="I98" t="inlineStr">
        <is>
          <t>Tổng 3-Bóng 8</t>
        </is>
      </c>
      <c r="J98" t="n">
        <v>60</v>
      </c>
      <c r="K98" t="inlineStr">
        <is>
          <t>TRÚNG N1 🎯</t>
        </is>
      </c>
      <c r="L98" t="inlineStr">
        <is>
          <t>04, 12, 17, 20, 25, 35, 39, 40, 43, 48, 54, 59, 63, 66, 67, 75, 76, 93, 94, 95</t>
        </is>
      </c>
      <c r="M98" t="inlineStr">
        <is>
          <t>TRÚNG HỎA LỰC 🎯</t>
        </is>
      </c>
      <c r="N98" t="inlineStr">
        <is>
          <t>TRÚNG N1 🎯</t>
        </is>
      </c>
      <c r="O98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99">
      <c r="A99" t="n">
        <v>129</v>
      </c>
      <c r="B99" t="inlineStr">
        <is>
          <t>Thứ năm ngày 14-05-2026</t>
        </is>
      </c>
      <c r="C99" t="inlineStr">
        <is>
          <t>Thứ Tư</t>
        </is>
      </c>
      <c r="D99" t="inlineStr">
        <is>
          <t>76669</t>
        </is>
      </c>
      <c r="E99" t="inlineStr">
        <is>
          <t>69</t>
        </is>
      </c>
      <c r="F99" t="inlineStr">
        <is>
          <t>G7.2, G7.3</t>
        </is>
      </c>
      <c r="G99" t="inlineStr">
        <is>
          <t>Tổng 1, Tổng 3, Tổng 4, Tổng 6, Tổng 8, Tổng 9</t>
        </is>
      </c>
      <c r="H99" t="inlineStr">
        <is>
          <t>034589</t>
        </is>
      </c>
      <c r="I99" t="inlineStr">
        <is>
          <t>Tổng 6-Bóng 1</t>
        </is>
      </c>
      <c r="J99" t="n">
        <v>48</v>
      </c>
      <c r="K99" t="inlineStr">
        <is>
          <t>TRƯỢT ❌</t>
        </is>
      </c>
      <c r="L99" t="inlineStr">
        <is>
          <t>01, 04, 06, 24, 29, 33, 35, 38, 40, 44, 47, 51, 54, 59, 63, 88, 92, 94, 95, 97</t>
        </is>
      </c>
      <c r="M99" t="inlineStr">
        <is>
          <t>TRƯỢT ❌</t>
        </is>
      </c>
      <c r="N99" t="inlineStr">
        <is>
          <t>TRÚNG N2 🎯</t>
        </is>
      </c>
      <c r="O99" t="inlineStr">
        <is>
          <t>01, 03, 04, 06, 08, 09, 10, 13, 15, 18, 24, 29, 30, 31, 33, 35, 36, 38, 40, 42, 44, 45, 47, 49, 51, 53, 54, 56, 58, 59, 60, 63, 65, 68, 74, 79, 80, 81, 83, 85, 86, 88, 90, 92, 94, 95, 97, 99</t>
        </is>
      </c>
    </row>
    <row r="100">
      <c r="A100" t="n">
        <v>128</v>
      </c>
      <c r="B100" t="inlineStr">
        <is>
          <t>Thứ tư ngày 13-05-2026</t>
        </is>
      </c>
      <c r="C100" t="inlineStr">
        <is>
          <t>Thứ Ba</t>
        </is>
      </c>
      <c r="D100" t="inlineStr">
        <is>
          <t>64138</t>
        </is>
      </c>
      <c r="E100" t="inlineStr">
        <is>
          <t>38</t>
        </is>
      </c>
      <c r="F100" t="inlineStr">
        <is>
          <t>G7.4, G7.3</t>
        </is>
      </c>
      <c r="G100" t="inlineStr">
        <is>
          <t>Tổng 0, Tổng 3, Tổng 4, Tổng 5, Tổng 8, Tổng 9</t>
        </is>
      </c>
      <c r="H100" t="inlineStr">
        <is>
          <t>01235678</t>
        </is>
      </c>
      <c r="I100" t="inlineStr">
        <is>
          <t>Tổng 0-Bóng 5</t>
        </is>
      </c>
      <c r="J100" t="n">
        <v>56</v>
      </c>
      <c r="K100" t="inlineStr">
        <is>
          <t>TRƯỢT ❌</t>
        </is>
      </c>
      <c r="L100" t="inlineStr">
        <is>
          <t>04, 12, 14, 17, 23, 28, 32, 35, 37, 40, 41, 50, 54, 55, 59, 63, 64, 69, 76, 91</t>
        </is>
      </c>
      <c r="M100" t="inlineStr">
        <is>
          <t>TRƯỢT ❌</t>
        </is>
      </c>
      <c r="N100" t="inlineStr">
        <is>
          <t>TRÚNG N2 🎯</t>
        </is>
      </c>
      <c r="O100" t="inlineStr">
        <is>
          <t>00, 03, 04, 05, 08, 09, 12, 13, 14, 17, 18, 19, 21, 22, 23, 26, 27, 28, 30, 31, 32, 35, 36, 37, 40, 41, 45, 46, 50, 53, 54, 55, 58, 59, 62, 63, 64, 67, 68, 69, 71, 72, 73, 76, 77, 78, 80, 81, 82, 85, 86, 87, 90, 91, 95, 96</t>
        </is>
      </c>
    </row>
    <row r="101">
      <c r="A101" t="n">
        <v>127</v>
      </c>
      <c r="B101" t="inlineStr">
        <is>
          <t>Thứ ba ngày 12-05-2026</t>
        </is>
      </c>
      <c r="C101" t="inlineStr">
        <is>
          <t>Thứ Hai</t>
        </is>
      </c>
      <c r="D101" t="inlineStr">
        <is>
          <t>52233</t>
        </is>
      </c>
      <c r="E101" t="inlineStr">
        <is>
          <t>33</t>
        </is>
      </c>
      <c r="F101" t="inlineStr">
        <is>
          <t>G7.4, G7.2</t>
        </is>
      </c>
      <c r="G101" t="inlineStr">
        <is>
          <t>Tổng 1, Tổng 4, Tổng 6, Tổng 9</t>
        </is>
      </c>
      <c r="H101" t="inlineStr">
        <is>
          <t>01345689</t>
        </is>
      </c>
      <c r="I101" t="inlineStr">
        <is>
          <t>Tổng 4-Bóng 9</t>
        </is>
      </c>
      <c r="J101" t="n">
        <v>36</v>
      </c>
      <c r="K101" t="inlineStr">
        <is>
          <t>TRÚNG N1 🎯</t>
        </is>
      </c>
      <c r="L101" t="inlineStr">
        <is>
          <t>01, 04, 06, 24, 29, 36, 38, 40, 42, 47, 51, 54, 59, 63, 68, 83, 88, 92, 95, 97</t>
        </is>
      </c>
      <c r="M101" t="inlineStr">
        <is>
          <t>TRƯỢT ❌</t>
        </is>
      </c>
      <c r="N101" t="inlineStr">
        <is>
          <t>TRÚNG N1 🎯</t>
        </is>
      </c>
      <c r="O101" t="inlineStr">
        <is>
          <t>01, 04, 06, 09, 10, 13, 15, 18, 24, 29, 31, 33, 36, 38, 40, 42, 45, 47, 51, 54, 56, 59, 60, 63, 65, 68, 74, 79, 81, 83, 86, 88, 90, 92, 95, 97</t>
        </is>
      </c>
    </row>
    <row r="102">
      <c r="A102" t="n">
        <v>126</v>
      </c>
      <c r="B102" t="inlineStr">
        <is>
          <t>Thứ hai ngày 11-05-2026</t>
        </is>
      </c>
      <c r="C102" t="inlineStr">
        <is>
          <t>Chủ Nhật</t>
        </is>
      </c>
      <c r="D102" t="inlineStr">
        <is>
          <t>52117</t>
        </is>
      </c>
      <c r="E102" t="inlineStr">
        <is>
          <t>17</t>
        </is>
      </c>
      <c r="F102" t="inlineStr">
        <is>
          <t>G7.3, G7.1</t>
        </is>
      </c>
      <c r="G102" t="inlineStr">
        <is>
          <t>Tổng 3, Tổng 8</t>
        </is>
      </c>
      <c r="H102" t="inlineStr">
        <is>
          <t>01235678</t>
        </is>
      </c>
      <c r="I102" t="inlineStr">
        <is>
          <t>Tổng 3-Bóng 8</t>
        </is>
      </c>
      <c r="J102" t="n">
        <v>16</v>
      </c>
      <c r="K102" t="inlineStr">
        <is>
          <t>TRÚNG N1 🎯</t>
        </is>
      </c>
      <c r="L102" t="inlineStr">
        <is>
          <t>03, 08, 12, 17, 21, 26, 30, 35, 53, 58, 62, 67, 71, 76, 80, 85</t>
        </is>
      </c>
      <c r="M102" t="inlineStr">
        <is>
          <t>TRÚNG HỎA LỰC 🎯</t>
        </is>
      </c>
      <c r="N102" t="inlineStr">
        <is>
          <t>TRÚNG N1 🎯</t>
        </is>
      </c>
      <c r="O102" t="inlineStr">
        <is>
          <t>03, 08, 12, 17, 21, 26, 30, 35, 53, 58, 62, 67, 71, 76, 80, 85</t>
        </is>
      </c>
    </row>
    <row r="103">
      <c r="A103" t="n">
        <v>125</v>
      </c>
      <c r="B103" t="inlineStr">
        <is>
          <t>Chủ nhật ngày 10-05-2026</t>
        </is>
      </c>
      <c r="C103" t="inlineStr">
        <is>
          <t>Thứ Bảy</t>
        </is>
      </c>
      <c r="D103" t="inlineStr">
        <is>
          <t>76223</t>
        </is>
      </c>
      <c r="E103" t="inlineStr">
        <is>
          <t>23</t>
        </is>
      </c>
      <c r="F103" t="inlineStr">
        <is>
          <t>G7.1, G7.3</t>
        </is>
      </c>
      <c r="G103" t="inlineStr">
        <is>
          <t>Tổng 0, Tổng 4, Tổng 5, Tổng 9</t>
        </is>
      </c>
      <c r="H103" t="inlineStr">
        <is>
          <t>01345689</t>
        </is>
      </c>
      <c r="I103" t="inlineStr">
        <is>
          <t>Tổng 5-Bóng 0</t>
        </is>
      </c>
      <c r="J103" t="n">
        <v>36</v>
      </c>
      <c r="K103" t="inlineStr">
        <is>
          <t>TRÚNG N1 🎯</t>
        </is>
      </c>
      <c r="L103" t="inlineStr">
        <is>
          <t>00, 04, 14, 28, 32, 37, 40, 41, 50, 54, 55, 59, 63, 64, 68, 69, 82, 87, 91, 95</t>
        </is>
      </c>
      <c r="M103" t="inlineStr">
        <is>
          <t>TRƯỢT ❌</t>
        </is>
      </c>
      <c r="N103" t="inlineStr">
        <is>
          <t>TRÚNG N1 🎯</t>
        </is>
      </c>
      <c r="O103" t="inlineStr">
        <is>
          <t>00, 04, 05, 09, 13, 14, 18, 19, 23, 28, 31, 32, 36, 37, 40, 41, 45, 46, 50, 54, 55, 59, 63, 64, 68, 69, 73, 78, 81, 82, 86, 87, 90, 91, 95, 96</t>
        </is>
      </c>
    </row>
    <row r="104">
      <c r="A104" t="n">
        <v>124</v>
      </c>
      <c r="B104" t="inlineStr">
        <is>
          <t>Thứ bảy ngày 09-05-2026</t>
        </is>
      </c>
      <c r="C104" t="inlineStr">
        <is>
          <t>Thứ Sáu</t>
        </is>
      </c>
      <c r="D104" t="inlineStr">
        <is>
          <t>26192</t>
        </is>
      </c>
      <c r="E104" t="inlineStr">
        <is>
          <t>92</t>
        </is>
      </c>
      <c r="F104" t="inlineStr">
        <is>
          <t>G7.4, G7.1</t>
        </is>
      </c>
      <c r="G104" t="inlineStr">
        <is>
          <t>Tổng 0, Tổng 3, Tổng 5, Tổng 8</t>
        </is>
      </c>
      <c r="H104" t="inlineStr">
        <is>
          <t>01245679</t>
        </is>
      </c>
      <c r="I104" t="inlineStr">
        <is>
          <t>Tổng 0-Bóng 5</t>
        </is>
      </c>
      <c r="J104" t="n">
        <v>40</v>
      </c>
      <c r="K104" t="inlineStr">
        <is>
          <t>TRƯỢT ❌</t>
        </is>
      </c>
      <c r="L104" t="inlineStr">
        <is>
          <t>00, 12, 14, 17, 28, 32, 35, 37, 41, 44, 50, 55, 64, 67, 69, 76, 82, 87, 91, 94</t>
        </is>
      </c>
      <c r="M104" t="inlineStr">
        <is>
          <t>TRƯỢT ❌</t>
        </is>
      </c>
      <c r="N104" t="inlineStr">
        <is>
          <t>TRÚNG N2 🎯</t>
        </is>
      </c>
      <c r="O104" t="inlineStr">
        <is>
          <t>00, 03, 05, 08, 12, 14, 17, 19, 21, 23, 26, 28, 30, 32, 35, 37, 41, 44, 46, 49, 50, 53, 55, 58, 62, 64, 67, 69, 71, 73, 76, 78, 80, 82, 85, 87, 91, 94, 96, 99</t>
        </is>
      </c>
    </row>
    <row r="105">
      <c r="A105" t="n">
        <v>123</v>
      </c>
      <c r="B105" t="inlineStr">
        <is>
          <t>Thứ sáu ngày 08-05-2026</t>
        </is>
      </c>
      <c r="C105" t="inlineStr">
        <is>
          <t>Thứ Năm</t>
        </is>
      </c>
      <c r="D105" t="inlineStr">
        <is>
          <t>29147</t>
        </is>
      </c>
      <c r="E105" t="inlineStr">
        <is>
          <t>47</t>
        </is>
      </c>
      <c r="F105" t="inlineStr">
        <is>
          <t>G7.4, G7.1</t>
        </is>
      </c>
      <c r="G105" t="inlineStr">
        <is>
          <t>Tổng 1, Tổng 2, Tổng 6, Tổng 7</t>
        </is>
      </c>
      <c r="H105" t="inlineStr">
        <is>
          <t>014569</t>
        </is>
      </c>
      <c r="I105" t="inlineStr">
        <is>
          <t>Tổng 7-Bóng 2</t>
        </is>
      </c>
      <c r="J105" t="n">
        <v>36</v>
      </c>
      <c r="K105" t="inlineStr">
        <is>
          <t>TRÚNG N1 🎯</t>
        </is>
      </c>
      <c r="L105" t="inlineStr">
        <is>
          <t>01, 06, 10, 20, 24, 25, 29, 39, 42, 43, 48, 51, 52, 57, 66, 70, 75, 92, 93, 97</t>
        </is>
      </c>
      <c r="M105" t="inlineStr">
        <is>
          <t>TRƯỢT ❌</t>
        </is>
      </c>
      <c r="N105" t="inlineStr">
        <is>
          <t>TRÚNG N1 🎯</t>
        </is>
      </c>
      <c r="O105" t="inlineStr">
        <is>
          <t>01, 02, 06, 07, 10, 11, 15, 16, 20, 24, 25, 29, 34, 39, 42, 43, 47, 48, 51, 52, 56, 57, 60, 61, 65, 66, 70, 74, 75, 79, 84, 89, 92, 93, 97, 98</t>
        </is>
      </c>
    </row>
    <row r="106">
      <c r="A106" t="n">
        <v>122</v>
      </c>
      <c r="B106" t="inlineStr">
        <is>
          <t>Thứ năm ngày 07-05-2026</t>
        </is>
      </c>
      <c r="C106" t="inlineStr">
        <is>
          <t>Thứ Tư</t>
        </is>
      </c>
      <c r="D106" t="inlineStr">
        <is>
          <t>14540</t>
        </is>
      </c>
      <c r="E106" t="inlineStr">
        <is>
          <t>40</t>
        </is>
      </c>
      <c r="F106" t="inlineStr">
        <is>
          <t>G7.2, G7.4</t>
        </is>
      </c>
      <c r="G106" t="inlineStr">
        <is>
          <t>Tổng 0, Tổng 2, Tổng 4, Tổng 5, Tổng 7, Tổng 9</t>
        </is>
      </c>
      <c r="H106" t="inlineStr">
        <is>
          <t>01245679</t>
        </is>
      </c>
      <c r="I106" t="inlineStr">
        <is>
          <t>Tổng 4-Bóng 9</t>
        </is>
      </c>
      <c r="J106" t="n">
        <v>60</v>
      </c>
      <c r="K106" t="inlineStr">
        <is>
          <t>TRÚNG N1 🎯</t>
        </is>
      </c>
      <c r="L106" t="inlineStr">
        <is>
          <t>00, 04, 14, 20, 25, 28, 32, 37, 39, 41, 43, 48, 50, 54, 55, 59, 63, 64, 69, 75</t>
        </is>
      </c>
      <c r="M106" t="inlineStr">
        <is>
          <t>TRƯỢT ❌</t>
        </is>
      </c>
      <c r="N106" t="inlineStr">
        <is>
          <t>TRÚNG N1 🎯</t>
        </is>
      </c>
      <c r="O106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07">
      <c r="A107" t="n">
        <v>121</v>
      </c>
      <c r="B107" t="inlineStr">
        <is>
          <t>Thứ tư ngày 06-05-2026</t>
        </is>
      </c>
      <c r="C107" t="inlineStr">
        <is>
          <t>Thứ Ba</t>
        </is>
      </c>
      <c r="D107" t="inlineStr">
        <is>
          <t>80241</t>
        </is>
      </c>
      <c r="E107" t="inlineStr">
        <is>
          <t>41</t>
        </is>
      </c>
      <c r="F107" t="inlineStr">
        <is>
          <t>G7.4, G7.3</t>
        </is>
      </c>
      <c r="G107" t="inlineStr">
        <is>
          <t>Tổng 0, Tổng 3, Tổng 4, Tổng 5, Tổng 8, Tổng 9</t>
        </is>
      </c>
      <c r="H107" t="inlineStr">
        <is>
          <t>0123456789</t>
        </is>
      </c>
      <c r="I107" t="inlineStr">
        <is>
          <t>Tổng 3-Bóng 8</t>
        </is>
      </c>
      <c r="J107" t="n">
        <v>60</v>
      </c>
      <c r="K107" t="inlineStr">
        <is>
          <t>TRÚNG N1 🎯</t>
        </is>
      </c>
      <c r="L107" t="inlineStr">
        <is>
          <t>00, 04, 12, 14, 17, 28, 32, 35, 37, 50, 54, 55, 59, 63, 64, 68, 69, 76, 82, 91</t>
        </is>
      </c>
      <c r="M107" t="inlineStr">
        <is>
          <t>TRƯỢT ❌</t>
        </is>
      </c>
      <c r="N107" t="inlineStr">
        <is>
          <t>TRÚNG N1 🎯</t>
        </is>
      </c>
      <c r="O107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108">
      <c r="A108" t="n">
        <v>120</v>
      </c>
      <c r="B108" t="inlineStr">
        <is>
          <t>Thứ ba ngày 05-05-2026</t>
        </is>
      </c>
      <c r="C108" t="inlineStr">
        <is>
          <t>Thứ Hai</t>
        </is>
      </c>
      <c r="D108" t="inlineStr">
        <is>
          <t>22512</t>
        </is>
      </c>
      <c r="E108" t="inlineStr">
        <is>
          <t>12</t>
        </is>
      </c>
      <c r="F108" t="inlineStr">
        <is>
          <t>G7.4, G7.2</t>
        </is>
      </c>
      <c r="G108" t="inlineStr">
        <is>
          <t>Tổng 0, Tổng 3, Tổng 5, Tổng 8</t>
        </is>
      </c>
      <c r="H108" t="inlineStr">
        <is>
          <t>0123456789</t>
        </is>
      </c>
      <c r="I108" t="inlineStr">
        <is>
          <t>Tổng 8-Bóng 3</t>
        </is>
      </c>
      <c r="J108" t="n">
        <v>40</v>
      </c>
      <c r="K108" t="inlineStr">
        <is>
          <t>TRÚNG N1 🎯</t>
        </is>
      </c>
      <c r="L108" t="inlineStr">
        <is>
          <t>00, 14, 17, 28, 32, 35, 37, 44, 49, 50, 55, 64, 67, 69, 76, 80, 82, 87, 91, 94</t>
        </is>
      </c>
      <c r="M108" t="inlineStr">
        <is>
          <t>TRƯỢT ❌</t>
        </is>
      </c>
      <c r="N108" t="inlineStr">
        <is>
          <t>TRÚNG N1 🎯</t>
        </is>
      </c>
      <c r="O108" t="inlineStr">
        <is>
          <t>00, 03, 05, 08, 12, 14, 17, 19, 21, 23, 26, 28, 30, 32, 35, 37, 41, 44, 46, 49, 50, 53, 55, 58, 62, 64, 67, 69, 71, 73, 76, 78, 80, 82, 85, 87, 91, 94, 96, 99</t>
        </is>
      </c>
    </row>
    <row r="109">
      <c r="A109" t="n">
        <v>119</v>
      </c>
      <c r="B109" t="inlineStr">
        <is>
          <t>Thứ hai ngày 04-05-2026</t>
        </is>
      </c>
      <c r="C109" t="inlineStr">
        <is>
          <t>Chủ Nhật</t>
        </is>
      </c>
      <c r="D109" t="inlineStr">
        <is>
          <t>11251</t>
        </is>
      </c>
      <c r="E109" t="inlineStr">
        <is>
          <t>51</t>
        </is>
      </c>
      <c r="F109" t="inlineStr">
        <is>
          <t>G7.3, G7.1</t>
        </is>
      </c>
      <c r="G109" t="inlineStr">
        <is>
          <t>Tổng 0, Tổng 1, Tổng 4, Tổng 5, Tổng 6, Tổng 9</t>
        </is>
      </c>
      <c r="H109" t="inlineStr">
        <is>
          <t>0123456789</t>
        </is>
      </c>
      <c r="I109" t="inlineStr">
        <is>
          <t>Tổng 5-Bóng 0</t>
        </is>
      </c>
      <c r="J109" t="n">
        <v>60</v>
      </c>
      <c r="K109" t="inlineStr">
        <is>
          <t>TRÚNG N1 🎯</t>
        </is>
      </c>
      <c r="L109" t="inlineStr">
        <is>
          <t>00, 04, 06, 14, 24, 28, 32, 37, 38, 50, 54, 55, 59, 63, 64, 68, 69, 82, 88, 97</t>
        </is>
      </c>
      <c r="M109" t="inlineStr">
        <is>
          <t>TRƯỢT ❌</t>
        </is>
      </c>
      <c r="N109" t="inlineStr">
        <is>
          <t>TRÚNG N1 🎯</t>
        </is>
      </c>
      <c r="O109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10">
      <c r="A110" t="n">
        <v>118</v>
      </c>
      <c r="B110" t="inlineStr">
        <is>
          <t>Chủ nhật ngày 03-05-2026</t>
        </is>
      </c>
      <c r="C110" t="inlineStr">
        <is>
          <t>Thứ Bảy</t>
        </is>
      </c>
      <c r="D110" t="inlineStr">
        <is>
          <t>32964</t>
        </is>
      </c>
      <c r="E110" t="inlineStr">
        <is>
          <t>64</t>
        </is>
      </c>
      <c r="F110" t="inlineStr">
        <is>
          <t>G7.1, G7.3</t>
        </is>
      </c>
      <c r="G110" t="inlineStr">
        <is>
          <t>Tổng 0, Tổng 1, Tổng 3, Tổng 5, Tổng 6, Tổng 8</t>
        </is>
      </c>
      <c r="H110" t="inlineStr">
        <is>
          <t>12346789</t>
        </is>
      </c>
      <c r="I110" t="inlineStr">
        <is>
          <t>Tổng 1-Bóng 6</t>
        </is>
      </c>
      <c r="J110" t="n">
        <v>56</v>
      </c>
      <c r="K110" t="inlineStr">
        <is>
          <t>TRÚNG N1 🎯</t>
        </is>
      </c>
      <c r="L110" t="inlineStr">
        <is>
          <t>06, 14, 17, 19, 24, 28, 32, 35, 37, 38, 42, 44, 69, 76, 80, 82, 88, 91, 94, 97</t>
        </is>
      </c>
      <c r="M110" t="inlineStr">
        <is>
          <t>TRƯỢT ❌</t>
        </is>
      </c>
      <c r="N110" t="inlineStr">
        <is>
          <t>TRÚNG N1 🎯</t>
        </is>
      </c>
      <c r="O110" t="inlineStr">
        <is>
          <t>01, 03, 06, 08, 10, 12, 14, 15, 17, 19, 21, 23, 24, 26, 28, 29, 30, 32, 33, 35, 37, 38, 41, 42, 44, 46, 47, 49, 51, 53, 56, 58, 60, 62, 64, 65, 67, 69, 71, 73, 74, 76, 78, 79, 80, 82, 83, 85, 87, 88, 91, 92, 94, 96, 97, 99</t>
        </is>
      </c>
    </row>
    <row r="111">
      <c r="A111" t="n">
        <v>117</v>
      </c>
      <c r="B111" t="inlineStr">
        <is>
          <t>Thứ bảy ngày 02-05-2026</t>
        </is>
      </c>
      <c r="C111" t="inlineStr">
        <is>
          <t>Thứ Sáu</t>
        </is>
      </c>
      <c r="D111" t="inlineStr">
        <is>
          <t>16132</t>
        </is>
      </c>
      <c r="E111" t="inlineStr">
        <is>
          <t>32</t>
        </is>
      </c>
      <c r="F111" t="inlineStr">
        <is>
          <t>G7.4, G7.1</t>
        </is>
      </c>
      <c r="G111" t="inlineStr">
        <is>
          <t>Tổng 0, Tổng 2, Tổng 5, Tổng 7</t>
        </is>
      </c>
      <c r="H111" t="inlineStr">
        <is>
          <t>12346789</t>
        </is>
      </c>
      <c r="I111" t="inlineStr">
        <is>
          <t>Tổng 0-Bóng 5</t>
        </is>
      </c>
      <c r="J111" t="n">
        <v>36</v>
      </c>
      <c r="K111" t="inlineStr">
        <is>
          <t>TRÚNG N1 🎯</t>
        </is>
      </c>
      <c r="L111" t="inlineStr">
        <is>
          <t>14, 19, 20, 25, 28, 32, 37, 39, 43, 48, 64, 66, 69, 70, 75, 78, 82, 87, 91, 93</t>
        </is>
      </c>
      <c r="M111" t="inlineStr">
        <is>
          <t>TRÚNG HỎA LỰC 🎯</t>
        </is>
      </c>
      <c r="N111" t="inlineStr">
        <is>
          <t>TRÚNG N1 🎯</t>
        </is>
      </c>
      <c r="O111" t="inlineStr">
        <is>
          <t>02, 07, 11, 14, 16, 19, 20, 23, 25, 28, 32, 34, 37, 39, 41, 43, 46, 48, 52, 57, 61, 64, 66, 69, 70, 73, 75, 78, 82, 84, 87, 89, 91, 93, 96, 98</t>
        </is>
      </c>
    </row>
    <row r="112">
      <c r="A112" t="n">
        <v>116</v>
      </c>
      <c r="B112" t="inlineStr">
        <is>
          <t>Thứ sáu ngày 01-05-2026</t>
        </is>
      </c>
      <c r="C112" t="inlineStr">
        <is>
          <t>Thứ Năm</t>
        </is>
      </c>
      <c r="D112" t="inlineStr">
        <is>
          <t>96637</t>
        </is>
      </c>
      <c r="E112" t="inlineStr">
        <is>
          <t>37</t>
        </is>
      </c>
      <c r="F112" t="inlineStr">
        <is>
          <t>G7.4, G7.1</t>
        </is>
      </c>
      <c r="G112" t="inlineStr">
        <is>
          <t>Tổng 1, Tổng 2, Tổng 3, Tổng 6, Tổng 7, Tổng 8</t>
        </is>
      </c>
      <c r="H112" t="inlineStr">
        <is>
          <t>0123456789</t>
        </is>
      </c>
      <c r="I112" t="inlineStr">
        <is>
          <t>Tổng 7-Bóng 2</t>
        </is>
      </c>
      <c r="J112" t="n">
        <v>60</v>
      </c>
      <c r="K112" t="inlineStr">
        <is>
          <t>TRƯỢT ❌</t>
        </is>
      </c>
      <c r="L112" t="inlineStr">
        <is>
          <t>06, 17, 20, 24, 25, 35, 38, 39, 42, 43, 44, 48, 66, 67, 75, 76, 80, 88, 94, 97</t>
        </is>
      </c>
      <c r="M112" t="inlineStr">
        <is>
          <t>TRƯỢT ❌</t>
        </is>
      </c>
      <c r="N112" t="inlineStr">
        <is>
          <t>TRƯỢT KHUNG ❌</t>
        </is>
      </c>
      <c r="O112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13">
      <c r="A113" t="n">
        <v>115</v>
      </c>
      <c r="B113" t="inlineStr">
        <is>
          <t>Thứ năm ngày 30-04-2026</t>
        </is>
      </c>
      <c r="C113" t="inlineStr">
        <is>
          <t>Thứ Tư</t>
        </is>
      </c>
      <c r="D113" t="inlineStr">
        <is>
          <t>82075</t>
        </is>
      </c>
      <c r="E113" t="inlineStr">
        <is>
          <t>75</t>
        </is>
      </c>
      <c r="F113" t="inlineStr">
        <is>
          <t>G7.4, G7.1</t>
        </is>
      </c>
      <c r="G113" t="inlineStr">
        <is>
          <t>Tổng 0, Tổng 4, Tổng 5, Tổng 9</t>
        </is>
      </c>
      <c r="H113" t="inlineStr">
        <is>
          <t>12346789</t>
        </is>
      </c>
      <c r="I113" t="inlineStr">
        <is>
          <t>Tổng 5-Bóng 0</t>
        </is>
      </c>
      <c r="J113" t="n">
        <v>36</v>
      </c>
      <c r="K113" t="inlineStr">
        <is>
          <t>TRƯỢT ❌</t>
        </is>
      </c>
      <c r="L113" t="inlineStr">
        <is>
          <t>04, 14, 19, 22, 28, 32, 36, 37, 54, 59, 63, 64, 68, 69, 77, 78, 82, 87, 91, 95</t>
        </is>
      </c>
      <c r="M113" t="inlineStr">
        <is>
          <t>TRƯỢT ❌</t>
        </is>
      </c>
      <c r="N113" t="inlineStr">
        <is>
          <t>TRÚNG N2 🎯</t>
        </is>
      </c>
      <c r="O113" t="inlineStr">
        <is>
          <t>04, 09, 13, 14, 18, 19, 22, 23, 27, 28, 31, 32, 36, 37, 40, 41, 45, 46, 54, 59, 63, 64, 68, 69, 72, 73, 77, 78, 81, 82, 86, 87, 90, 91, 95, 96</t>
        </is>
      </c>
    </row>
    <row r="114">
      <c r="A114" t="n">
        <v>114</v>
      </c>
      <c r="B114" t="inlineStr">
        <is>
          <t>Thứ tư ngày 29-04-2026</t>
        </is>
      </c>
      <c r="C114" t="inlineStr">
        <is>
          <t>Thứ Ba</t>
        </is>
      </c>
      <c r="D114" t="inlineStr">
        <is>
          <t>86569</t>
        </is>
      </c>
      <c r="E114" t="inlineStr">
        <is>
          <t>69</t>
        </is>
      </c>
      <c r="F114" t="inlineStr">
        <is>
          <t>G7.3, G7.4</t>
        </is>
      </c>
      <c r="G114" t="inlineStr">
        <is>
          <t>Tổng 0, Tổng 3, Tổng 5, Tổng 8</t>
        </is>
      </c>
      <c r="H114" t="inlineStr">
        <is>
          <t>0123456789</t>
        </is>
      </c>
      <c r="I114" t="inlineStr">
        <is>
          <t>Tổng 0-Bóng 5</t>
        </is>
      </c>
      <c r="J114" t="n">
        <v>40</v>
      </c>
      <c r="K114" t="inlineStr">
        <is>
          <t>TRÚNG N1 🎯</t>
        </is>
      </c>
      <c r="L114" t="inlineStr">
        <is>
          <t>00, 14, 17, 19, 28, 32, 35, 37, 44, 50, 55, 64, 67, 69, 76, 78, 80, 82, 91, 94</t>
        </is>
      </c>
      <c r="M114" t="inlineStr">
        <is>
          <t>TRÚNG HỎA LỰC 🎯</t>
        </is>
      </c>
      <c r="N114" t="inlineStr">
        <is>
          <t>TRÚNG N1 🎯</t>
        </is>
      </c>
      <c r="O114" t="inlineStr">
        <is>
          <t>00, 03, 05, 08, 12, 14, 17, 19, 21, 23, 26, 28, 30, 32, 35, 37, 41, 44, 46, 49, 50, 53, 55, 58, 62, 64, 67, 69, 71, 73, 76, 78, 80, 82, 85, 87, 91, 94, 96, 99</t>
        </is>
      </c>
    </row>
    <row r="115">
      <c r="A115" t="n">
        <v>113</v>
      </c>
      <c r="B115" t="inlineStr">
        <is>
          <t>Thứ ba ngày 28-04-2026</t>
        </is>
      </c>
      <c r="C115" t="inlineStr">
        <is>
          <t>Thứ Hai</t>
        </is>
      </c>
      <c r="D115" t="inlineStr">
        <is>
          <t>45254</t>
        </is>
      </c>
      <c r="E115" t="inlineStr">
        <is>
          <t>54</t>
        </is>
      </c>
      <c r="F115" t="inlineStr">
        <is>
          <t>G7.4, G7.2</t>
        </is>
      </c>
      <c r="G115" t="inlineStr">
        <is>
          <t>Tổng 0, Tổng 3, Tổng 4, Tổng 5, Tổng 8, Tổng 9</t>
        </is>
      </c>
      <c r="H115" t="inlineStr">
        <is>
          <t>12346789</t>
        </is>
      </c>
      <c r="I115" t="inlineStr">
        <is>
          <t>Tổng 4-Bóng 9</t>
        </is>
      </c>
      <c r="J115" t="n">
        <v>56</v>
      </c>
      <c r="K115" t="inlineStr">
        <is>
          <t>TRÚNG N1 🎯</t>
        </is>
      </c>
      <c r="L115" t="inlineStr">
        <is>
          <t>04, 14, 17, 19, 28, 35, 36, 37, 44, 59, 63, 64, 67, 68, 69, 76, 80, 82, 91, 94</t>
        </is>
      </c>
      <c r="M115" t="inlineStr">
        <is>
          <t>TRƯỢT ❌</t>
        </is>
      </c>
      <c r="N115" t="inlineStr">
        <is>
          <t>TRÚNG N1 🎯</t>
        </is>
      </c>
      <c r="O115" t="inlineStr">
        <is>
          <t>03, 04, 08, 09, 12, 13, 14, 17, 18, 19, 21, 22, 23, 26, 27, 28, 30, 31, 32, 35, 36, 37, 40, 41, 44, 45, 46, 49, 53, 54, 58, 59, 62, 63, 64, 67, 68, 69, 71, 72, 73, 76, 77, 78, 80, 81, 82, 85, 86, 87, 90, 91, 94, 95, 96, 99</t>
        </is>
      </c>
    </row>
    <row r="116">
      <c r="A116" t="n">
        <v>112</v>
      </c>
      <c r="B116" t="inlineStr">
        <is>
          <t>Thứ hai ngày 27-04-2026</t>
        </is>
      </c>
      <c r="C116" t="inlineStr">
        <is>
          <t>Chủ Nhật</t>
        </is>
      </c>
      <c r="D116" t="inlineStr">
        <is>
          <t>10059</t>
        </is>
      </c>
      <c r="E116" t="inlineStr">
        <is>
          <t>59</t>
        </is>
      </c>
      <c r="F116" t="inlineStr">
        <is>
          <t>G7.3, G7.1</t>
        </is>
      </c>
      <c r="G116" t="inlineStr">
        <is>
          <t>Tổng 0, Tổng 3, Tổng 5, Tổng 8</t>
        </is>
      </c>
      <c r="H116" t="inlineStr">
        <is>
          <t>01235678</t>
        </is>
      </c>
      <c r="I116" t="inlineStr">
        <is>
          <t>Tổng 0-Bóng 5</t>
        </is>
      </c>
      <c r="J116" t="n">
        <v>36</v>
      </c>
      <c r="K116" t="inlineStr">
        <is>
          <t>TRƯỢT ❌</t>
        </is>
      </c>
      <c r="L116" t="inlineStr">
        <is>
          <t>00, 08, 14, 17, 19, 28, 32, 35, 37, 50, 55, 64, 67, 69, 76, 78, 80, 82, 87, 91</t>
        </is>
      </c>
      <c r="M116" t="inlineStr">
        <is>
          <t>TRƯỢT ❌</t>
        </is>
      </c>
      <c r="N116" t="inlineStr">
        <is>
          <t>TRÚNG N3 🎯</t>
        </is>
      </c>
      <c r="O116" t="inlineStr">
        <is>
          <t>00, 03, 05, 08, 12, 14, 17, 19, 21, 23, 26, 28, 30, 32, 35, 37, 41, 46, 50, 53, 55, 58, 62, 64, 67, 69, 71, 73, 76, 78, 80, 82, 85, 87, 91, 96</t>
        </is>
      </c>
    </row>
    <row r="117">
      <c r="A117" t="n">
        <v>111</v>
      </c>
      <c r="B117" t="inlineStr">
        <is>
          <t>Chủ nhật ngày 26-04-2026</t>
        </is>
      </c>
      <c r="C117" t="inlineStr">
        <is>
          <t>Thứ Bảy</t>
        </is>
      </c>
      <c r="D117" t="inlineStr">
        <is>
          <t>38228</t>
        </is>
      </c>
      <c r="E117" t="inlineStr">
        <is>
          <t>28</t>
        </is>
      </c>
      <c r="F117" t="inlineStr">
        <is>
          <t>G7.1, G7.3</t>
        </is>
      </c>
      <c r="G117" t="inlineStr">
        <is>
          <t>Tổng 1, Tổng 2, Tổng 4, Tổng 6, Tổng 7, Tổng 9</t>
        </is>
      </c>
      <c r="H117" t="inlineStr">
        <is>
          <t>02345789</t>
        </is>
      </c>
      <c r="I117" t="inlineStr">
        <is>
          <t>Tổng 1-Bóng 6</t>
        </is>
      </c>
      <c r="J117" t="n">
        <v>56</v>
      </c>
      <c r="K117" t="inlineStr">
        <is>
          <t>TRƯỢT ❌</t>
        </is>
      </c>
      <c r="L117" t="inlineStr">
        <is>
          <t>04, 06, 20, 22, 24, 25, 36, 38, 39, 42, 43, 48, 51, 59, 63, 68, 77, 83, 88, 97</t>
        </is>
      </c>
      <c r="M117" t="inlineStr">
        <is>
          <t>TRƯỢT ❌</t>
        </is>
      </c>
      <c r="N117" t="inlineStr">
        <is>
          <t>TRÚNG N2 🎯</t>
        </is>
      </c>
      <c r="O117" t="inlineStr">
        <is>
          <t>01, 02, 04, 06, 07, 09, 10, 13, 15, 18, 20, 22, 24, 25, 27, 29, 31, 33, 34, 36, 38, 39, 40, 42, 43, 45, 47, 48, 51, 52, 54, 56, 57, 59, 60, 63, 65, 68, 70, 72, 74, 75, 77, 79, 81, 83, 84, 86, 88, 89, 90, 92, 93, 95, 97, 98</t>
        </is>
      </c>
    </row>
    <row r="118">
      <c r="A118" t="n">
        <v>110</v>
      </c>
      <c r="B118" t="inlineStr">
        <is>
          <t>Thứ bảy ngày 25-04-2026</t>
        </is>
      </c>
      <c r="C118" t="inlineStr">
        <is>
          <t>Thứ Sáu</t>
        </is>
      </c>
      <c r="D118" t="inlineStr">
        <is>
          <t>08717</t>
        </is>
      </c>
      <c r="E118" t="inlineStr">
        <is>
          <t>17</t>
        </is>
      </c>
      <c r="F118" t="inlineStr">
        <is>
          <t>G7.2, G7.4</t>
        </is>
      </c>
      <c r="G118" t="inlineStr">
        <is>
          <t>Tổng 0, Tổng 2, Tổng 4, Tổng 5, Tổng 7, Tổng 9</t>
        </is>
      </c>
      <c r="H118" t="inlineStr">
        <is>
          <t>01345689</t>
        </is>
      </c>
      <c r="I118" t="inlineStr">
        <is>
          <t>Tổng 4-Bóng 9</t>
        </is>
      </c>
      <c r="J118" t="n">
        <v>56</v>
      </c>
      <c r="K118" t="inlineStr">
        <is>
          <t>TRƯỢT ❌</t>
        </is>
      </c>
      <c r="L118" t="inlineStr">
        <is>
          <t>00, 04, 14, 20, 25, 32, 37, 39, 43, 48, 50, 55, 59, 63, 64, 66, 68, 82, 91, 93</t>
        </is>
      </c>
      <c r="M118" t="inlineStr">
        <is>
          <t>TRƯỢT ❌</t>
        </is>
      </c>
      <c r="N118" t="inlineStr">
        <is>
          <t>TRÚNG N2 🎯</t>
        </is>
      </c>
      <c r="O118" t="inlineStr">
        <is>
          <t>00, 02, 04, 05, 07, 09, 11, 13, 14, 16, 18, 19, 20, 23, 25, 28, 31, 32, 34, 36, 37, 39, 40, 41, 43, 45, 46, 48, 50, 52, 54, 55, 57, 59, 61, 63, 64, 66, 68, 69, 70, 73, 75, 78, 81, 82, 84, 86, 87, 89, 90, 91, 93, 95, 96, 98</t>
        </is>
      </c>
    </row>
    <row r="119">
      <c r="A119" t="n">
        <v>109</v>
      </c>
      <c r="B119" t="inlineStr">
        <is>
          <t>Thứ sáu ngày 24-04-2026</t>
        </is>
      </c>
      <c r="C119" t="inlineStr">
        <is>
          <t>Thứ Năm</t>
        </is>
      </c>
      <c r="D119" t="inlineStr">
        <is>
          <t>09876</t>
        </is>
      </c>
      <c r="E119" t="inlineStr">
        <is>
          <t>76</t>
        </is>
      </c>
      <c r="F119" t="inlineStr">
        <is>
          <t>G7.4, G7.1</t>
        </is>
      </c>
      <c r="G119" t="inlineStr">
        <is>
          <t>Tổng 2, Tổng 4, Tổng 7, Tổng 9</t>
        </is>
      </c>
      <c r="H119" t="inlineStr">
        <is>
          <t>0123456789</t>
        </is>
      </c>
      <c r="I119" t="inlineStr">
        <is>
          <t>Tổng 9-Bóng 4</t>
        </is>
      </c>
      <c r="J119" t="n">
        <v>40</v>
      </c>
      <c r="K119" t="inlineStr">
        <is>
          <t>TRƯỢT ❌</t>
        </is>
      </c>
      <c r="L119" t="inlineStr">
        <is>
          <t>04, 20, 22, 25, 36, 39, 43, 45, 48, 52, 57, 59, 63, 66, 68, 70, 77, 90, 93, 95</t>
        </is>
      </c>
      <c r="M119" t="inlineStr">
        <is>
          <t>TRƯỢT ❌</t>
        </is>
      </c>
      <c r="N119" t="inlineStr">
        <is>
          <t>TRƯỢT KHUNG ❌</t>
        </is>
      </c>
      <c r="O119" t="inlineStr">
        <is>
          <t>02, 04, 07, 09, 11, 13, 16, 18, 20, 22, 25, 27, 31, 34, 36, 39, 40, 43, 45, 48, 52, 54, 57, 59, 61, 63, 66, 68, 70, 72, 75, 77, 81, 84, 86, 89, 90, 93, 95, 98</t>
        </is>
      </c>
    </row>
    <row r="120">
      <c r="A120" t="n">
        <v>108</v>
      </c>
      <c r="B120" t="inlineStr">
        <is>
          <t>Thứ năm ngày 23-04-2026</t>
        </is>
      </c>
      <c r="C120" t="inlineStr">
        <is>
          <t>Thứ Tư</t>
        </is>
      </c>
      <c r="D120" t="inlineStr">
        <is>
          <t>66239</t>
        </is>
      </c>
      <c r="E120" t="inlineStr">
        <is>
          <t>39</t>
        </is>
      </c>
      <c r="F120" t="inlineStr">
        <is>
          <t>G7.4, G7.1</t>
        </is>
      </c>
      <c r="G120" t="inlineStr">
        <is>
          <t>Tổng 1, Tổng 2, Tổng 4, Tổng 6, Tổng 7, Tổng 9</t>
        </is>
      </c>
      <c r="H120" t="inlineStr">
        <is>
          <t>01245679</t>
        </is>
      </c>
      <c r="I120" t="inlineStr">
        <is>
          <t>Tổng 4-Bóng 9</t>
        </is>
      </c>
      <c r="J120" t="n">
        <v>56</v>
      </c>
      <c r="K120" t="inlineStr">
        <is>
          <t>TRÚNG N1 🎯</t>
        </is>
      </c>
      <c r="L120" t="inlineStr">
        <is>
          <t>04, 06, 20, 22, 24, 25, 29, 36, 42, 43, 48, 51, 57, 59, 63, 66, 68, 77, 93, 97</t>
        </is>
      </c>
      <c r="M120" t="inlineStr">
        <is>
          <t>TRƯỢT ❌</t>
        </is>
      </c>
      <c r="N120" t="inlineStr">
        <is>
          <t>TRÚNG N1 🎯</t>
        </is>
      </c>
      <c r="O120" t="inlineStr">
        <is>
          <t>01, 02, 04, 06, 07, 09, 10, 11, 13, 15, 16, 18, 20, 22, 24, 25, 27, 29, 31, 34, 36, 39, 40, 42, 43, 45, 47, 48, 51, 52, 54, 56, 57, 59, 60, 61, 63, 65, 66, 68, 70, 72, 74, 75, 77, 79, 81, 84, 86, 89, 90, 92, 93, 95, 97, 98</t>
        </is>
      </c>
    </row>
    <row r="121">
      <c r="A121" t="n">
        <v>107</v>
      </c>
      <c r="B121" t="inlineStr">
        <is>
          <t>Thứ tư ngày 22-04-2026</t>
        </is>
      </c>
      <c r="C121" t="inlineStr">
        <is>
          <t>Thứ Ba</t>
        </is>
      </c>
      <c r="D121" t="inlineStr">
        <is>
          <t>36948</t>
        </is>
      </c>
      <c r="E121" t="inlineStr">
        <is>
          <t>48</t>
        </is>
      </c>
      <c r="F121" t="inlineStr">
        <is>
          <t>G7.3, G7.4</t>
        </is>
      </c>
      <c r="G121" t="inlineStr">
        <is>
          <t>Tổng 0, Tổng 4, Tổng 5, Tổng 9</t>
        </is>
      </c>
      <c r="H121" t="inlineStr">
        <is>
          <t>0123456789</t>
        </is>
      </c>
      <c r="I121" t="inlineStr">
        <is>
          <t>Tổng 5-Bóng 0</t>
        </is>
      </c>
      <c r="J121" t="n">
        <v>40</v>
      </c>
      <c r="K121" t="inlineStr">
        <is>
          <t>TRƯỢT ❌</t>
        </is>
      </c>
      <c r="L121" t="inlineStr">
        <is>
          <t>00, 04, 14, 19, 22, 32, 36, 37, 50, 55, 59, 63, 64, 68, 69, 77, 78, 82, 91, 95</t>
        </is>
      </c>
      <c r="M121" t="inlineStr">
        <is>
          <t>TRƯỢT ❌</t>
        </is>
      </c>
      <c r="N121" t="inlineStr">
        <is>
          <t>TRƯỢT KHUNG ❌</t>
        </is>
      </c>
      <c r="O121" t="inlineStr">
        <is>
          <t>00, 04, 05, 09, 13, 14, 18, 19, 22, 23, 27, 28, 31, 32, 36, 37, 40, 41, 45, 46, 50, 54, 55, 59, 63, 64, 68, 69, 72, 73, 77, 78, 81, 82, 86, 87, 90, 91, 95, 96</t>
        </is>
      </c>
    </row>
    <row r="122">
      <c r="A122" t="n">
        <v>106</v>
      </c>
      <c r="B122" t="inlineStr">
        <is>
          <t>Thứ ba ngày 21-04-2026</t>
        </is>
      </c>
      <c r="C122" t="inlineStr">
        <is>
          <t>Thứ Hai</t>
        </is>
      </c>
      <c r="D122" t="inlineStr">
        <is>
          <t>48076</t>
        </is>
      </c>
      <c r="E122" t="inlineStr">
        <is>
          <t>76</t>
        </is>
      </c>
      <c r="F122" t="inlineStr">
        <is>
          <t>G7.4, G7.2</t>
        </is>
      </c>
      <c r="G122" t="inlineStr">
        <is>
          <t>Tổng 1, Tổng 2, Tổng 6, Tổng 7</t>
        </is>
      </c>
      <c r="H122" t="inlineStr">
        <is>
          <t>0123456789</t>
        </is>
      </c>
      <c r="I122" t="inlineStr">
        <is>
          <t>Tổng 2-Bóng 7</t>
        </is>
      </c>
      <c r="J122" t="n">
        <v>40</v>
      </c>
      <c r="K122" t="inlineStr">
        <is>
          <t>TRƯỢT ❌</t>
        </is>
      </c>
      <c r="L122" t="inlineStr">
        <is>
          <t>01, 06, 20, 24, 25, 29, 38, 42, 43, 48, 51, 52, 57, 66, 70, 83, 88, 92, 93, 97</t>
        </is>
      </c>
      <c r="M122" t="inlineStr">
        <is>
          <t>TRƯỢT ❌</t>
        </is>
      </c>
      <c r="N122" t="inlineStr">
        <is>
          <t>TRÚNG N2 🎯</t>
        </is>
      </c>
      <c r="O122" t="inlineStr">
        <is>
          <t>01, 02, 06, 07, 10, 11, 15, 16, 20, 24, 25, 29, 33, 34, 38, 39, 42, 43, 47, 48, 51, 52, 56, 57, 60, 61, 65, 66, 70, 74, 75, 79, 83, 84, 88, 89, 92, 93, 97, 98</t>
        </is>
      </c>
    </row>
    <row r="123">
      <c r="A123" t="n">
        <v>105</v>
      </c>
      <c r="B123" t="inlineStr">
        <is>
          <t>Thứ hai ngày 20-04-2026</t>
        </is>
      </c>
      <c r="C123" t="inlineStr">
        <is>
          <t>Chủ Nhật</t>
        </is>
      </c>
      <c r="D123" t="inlineStr">
        <is>
          <t>74197</t>
        </is>
      </c>
      <c r="E123" t="inlineStr">
        <is>
          <t>97</t>
        </is>
      </c>
      <c r="F123" t="inlineStr">
        <is>
          <t>G7.3, G7.4</t>
        </is>
      </c>
      <c r="G123" t="inlineStr">
        <is>
          <t>Tổng 2, Tổng 3, Tổng 4, Tổng 7, Tổng 8, Tổng 9</t>
        </is>
      </c>
      <c r="H123" t="inlineStr">
        <is>
          <t>01235678</t>
        </is>
      </c>
      <c r="I123" t="inlineStr">
        <is>
          <t>Tổng 4-Bóng 9</t>
        </is>
      </c>
      <c r="J123" t="n">
        <v>56</v>
      </c>
      <c r="K123" t="inlineStr">
        <is>
          <t>TRƯỢT ❌</t>
        </is>
      </c>
      <c r="L123" t="inlineStr">
        <is>
          <t>04, 08, 12, 20, 22, 25, 35, 36, 43, 48, 53, 59, 63, 66, 67, 68, 77, 80, 81, 93</t>
        </is>
      </c>
      <c r="M123" t="inlineStr">
        <is>
          <t>TRƯỢT ❌</t>
        </is>
      </c>
      <c r="N123" t="inlineStr">
        <is>
          <t>TRÚNG N2 🎯</t>
        </is>
      </c>
      <c r="O123" t="inlineStr">
        <is>
          <t>02, 03, 04, 07, 08, 09, 11, 12, 13, 16, 17, 18, 20, 21, 22, 25, 26, 27, 30, 31, 34, 35, 36, 39, 40, 43, 45, 48, 52, 53, 54, 57, 58, 59, 61, 62, 63, 66, 67, 68, 70, 71, 72, 75, 76, 77, 80, 81, 84, 85, 86, 89, 90, 93, 95, 98</t>
        </is>
      </c>
    </row>
    <row r="124">
      <c r="A124" t="n">
        <v>104</v>
      </c>
      <c r="B124" t="inlineStr">
        <is>
          <t>Chủ nhật ngày 19-04-2026</t>
        </is>
      </c>
      <c r="C124" t="inlineStr">
        <is>
          <t>Thứ Bảy</t>
        </is>
      </c>
      <c r="D124" t="inlineStr">
        <is>
          <t>93725</t>
        </is>
      </c>
      <c r="E124" t="inlineStr">
        <is>
          <t>25</t>
        </is>
      </c>
      <c r="F124" t="inlineStr">
        <is>
          <t>G7.1, G7.3</t>
        </is>
      </c>
      <c r="G124" t="inlineStr">
        <is>
          <t>Tổng 2, Tổng 4, Tổng 7, Tổng 9</t>
        </is>
      </c>
      <c r="H124" t="inlineStr">
        <is>
          <t>02345789</t>
        </is>
      </c>
      <c r="I124" t="inlineStr">
        <is>
          <t>Tổng 2-Bóng 7</t>
        </is>
      </c>
      <c r="J124" t="n">
        <v>36</v>
      </c>
      <c r="K124" t="inlineStr">
        <is>
          <t>TRÚNG N1 🎯</t>
        </is>
      </c>
      <c r="L124" t="inlineStr">
        <is>
          <t>04, 13, 20, 22, 25, 36, 43, 48, 52, 57, 59, 63, 68, 70, 77, 81, 86, 90, 93, 95</t>
        </is>
      </c>
      <c r="M124" t="inlineStr">
        <is>
          <t>TRÚNG HỎA LỰC 🎯</t>
        </is>
      </c>
      <c r="N124" t="inlineStr">
        <is>
          <t>TRÚNG N1 🎯</t>
        </is>
      </c>
      <c r="O124" t="inlineStr">
        <is>
          <t>02, 04, 07, 09, 13, 18, 20, 22, 25, 27, 31, 34, 36, 39, 40, 43, 45, 48, 52, 54, 57, 59, 63, 68, 70, 72, 75, 77, 81, 84, 86, 89, 90, 93, 95, 98</t>
        </is>
      </c>
    </row>
    <row r="125">
      <c r="A125" t="n">
        <v>103</v>
      </c>
      <c r="B125" t="inlineStr">
        <is>
          <t>Thứ bảy ngày 18-04-2026</t>
        </is>
      </c>
      <c r="C125" t="inlineStr">
        <is>
          <t>Thứ Sáu</t>
        </is>
      </c>
      <c r="D125" t="inlineStr">
        <is>
          <t>17243</t>
        </is>
      </c>
      <c r="E125" t="inlineStr">
        <is>
          <t>43</t>
        </is>
      </c>
      <c r="F125" t="inlineStr">
        <is>
          <t>G7.2, G7.4</t>
        </is>
      </c>
      <c r="G125" t="inlineStr">
        <is>
          <t>Tổng 0, Tổng 4, Tổng 5, Tổng 9</t>
        </is>
      </c>
      <c r="H125" t="inlineStr">
        <is>
          <t>01235678</t>
        </is>
      </c>
      <c r="I125" t="inlineStr">
        <is>
          <t>Tổng 0-Bóng 5</t>
        </is>
      </c>
      <c r="J125" t="n">
        <v>40</v>
      </c>
      <c r="K125" t="inlineStr">
        <is>
          <t>TRƯỢT ❌</t>
        </is>
      </c>
      <c r="L125" t="inlineStr">
        <is>
          <t>00, 04, 14, 22, 32, 36, 37, 46, 50, 55, 59, 63, 64, 68, 69, 77, 78, 82, 91, 95</t>
        </is>
      </c>
      <c r="M125" t="inlineStr">
        <is>
          <t>TRƯỢT ❌</t>
        </is>
      </c>
      <c r="N125" t="inlineStr">
        <is>
          <t>TRƯỢT KHUNG ❌</t>
        </is>
      </c>
      <c r="O125" t="inlineStr">
        <is>
          <t>00, 04, 05, 09, 13, 14, 18, 19, 22, 23, 27, 28, 31, 32, 36, 37, 40, 41, 45, 46, 50, 54, 55, 59, 63, 64, 68, 69, 72, 73, 77, 78, 81, 82, 86, 87, 90, 91, 95, 96</t>
        </is>
      </c>
    </row>
    <row r="126">
      <c r="A126" t="n">
        <v>102</v>
      </c>
      <c r="B126" t="inlineStr">
        <is>
          <t>Thứ sáu ngày 17-04-2026</t>
        </is>
      </c>
      <c r="C126" t="inlineStr">
        <is>
          <t>Thứ Năm</t>
        </is>
      </c>
      <c r="D126" t="inlineStr">
        <is>
          <t>38455</t>
        </is>
      </c>
      <c r="E126" t="inlineStr">
        <is>
          <t>55</t>
        </is>
      </c>
      <c r="F126" t="inlineStr">
        <is>
          <t>G7.4, G7.1</t>
        </is>
      </c>
      <c r="G126" t="inlineStr">
        <is>
          <t>Tổng 0, Tổng 3, Tổng 5, Tổng 8</t>
        </is>
      </c>
      <c r="H126" t="inlineStr">
        <is>
          <t>12346789</t>
        </is>
      </c>
      <c r="I126" t="inlineStr">
        <is>
          <t>Tổng 3-Bóng 8</t>
        </is>
      </c>
      <c r="J126" t="n">
        <v>36</v>
      </c>
      <c r="K126" t="inlineStr">
        <is>
          <t>TRƯỢT ❌</t>
        </is>
      </c>
      <c r="L126" t="inlineStr">
        <is>
          <t>08, 14, 19, 30, 32, 35, 37, 44, 46, 49, 53, 64, 67, 69, 78, 80, 82, 87, 91, 94</t>
        </is>
      </c>
      <c r="M126" t="inlineStr">
        <is>
          <t>TRƯỢT ❌</t>
        </is>
      </c>
      <c r="N126" t="inlineStr">
        <is>
          <t>TRƯỢT KHUNG ❌</t>
        </is>
      </c>
      <c r="O126" t="inlineStr">
        <is>
          <t>03, 08, 12, 14, 17, 19, 21, 23, 26, 28, 30, 32, 35, 37, 41, 44, 46, 49, 53, 58, 62, 64, 67, 69, 71, 73, 76, 78, 80, 82, 85, 87, 91, 94, 96, 99</t>
        </is>
      </c>
    </row>
    <row r="127">
      <c r="A127" t="n">
        <v>101</v>
      </c>
      <c r="B127" t="inlineStr">
        <is>
          <t>Thứ năm ngày 16-04-2026</t>
        </is>
      </c>
      <c r="C127" t="inlineStr">
        <is>
          <t>Thứ Tư</t>
        </is>
      </c>
      <c r="D127" t="inlineStr">
        <is>
          <t>35035</t>
        </is>
      </c>
      <c r="E127" t="inlineStr">
        <is>
          <t>35</t>
        </is>
      </c>
      <c r="F127" t="inlineStr">
        <is>
          <t>G7.1, G7.4</t>
        </is>
      </c>
      <c r="G127" t="inlineStr">
        <is>
          <t>Tổng 1, Tổng 2, Tổng 4, Tổng 6, Tổng 7, Tổng 9</t>
        </is>
      </c>
      <c r="H127" t="inlineStr">
        <is>
          <t>01345689</t>
        </is>
      </c>
      <c r="I127" t="inlineStr">
        <is>
          <t>Tổng 9-Bóng 4</t>
        </is>
      </c>
      <c r="J127" t="n">
        <v>56</v>
      </c>
      <c r="K127" t="inlineStr">
        <is>
          <t>TRƯỢT ❌</t>
        </is>
      </c>
      <c r="L127" t="inlineStr">
        <is>
          <t>01, 04, 06, 20, 24, 25, 29, 36, 38, 42, 48, 51, 59, 63, 66, 68, 88, 92, 93, 95</t>
        </is>
      </c>
      <c r="M127" t="inlineStr">
        <is>
          <t>TRƯỢT ❌</t>
        </is>
      </c>
      <c r="N127" t="inlineStr">
        <is>
          <t>TRÚNG N3 🎯</t>
        </is>
      </c>
      <c r="O127" t="inlineStr">
        <is>
          <t>01, 02, 04, 06, 07, 09, 10, 11, 13, 15, 16, 18, 20, 24, 25, 29, 31, 33, 34, 36, 38, 39, 40, 42, 43, 45, 47, 48, 51, 52, 54, 56, 57, 59, 60, 61, 63, 65, 66, 68, 70, 74, 75, 79, 81, 83, 84, 86, 88, 89, 90, 92, 93, 95, 97, 98</t>
        </is>
      </c>
    </row>
    <row r="128">
      <c r="A128" t="n">
        <v>100</v>
      </c>
      <c r="B128" t="inlineStr">
        <is>
          <t>Thứ tư ngày 15-04-2026</t>
        </is>
      </c>
      <c r="C128" t="inlineStr">
        <is>
          <t>Thứ Ba</t>
        </is>
      </c>
      <c r="D128" t="inlineStr">
        <is>
          <t>03714</t>
        </is>
      </c>
      <c r="E128" t="inlineStr">
        <is>
          <t>14</t>
        </is>
      </c>
      <c r="F128" t="inlineStr">
        <is>
          <t>G7.3, G7.4</t>
        </is>
      </c>
      <c r="G128" t="inlineStr">
        <is>
          <t>Tổng 4, Tổng 9</t>
        </is>
      </c>
      <c r="H128" t="inlineStr">
        <is>
          <t>01235678</t>
        </is>
      </c>
      <c r="I128" t="inlineStr">
        <is>
          <t>Tổng 4-Bóng 9</t>
        </is>
      </c>
      <c r="J128" t="n">
        <v>20</v>
      </c>
      <c r="K128" t="inlineStr">
        <is>
          <t>TRƯỢT ❌</t>
        </is>
      </c>
      <c r="L128" t="inlineStr">
        <is>
          <t>04, 09, 13, 18, 22, 27, 31, 36, 40, 45, 54, 59, 63, 68, 72, 77, 81, 86, 90, 95</t>
        </is>
      </c>
      <c r="M128" t="inlineStr">
        <is>
          <t>TRƯỢT ❌</t>
        </is>
      </c>
      <c r="N128" t="inlineStr">
        <is>
          <t>TRƯỢT KHUNG ❌</t>
        </is>
      </c>
      <c r="O128" t="inlineStr">
        <is>
          <t>04, 09, 13, 18, 22, 27, 31, 36, 40, 45, 54, 59, 63, 68, 72, 77, 81, 86, 90, 95</t>
        </is>
      </c>
    </row>
    <row r="129">
      <c r="A129" t="n">
        <v>99</v>
      </c>
      <c r="B129" t="inlineStr">
        <is>
          <t>Thứ ba ngày 14-04-2026</t>
        </is>
      </c>
      <c r="C129" t="inlineStr">
        <is>
          <t>Thứ Hai</t>
        </is>
      </c>
      <c r="D129" t="inlineStr">
        <is>
          <t>92763</t>
        </is>
      </c>
      <c r="E129" t="inlineStr">
        <is>
          <t>63</t>
        </is>
      </c>
      <c r="F129" t="inlineStr">
        <is>
          <t>G7.4, G7.2</t>
        </is>
      </c>
      <c r="G129" t="inlineStr">
        <is>
          <t>Tổng 0, Tổng 2, Tổng 4, Tổng 5, Tổng 7, Tổng 9</t>
        </is>
      </c>
      <c r="H129" t="inlineStr">
        <is>
          <t>01245679</t>
        </is>
      </c>
      <c r="I129" t="inlineStr">
        <is>
          <t>Tổng 4-Bóng 9</t>
        </is>
      </c>
      <c r="J129" t="n">
        <v>60</v>
      </c>
      <c r="K129" t="inlineStr">
        <is>
          <t>TRÚNG N1 🎯</t>
        </is>
      </c>
      <c r="L129" t="inlineStr">
        <is>
          <t>00, 04, 14, 20, 22, 25, 32, 37, 48, 50, 55, 64, 66, 69, 70, 82, 87, 91, 93, 95</t>
        </is>
      </c>
      <c r="M129" t="inlineStr">
        <is>
          <t>TRƯỢT ❌</t>
        </is>
      </c>
      <c r="N129" t="inlineStr">
        <is>
          <t>TRÚNG N1 🎯</t>
        </is>
      </c>
      <c r="O129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30">
      <c r="A130" t="n">
        <v>98</v>
      </c>
      <c r="B130" t="inlineStr">
        <is>
          <t>Thứ hai ngày 13-04-2026</t>
        </is>
      </c>
      <c r="C130" t="inlineStr">
        <is>
          <t>Chủ Nhật</t>
        </is>
      </c>
      <c r="D130" t="inlineStr">
        <is>
          <t>22738</t>
        </is>
      </c>
      <c r="E130" t="inlineStr">
        <is>
          <t>38</t>
        </is>
      </c>
      <c r="F130" t="inlineStr">
        <is>
          <t>G7.3, G7.1</t>
        </is>
      </c>
      <c r="G130" t="inlineStr">
        <is>
          <t>Tổng 4, Tổng 9</t>
        </is>
      </c>
      <c r="H130" t="inlineStr">
        <is>
          <t>0123456789</t>
        </is>
      </c>
      <c r="I130" t="inlineStr">
        <is>
          <t>Tổng 4-Bóng 9</t>
        </is>
      </c>
      <c r="J130" t="n">
        <v>20</v>
      </c>
      <c r="K130" t="inlineStr">
        <is>
          <t>TRƯỢT ❌</t>
        </is>
      </c>
      <c r="L130" t="inlineStr">
        <is>
          <t>04, 09, 13, 18, 22, 27, 31, 36, 40, 45, 54, 59, 63, 68, 72, 77, 81, 86, 90, 95</t>
        </is>
      </c>
      <c r="M130" t="inlineStr">
        <is>
          <t>TRƯỢT ❌</t>
        </is>
      </c>
      <c r="N130" t="inlineStr">
        <is>
          <t>TRÚNG N2 🎯</t>
        </is>
      </c>
      <c r="O130" t="inlineStr">
        <is>
          <t>04, 09, 13, 18, 22, 27, 31, 36, 40, 45, 54, 59, 63, 68, 72, 77, 81, 86, 90, 95</t>
        </is>
      </c>
    </row>
    <row r="131">
      <c r="A131" t="n">
        <v>97</v>
      </c>
      <c r="B131" t="inlineStr">
        <is>
          <t>Chủ nhật ngày 12-04-2026</t>
        </is>
      </c>
      <c r="C131" t="inlineStr">
        <is>
          <t>Thứ Bảy</t>
        </is>
      </c>
      <c r="D131" t="inlineStr">
        <is>
          <t>12000</t>
        </is>
      </c>
      <c r="E131" t="inlineStr">
        <is>
          <t>00</t>
        </is>
      </c>
      <c r="F131" t="inlineStr">
        <is>
          <t>G7.1, G7.3</t>
        </is>
      </c>
      <c r="G131" t="inlineStr">
        <is>
          <t>Tổng 0, Tổng 2, Tổng 5, Tổng 7</t>
        </is>
      </c>
      <c r="H131" t="inlineStr">
        <is>
          <t>01235678</t>
        </is>
      </c>
      <c r="I131" t="inlineStr">
        <is>
          <t>Tổng 5-Bóng 0</t>
        </is>
      </c>
      <c r="J131" t="n">
        <v>40</v>
      </c>
      <c r="K131" t="inlineStr">
        <is>
          <t>TRÚNG N1 🎯</t>
        </is>
      </c>
      <c r="L131" t="inlineStr">
        <is>
          <t>14, 19, 20, 25, 32, 37, 46, 48, 50, 52, 55, 64, 66, 69, 70, 78, 82, 87, 91, 93</t>
        </is>
      </c>
      <c r="M131" t="inlineStr">
        <is>
          <t>TRƯỢT ❌</t>
        </is>
      </c>
      <c r="N131" t="inlineStr">
        <is>
          <t>TRÚNG N1 🎯</t>
        </is>
      </c>
      <c r="O131" t="inlineStr">
        <is>
          <t>00, 02, 05, 07, 11, 14, 16, 19, 20, 23, 25, 28, 32, 34, 37, 39, 41, 43, 46, 48, 50, 52, 55, 57, 61, 64, 66, 69, 70, 73, 75, 78, 82, 84, 87, 89, 91, 93, 96, 98</t>
        </is>
      </c>
    </row>
    <row r="132">
      <c r="A132" t="n">
        <v>96</v>
      </c>
      <c r="B132" t="inlineStr">
        <is>
          <t>Thứ bảy ngày 11-04-2026</t>
        </is>
      </c>
      <c r="C132" t="inlineStr">
        <is>
          <t>Thứ Sáu</t>
        </is>
      </c>
      <c r="D132" t="inlineStr">
        <is>
          <t>24204</t>
        </is>
      </c>
      <c r="E132" t="inlineStr">
        <is>
          <t>04</t>
        </is>
      </c>
      <c r="F132" t="inlineStr">
        <is>
          <t>G7.4, G7.2</t>
        </is>
      </c>
      <c r="G132" t="inlineStr">
        <is>
          <t>Tổng 0, Tổng 1, Tổng 4, Tổng 5, Tổng 6, Tổng 9</t>
        </is>
      </c>
      <c r="H132" t="inlineStr">
        <is>
          <t>02345789</t>
        </is>
      </c>
      <c r="I132" t="inlineStr">
        <is>
          <t>Tổng 9-Bóng 4</t>
        </is>
      </c>
      <c r="J132" t="n">
        <v>60</v>
      </c>
      <c r="K132" t="inlineStr">
        <is>
          <t>TRÚNG N1 🎯</t>
        </is>
      </c>
      <c r="L132" t="inlineStr">
        <is>
          <t>01, 06, 14, 22, 24, 29, 32, 37, 46, 50, 55, 59, 64, 69, 77, 82, 87, 88, 91, 95</t>
        </is>
      </c>
      <c r="M132" t="inlineStr">
        <is>
          <t>TRƯỢT ❌</t>
        </is>
      </c>
      <c r="N132" t="inlineStr">
        <is>
          <t>TRÚNG N1 🎯</t>
        </is>
      </c>
      <c r="O132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33">
      <c r="A133" t="n">
        <v>95</v>
      </c>
      <c r="B133" t="inlineStr">
        <is>
          <t>Thứ sáu ngày 10-04-2026</t>
        </is>
      </c>
      <c r="C133" t="inlineStr">
        <is>
          <t>Thứ Năm</t>
        </is>
      </c>
      <c r="D133" t="inlineStr">
        <is>
          <t>46120</t>
        </is>
      </c>
      <c r="E133" t="inlineStr">
        <is>
          <t>20</t>
        </is>
      </c>
      <c r="F133" t="inlineStr">
        <is>
          <t>G7.4, G7.1</t>
        </is>
      </c>
      <c r="G133" t="inlineStr">
        <is>
          <t>Tổng 0, Tổng 2, Tổng 5, Tổng 7</t>
        </is>
      </c>
      <c r="H133" t="inlineStr">
        <is>
          <t>12346789</t>
        </is>
      </c>
      <c r="I133" t="inlineStr">
        <is>
          <t>Tổng 7-Bóng 2</t>
        </is>
      </c>
      <c r="J133" t="n">
        <v>36</v>
      </c>
      <c r="K133" t="inlineStr">
        <is>
          <t>TRÚNG N1 🎯</t>
        </is>
      </c>
      <c r="L133" t="inlineStr">
        <is>
          <t>14, 19, 23, 25, 32, 37, 46, 48, 52, 57, 64, 66, 69, 70, 75, 78, 82, 87, 91, 93</t>
        </is>
      </c>
      <c r="M133" t="inlineStr">
        <is>
          <t>TRƯỢT ❌</t>
        </is>
      </c>
      <c r="N133" t="inlineStr">
        <is>
          <t>TRÚNG N1 🎯</t>
        </is>
      </c>
      <c r="O133" t="inlineStr">
        <is>
          <t>02, 07, 11, 14, 16, 19, 20, 23, 25, 28, 32, 34, 37, 39, 41, 43, 46, 48, 52, 57, 61, 64, 66, 69, 70, 73, 75, 78, 82, 84, 87, 89, 91, 93, 96, 98</t>
        </is>
      </c>
    </row>
    <row r="134">
      <c r="A134" t="n">
        <v>94</v>
      </c>
      <c r="B134" t="inlineStr">
        <is>
          <t>Thứ năm ngày 09-04-2026</t>
        </is>
      </c>
      <c r="C134" t="inlineStr">
        <is>
          <t>Thứ Tư</t>
        </is>
      </c>
      <c r="D134" t="inlineStr">
        <is>
          <t>45625</t>
        </is>
      </c>
      <c r="E134" t="inlineStr">
        <is>
          <t>25</t>
        </is>
      </c>
      <c r="F134" t="inlineStr">
        <is>
          <t>G7.1, G7.4</t>
        </is>
      </c>
      <c r="G134" t="inlineStr">
        <is>
          <t>Tổng 1, Tổng 2, Tổng 3, Tổng 6, Tổng 7, Tổng 8</t>
        </is>
      </c>
      <c r="H134" t="inlineStr">
        <is>
          <t>01245679</t>
        </is>
      </c>
      <c r="I134" t="inlineStr">
        <is>
          <t>Tổng 2-Bóng 7</t>
        </is>
      </c>
      <c r="J134" t="n">
        <v>56</v>
      </c>
      <c r="K134" t="inlineStr">
        <is>
          <t>TRÚNG N1 🎯</t>
        </is>
      </c>
      <c r="L134" t="inlineStr">
        <is>
          <t>01, 06, 08, 17, 24, 29, 30, 42, 44, 48, 51, 52, 53, 66, 67, 70, 80, 92, 93, 94</t>
        </is>
      </c>
      <c r="M134" t="inlineStr">
        <is>
          <t>TRƯỢT ❌</t>
        </is>
      </c>
      <c r="N134" t="inlineStr">
        <is>
          <t>TRÚNG N1 🎯</t>
        </is>
      </c>
      <c r="O134" t="inlineStr">
        <is>
          <t>01, 02, 03, 06, 07, 08, 10, 11, 12, 15, 16, 17, 20, 21, 24, 25, 26, 29, 30, 34, 35, 39, 42, 43, 44, 47, 48, 49, 51, 52, 53, 56, 57, 58, 60, 61, 62, 65, 66, 67, 70, 71, 74, 75, 76, 79, 80, 84, 85, 89, 92, 93, 94, 97, 98, 99</t>
        </is>
      </c>
    </row>
    <row r="135">
      <c r="A135" t="n">
        <v>93</v>
      </c>
      <c r="B135" t="inlineStr">
        <is>
          <t>Thứ tư ngày 08-04-2026</t>
        </is>
      </c>
      <c r="C135" t="inlineStr">
        <is>
          <t>Thứ Ba</t>
        </is>
      </c>
      <c r="D135" t="inlineStr">
        <is>
          <t>27450</t>
        </is>
      </c>
      <c r="E135" t="inlineStr">
        <is>
          <t>50</t>
        </is>
      </c>
      <c r="F135" t="inlineStr">
        <is>
          <t>G7.3, G7.4</t>
        </is>
      </c>
      <c r="G135" t="inlineStr">
        <is>
          <t>Tổng 0, Tổng 1, Tổng 4, Tổng 5, Tổng 6, Tổng 9</t>
        </is>
      </c>
      <c r="H135" t="inlineStr">
        <is>
          <t>01235678</t>
        </is>
      </c>
      <c r="I135" t="inlineStr">
        <is>
          <t>Tổng 5-Bóng 0</t>
        </is>
      </c>
      <c r="J135" t="n">
        <v>60</v>
      </c>
      <c r="K135" t="inlineStr">
        <is>
          <t>TRÚNG N1 🎯</t>
        </is>
      </c>
      <c r="L135" t="inlineStr">
        <is>
          <t>06, 14, 22, 24, 29, 32, 37, 42, 46, 55, 59, 64, 68, 69, 77, 82, 87, 88, 91, 95</t>
        </is>
      </c>
      <c r="M135" t="inlineStr">
        <is>
          <t>TRƯỢT ❌</t>
        </is>
      </c>
      <c r="N135" t="inlineStr">
        <is>
          <t>TRÚNG N1 🎯</t>
        </is>
      </c>
      <c r="O135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36">
      <c r="A136" t="n">
        <v>92</v>
      </c>
      <c r="B136" t="inlineStr">
        <is>
          <t>Thứ ba ngày 07-04-2026</t>
        </is>
      </c>
      <c r="C136" t="inlineStr">
        <is>
          <t>Thứ Hai</t>
        </is>
      </c>
      <c r="D136" t="inlineStr">
        <is>
          <t>02382</t>
        </is>
      </c>
      <c r="E136" t="inlineStr">
        <is>
          <t>82</t>
        </is>
      </c>
      <c r="F136" t="inlineStr">
        <is>
          <t>G7.4, G7.2</t>
        </is>
      </c>
      <c r="G136" t="inlineStr">
        <is>
          <t>Tổng 1, Tổng 2, Tổng 3, Tổng 6, Tổng 7, Tổng 8</t>
        </is>
      </c>
      <c r="H136" t="inlineStr">
        <is>
          <t>0123456789</t>
        </is>
      </c>
      <c r="I136" t="inlineStr">
        <is>
          <t>Tổng 2-Bóng 7</t>
        </is>
      </c>
      <c r="J136" t="n">
        <v>60</v>
      </c>
      <c r="K136" t="inlineStr">
        <is>
          <t>TRƯỢT ❌</t>
        </is>
      </c>
      <c r="L136" t="inlineStr">
        <is>
          <t>01, 06, 17, 24, 29, 30, 42, 44, 48, 49, 51, 52, 66, 67, 70, 80, 88, 92, 93, 94</t>
        </is>
      </c>
      <c r="M136" t="inlineStr">
        <is>
          <t>TRƯỢT ❌</t>
        </is>
      </c>
      <c r="N136" t="inlineStr">
        <is>
          <t>TRÚNG N3 🎯</t>
        </is>
      </c>
      <c r="O136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37">
      <c r="A137" t="n">
        <v>91</v>
      </c>
      <c r="B137" t="inlineStr">
        <is>
          <t>Thứ hai ngày 06-04-2026</t>
        </is>
      </c>
      <c r="C137" t="inlineStr">
        <is>
          <t>Chủ Nhật</t>
        </is>
      </c>
      <c r="D137" t="inlineStr">
        <is>
          <t>76406</t>
        </is>
      </c>
      <c r="E137" t="inlineStr">
        <is>
          <t>06</t>
        </is>
      </c>
      <c r="F137" t="inlineStr">
        <is>
          <t>G7.3, G7.4</t>
        </is>
      </c>
      <c r="G137" t="inlineStr">
        <is>
          <t>Tổng 0, Tổng 2, Tổng 3, Tổng 5, Tổng 7, Tổng 8</t>
        </is>
      </c>
      <c r="H137" t="inlineStr">
        <is>
          <t>12346789</t>
        </is>
      </c>
      <c r="I137" t="inlineStr">
        <is>
          <t>Tổng 3-Bóng 8</t>
        </is>
      </c>
      <c r="J137" t="n">
        <v>56</v>
      </c>
      <c r="K137" t="inlineStr">
        <is>
          <t>TRƯỢT ❌</t>
        </is>
      </c>
      <c r="L137" t="inlineStr">
        <is>
          <t>14, 17, 32, 37, 44, 46, 48, 49, 52, 64, 66, 67, 69, 70, 78, 80, 87, 91, 93, 94</t>
        </is>
      </c>
      <c r="M137" t="inlineStr">
        <is>
          <t>TRƯỢT ❌</t>
        </is>
      </c>
      <c r="N137" t="inlineStr">
        <is>
          <t>TRÚNG N2 🎯</t>
        </is>
      </c>
      <c r="O137" t="inlineStr">
        <is>
          <t>02, 03, 07, 08, 11, 12, 14, 16, 17, 19, 20, 21, 23, 25, 26, 28, 30, 32, 34, 35, 37, 39, 41, 43, 44, 46, 48, 49, 52, 53, 57, 58, 61, 62, 64, 66, 67, 69, 70, 71, 73, 75, 76, 78, 80, 82, 84, 85, 87, 89, 91, 93, 94, 96, 98, 99</t>
        </is>
      </c>
    </row>
    <row r="138">
      <c r="A138" t="n">
        <v>90</v>
      </c>
      <c r="B138" t="inlineStr">
        <is>
          <t>Chủ nhật ngày 05-04-2026</t>
        </is>
      </c>
      <c r="C138" t="inlineStr">
        <is>
          <t>Thứ Bảy</t>
        </is>
      </c>
      <c r="D138" t="inlineStr">
        <is>
          <t>02855</t>
        </is>
      </c>
      <c r="E138" t="inlineStr">
        <is>
          <t>55</t>
        </is>
      </c>
      <c r="F138" t="inlineStr">
        <is>
          <t>G7.1, G7.2</t>
        </is>
      </c>
      <c r="G138" t="inlineStr">
        <is>
          <t>Tổng 1, Tổng 2, Tổng 4, Tổng 6, Tổng 7, Tổng 9</t>
        </is>
      </c>
      <c r="H138" t="inlineStr">
        <is>
          <t>01345689</t>
        </is>
      </c>
      <c r="I138" t="inlineStr">
        <is>
          <t>Tổng 6-Bóng 1</t>
        </is>
      </c>
      <c r="J138" t="n">
        <v>56</v>
      </c>
      <c r="K138" t="inlineStr">
        <is>
          <t>TRƯỢT ❌</t>
        </is>
      </c>
      <c r="L138" t="inlineStr">
        <is>
          <t>01, 24, 29, 33, 36, 42, 48, 51, 52, 59, 66, 68, 70, 81, 83, 88, 90, 92, 93, 95</t>
        </is>
      </c>
      <c r="M138" t="inlineStr">
        <is>
          <t>TRƯỢT ❌</t>
        </is>
      </c>
      <c r="N138" t="inlineStr">
        <is>
          <t>TRÚNG N2 🎯</t>
        </is>
      </c>
      <c r="O138" t="inlineStr">
        <is>
          <t>01, 02, 04, 06, 07, 09, 10, 11, 13, 15, 16, 18, 20, 24, 25, 29, 31, 33, 34, 36, 38, 39, 40, 42, 43, 45, 47, 48, 51, 52, 54, 56, 57, 59, 60, 61, 63, 65, 66, 68, 70, 74, 75, 79, 81, 83, 84, 86, 88, 89, 90, 92, 93, 95, 97, 98</t>
        </is>
      </c>
    </row>
    <row r="139">
      <c r="A139" t="n">
        <v>89</v>
      </c>
      <c r="B139" t="inlineStr">
        <is>
          <t>Thứ bảy ngày 04-04-2026</t>
        </is>
      </c>
      <c r="C139" t="inlineStr">
        <is>
          <t>Thứ Sáu</t>
        </is>
      </c>
      <c r="D139" t="inlineStr">
        <is>
          <t>29737</t>
        </is>
      </c>
      <c r="E139" t="inlineStr">
        <is>
          <t>37</t>
        </is>
      </c>
      <c r="F139" t="inlineStr">
        <is>
          <t>G7.4, G7.2</t>
        </is>
      </c>
      <c r="G139" t="inlineStr">
        <is>
          <t>Tổng 1, Tổng 2, Tổng 4, Tổng 6, Tổng 7, Tổng 9</t>
        </is>
      </c>
      <c r="H139" t="inlineStr">
        <is>
          <t>0123456789</t>
        </is>
      </c>
      <c r="I139" t="inlineStr">
        <is>
          <t>Tổng 2-Bóng 7</t>
        </is>
      </c>
      <c r="J139" t="n">
        <v>60</v>
      </c>
      <c r="K139" t="inlineStr">
        <is>
          <t>TRƯỢT ❌</t>
        </is>
      </c>
      <c r="L139" t="inlineStr">
        <is>
          <t>01, 22, 24, 29, 36, 42, 48, 51, 52, 59, 66, 68, 70, 77, 83, 88, 90, 92, 93, 95</t>
        </is>
      </c>
      <c r="M139" t="inlineStr">
        <is>
          <t>TRƯỢT ❌</t>
        </is>
      </c>
      <c r="N139" t="inlineStr">
        <is>
          <t>TRÚNG N3 🎯</t>
        </is>
      </c>
      <c r="O139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140">
      <c r="A140" t="n">
        <v>88</v>
      </c>
      <c r="B140" t="inlineStr">
        <is>
          <t>Thứ sáu ngày 03-04-2026</t>
        </is>
      </c>
      <c r="C140" t="inlineStr">
        <is>
          <t>Thứ Năm</t>
        </is>
      </c>
      <c r="D140" t="inlineStr">
        <is>
          <t>12944</t>
        </is>
      </c>
      <c r="E140" t="inlineStr">
        <is>
          <t>44</t>
        </is>
      </c>
      <c r="F140" t="inlineStr">
        <is>
          <t>G7.4, G7.1</t>
        </is>
      </c>
      <c r="G140" t="inlineStr">
        <is>
          <t>Tổng 1, Tổng 2, Tổng 6, Tổng 7</t>
        </is>
      </c>
      <c r="H140" t="inlineStr">
        <is>
          <t>034589</t>
        </is>
      </c>
      <c r="I140" t="inlineStr">
        <is>
          <t>Tổng 6-Bóng 1</t>
        </is>
      </c>
      <c r="J140" t="n">
        <v>36</v>
      </c>
      <c r="K140" t="inlineStr">
        <is>
          <t>TRƯỢT ❌</t>
        </is>
      </c>
      <c r="L140" t="inlineStr">
        <is>
          <t>01, 24, 29, 33, 38, 42, 47, 48, 51, 52, 57, 70, 74, 75, 83, 88, 89, 92, 93, 97</t>
        </is>
      </c>
      <c r="M140" t="inlineStr">
        <is>
          <t>TRƯỢT ❌</t>
        </is>
      </c>
      <c r="N140" t="inlineStr">
        <is>
          <t>TRƯỢT KHUNG ❌</t>
        </is>
      </c>
      <c r="O140" t="inlineStr">
        <is>
          <t>01, 02, 06, 07, 10, 15, 20, 24, 25, 29, 33, 34, 38, 39, 42, 43, 47, 48, 51, 52, 56, 57, 60, 65, 70, 74, 75, 79, 83, 84, 88, 89, 92, 93, 97, 98</t>
        </is>
      </c>
    </row>
    <row r="141">
      <c r="A141" t="n">
        <v>87</v>
      </c>
      <c r="B141" t="inlineStr">
        <is>
          <t>Thứ năm ngày 02-04-2026</t>
        </is>
      </c>
      <c r="C141" t="inlineStr">
        <is>
          <t>Thứ Tư</t>
        </is>
      </c>
      <c r="D141" t="inlineStr">
        <is>
          <t>91267</t>
        </is>
      </c>
      <c r="E141" t="inlineStr">
        <is>
          <t>67</t>
        </is>
      </c>
      <c r="F141" t="inlineStr">
        <is>
          <t>G7.4, G7.1</t>
        </is>
      </c>
      <c r="G141" t="inlineStr">
        <is>
          <t>Tổng 0, Tổng 2, Tổng 3, Tổng 5, Tổng 7, Tổng 8</t>
        </is>
      </c>
      <c r="H141" t="inlineStr">
        <is>
          <t>01235678</t>
        </is>
      </c>
      <c r="I141" t="inlineStr">
        <is>
          <t>Tổng 3-Bóng 8</t>
        </is>
      </c>
      <c r="J141" t="n">
        <v>56</v>
      </c>
      <c r="K141" t="inlineStr">
        <is>
          <t>TRÚNG N1 🎯</t>
        </is>
      </c>
      <c r="L141" t="inlineStr">
        <is>
          <t>08, 14, 17, 19, 21, 30, 32, 46, 48, 52, 53, 64, 66, 69, 70, 78, 80, 87, 91, 93</t>
        </is>
      </c>
      <c r="M141" t="inlineStr">
        <is>
          <t>TRƯỢT ❌</t>
        </is>
      </c>
      <c r="N141" t="inlineStr">
        <is>
          <t>TRÚNG N1 🎯</t>
        </is>
      </c>
      <c r="O141" t="inlineStr">
        <is>
          <t>00, 02, 03, 05, 07, 08, 11, 12, 14, 16, 17, 19, 20, 21, 23, 25, 26, 28, 30, 32, 34, 35, 37, 39, 41, 43, 46, 48, 50, 52, 53, 55, 57, 58, 61, 62, 64, 66, 67, 69, 70, 71, 73, 75, 76, 78, 80, 82, 84, 85, 87, 89, 91, 93, 96, 98</t>
        </is>
      </c>
    </row>
    <row r="142">
      <c r="A142" t="n">
        <v>86</v>
      </c>
      <c r="B142" t="inlineStr">
        <is>
          <t>Thứ tư ngày 01-04-2026</t>
        </is>
      </c>
      <c r="C142" t="inlineStr">
        <is>
          <t>Thứ Ba</t>
        </is>
      </c>
      <c r="D142" t="inlineStr">
        <is>
          <t>31666</t>
        </is>
      </c>
      <c r="E142" t="inlineStr">
        <is>
          <t>66</t>
        </is>
      </c>
      <c r="F142" t="inlineStr">
        <is>
          <t>G7.3, G7.1</t>
        </is>
      </c>
      <c r="G142" t="inlineStr">
        <is>
          <t>Tổng 0, Tổng 2, Tổng 5, Tổng 7</t>
        </is>
      </c>
      <c r="H142" t="inlineStr">
        <is>
          <t>01235678</t>
        </is>
      </c>
      <c r="I142" t="inlineStr">
        <is>
          <t>Tổng 5-Bóng 0</t>
        </is>
      </c>
      <c r="J142" t="n">
        <v>40</v>
      </c>
      <c r="K142" t="inlineStr">
        <is>
          <t>TRÚNG N1 🎯</t>
        </is>
      </c>
      <c r="L142" t="inlineStr">
        <is>
          <t>14, 19, 23, 28, 32, 37, 46, 48, 52, 55, 57, 61, 64, 69, 70, 75, 78, 87, 91, 93</t>
        </is>
      </c>
      <c r="M142" t="inlineStr">
        <is>
          <t>TRƯỢT ❌</t>
        </is>
      </c>
      <c r="N142" t="inlineStr">
        <is>
          <t>TRÚNG N1 🎯</t>
        </is>
      </c>
      <c r="O142" t="inlineStr">
        <is>
          <t>00, 02, 05, 07, 11, 14, 16, 19, 20, 23, 25, 28, 32, 34, 37, 39, 41, 43, 46, 48, 50, 52, 55, 57, 61, 64, 66, 69, 70, 73, 75, 78, 82, 84, 87, 89, 91, 93, 96, 98</t>
        </is>
      </c>
    </row>
    <row r="143">
      <c r="A143" t="n">
        <v>85</v>
      </c>
      <c r="B143" t="inlineStr">
        <is>
          <t>Thứ ba ngày 31-03-2026</t>
        </is>
      </c>
      <c r="C143" t="inlineStr">
        <is>
          <t>Thứ Hai</t>
        </is>
      </c>
      <c r="D143" t="inlineStr">
        <is>
          <t>11591</t>
        </is>
      </c>
      <c r="E143" t="inlineStr">
        <is>
          <t>91</t>
        </is>
      </c>
      <c r="F143" t="inlineStr">
        <is>
          <t>G7.4, G7.2</t>
        </is>
      </c>
      <c r="G143" t="inlineStr">
        <is>
          <t>Tổng 2, Tổng 3, Tổng 4, Tổng 7, Tổng 8, Tổng 9</t>
        </is>
      </c>
      <c r="H143" t="inlineStr">
        <is>
          <t>0123456789</t>
        </is>
      </c>
      <c r="I143" t="inlineStr">
        <is>
          <t>Tổng 4-Bóng 9</t>
        </is>
      </c>
      <c r="J143" t="n">
        <v>60</v>
      </c>
      <c r="K143" t="inlineStr">
        <is>
          <t>TRƯỢT ❌</t>
        </is>
      </c>
      <c r="L143" t="inlineStr">
        <is>
          <t>08, 17, 21, 22, 30, 36, 48, 49, 52, 53, 57, 59, 68, 70, 77, 80, 90, 93, 94, 95</t>
        </is>
      </c>
      <c r="M143" t="inlineStr">
        <is>
          <t>TRƯỢT ❌</t>
        </is>
      </c>
      <c r="N143" t="inlineStr">
        <is>
          <t>TRÚNG N2 🎯</t>
        </is>
      </c>
      <c r="O14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44">
      <c r="A144" t="n">
        <v>84</v>
      </c>
      <c r="B144" t="inlineStr">
        <is>
          <t>Thứ hai ngày 30-03-2026</t>
        </is>
      </c>
      <c r="C144" t="inlineStr">
        <is>
          <t>Chủ Nhật</t>
        </is>
      </c>
      <c r="D144" t="inlineStr">
        <is>
          <t>64464</t>
        </is>
      </c>
      <c r="E144" t="inlineStr">
        <is>
          <t>64</t>
        </is>
      </c>
      <c r="F144" t="inlineStr">
        <is>
          <t>G7.3, G7.4</t>
        </is>
      </c>
      <c r="G144" t="inlineStr">
        <is>
          <t>Tổng 4, Tổng 9</t>
        </is>
      </c>
      <c r="H144" t="inlineStr">
        <is>
          <t>013568</t>
        </is>
      </c>
      <c r="I144" t="inlineStr">
        <is>
          <t>Tổng 9-Bóng 4</t>
        </is>
      </c>
      <c r="J144" t="n">
        <v>16</v>
      </c>
      <c r="K144" t="inlineStr">
        <is>
          <t>TRƯỢT ❌</t>
        </is>
      </c>
      <c r="L144" t="inlineStr">
        <is>
          <t>04, 09, 13, 18, 31, 36, 40, 45, 54, 59, 63, 68, 81, 86, 90, 95</t>
        </is>
      </c>
      <c r="M144" t="inlineStr">
        <is>
          <t>TRƯỢT ❌</t>
        </is>
      </c>
      <c r="N144" t="inlineStr">
        <is>
          <t>TRƯỢT KHUNG ❌</t>
        </is>
      </c>
      <c r="O144" t="inlineStr">
        <is>
          <t>04, 09, 13, 18, 31, 36, 40, 45, 54, 59, 63, 68, 81, 86, 90, 95</t>
        </is>
      </c>
    </row>
    <row r="145">
      <c r="A145" t="n">
        <v>83</v>
      </c>
      <c r="B145" t="inlineStr">
        <is>
          <t>Chủ nhật ngày 29-03-2026</t>
        </is>
      </c>
      <c r="C145" t="inlineStr">
        <is>
          <t>Thứ Bảy</t>
        </is>
      </c>
      <c r="D145" t="inlineStr">
        <is>
          <t>37188</t>
        </is>
      </c>
      <c r="E145" t="inlineStr">
        <is>
          <t>88</t>
        </is>
      </c>
      <c r="F145" t="inlineStr">
        <is>
          <t>G7.1, G7.2</t>
        </is>
      </c>
      <c r="G145" t="inlineStr">
        <is>
          <t>Tổng 2, Tổng 3, Tổng 4, Tổng 7, Tổng 8, Tổng 9</t>
        </is>
      </c>
      <c r="H145" t="inlineStr">
        <is>
          <t>0123456789</t>
        </is>
      </c>
      <c r="I145" t="inlineStr">
        <is>
          <t>Tổng 8-Bóng 3</t>
        </is>
      </c>
      <c r="J145" t="n">
        <v>60</v>
      </c>
      <c r="K145" t="inlineStr">
        <is>
          <t>TRƯỢT ❌</t>
        </is>
      </c>
      <c r="L145" t="inlineStr">
        <is>
          <t>08, 17, 21, 22, 30, 36, 48, 49, 52, 53, 57, 59, 62, 68, 70, 77, 80, 93, 94, 95</t>
        </is>
      </c>
      <c r="M145" t="inlineStr">
        <is>
          <t>TRƯỢT ❌</t>
        </is>
      </c>
      <c r="N145" t="inlineStr">
        <is>
          <t>TRƯỢT KHUNG ❌</t>
        </is>
      </c>
      <c r="O145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46">
      <c r="A146" t="n">
        <v>82</v>
      </c>
      <c r="B146" t="inlineStr">
        <is>
          <t>Thứ bảy ngày 28-03-2026</t>
        </is>
      </c>
      <c r="C146" t="inlineStr">
        <is>
          <t>Thứ Sáu</t>
        </is>
      </c>
      <c r="D146" t="inlineStr">
        <is>
          <t>96422</t>
        </is>
      </c>
      <c r="E146" t="inlineStr">
        <is>
          <t>22</t>
        </is>
      </c>
      <c r="F146" t="inlineStr">
        <is>
          <t>G7.4, G7.2</t>
        </is>
      </c>
      <c r="G146" t="inlineStr">
        <is>
          <t>Tổng 1, Tổng 6</t>
        </is>
      </c>
      <c r="H146" t="inlineStr">
        <is>
          <t>014569</t>
        </is>
      </c>
      <c r="I146" t="inlineStr">
        <is>
          <t>Tổng 6-Bóng 1</t>
        </is>
      </c>
      <c r="J146" t="n">
        <v>16</v>
      </c>
      <c r="K146" t="inlineStr">
        <is>
          <t>TRƯỢT ❌</t>
        </is>
      </c>
      <c r="L146" t="inlineStr">
        <is>
          <t>01, 06, 10, 15, 24, 29, 42, 47, 51, 56, 60, 65, 74, 79, 92, 97</t>
        </is>
      </c>
      <c r="M146" t="inlineStr">
        <is>
          <t>TRƯỢT ❌</t>
        </is>
      </c>
      <c r="N146" t="inlineStr">
        <is>
          <t>TRƯỢT KHUNG ❌</t>
        </is>
      </c>
      <c r="O146" t="inlineStr">
        <is>
          <t>01, 06, 10, 15, 24, 29, 42, 47, 51, 56, 60, 65, 74, 79, 92, 97</t>
        </is>
      </c>
    </row>
    <row r="147">
      <c r="A147" t="n">
        <v>81</v>
      </c>
      <c r="B147" t="inlineStr">
        <is>
          <t>Thứ sáu ngày 27-03-2026</t>
        </is>
      </c>
      <c r="C147" t="inlineStr">
        <is>
          <t>Thứ Năm</t>
        </is>
      </c>
      <c r="D147" t="inlineStr">
        <is>
          <t>61332</t>
        </is>
      </c>
      <c r="E147" t="inlineStr">
        <is>
          <t>32</t>
        </is>
      </c>
      <c r="F147" t="inlineStr">
        <is>
          <t>G7.4, G7.1</t>
        </is>
      </c>
      <c r="G147" t="inlineStr">
        <is>
          <t>Tổng 0, Tổng 2, Tổng 3, Tổng 5, Tổng 7, Tổng 8</t>
        </is>
      </c>
      <c r="H147" t="inlineStr">
        <is>
          <t>0123456789</t>
        </is>
      </c>
      <c r="I147" t="inlineStr">
        <is>
          <t>Tổng 0-Bóng 5</t>
        </is>
      </c>
      <c r="J147" t="n">
        <v>60</v>
      </c>
      <c r="K147" t="inlineStr">
        <is>
          <t>TRÚNG N1 🎯</t>
        </is>
      </c>
      <c r="L147" t="inlineStr">
        <is>
          <t>08, 14, 17, 19, 30, 46, 48, 49, 52, 53, 57, 62, 69, 70, 78, 80, 87, 91, 93, 94</t>
        </is>
      </c>
      <c r="M147" t="inlineStr">
        <is>
          <t>TRƯỢT ❌</t>
        </is>
      </c>
      <c r="N147" t="inlineStr">
        <is>
          <t>TRÚNG N1 🎯</t>
        </is>
      </c>
      <c r="O147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48">
      <c r="A148" t="n">
        <v>80</v>
      </c>
      <c r="B148" t="inlineStr">
        <is>
          <t>Thứ năm ngày 26-03-2026</t>
        </is>
      </c>
      <c r="C148" t="inlineStr">
        <is>
          <t>Thứ Tư</t>
        </is>
      </c>
      <c r="D148" t="inlineStr">
        <is>
          <t>44693</t>
        </is>
      </c>
      <c r="E148" t="inlineStr">
        <is>
          <t>93</t>
        </is>
      </c>
      <c r="F148" t="inlineStr">
        <is>
          <t>G7.4, G7.1</t>
        </is>
      </c>
      <c r="G148" t="inlineStr">
        <is>
          <t>Tổng 1, Tổng 2, Tổng 4, Tổng 6, Tổng 7, Tổng 9</t>
        </is>
      </c>
      <c r="H148" t="inlineStr">
        <is>
          <t>024579</t>
        </is>
      </c>
      <c r="I148" t="inlineStr">
        <is>
          <t>Tổng 7-Bóng 2</t>
        </is>
      </c>
      <c r="J148" t="n">
        <v>44</v>
      </c>
      <c r="K148" t="inlineStr">
        <is>
          <t>TRÚNG N1 🎯</t>
        </is>
      </c>
      <c r="L148" t="inlineStr">
        <is>
          <t>01, 22, 24, 27, 29, 42, 45, 48, 51, 52, 54, 57, 59, 70, 74, 75, 77, 90, 92, 95</t>
        </is>
      </c>
      <c r="M148" t="inlineStr">
        <is>
          <t>TRƯỢT ❌</t>
        </is>
      </c>
      <c r="N148" t="inlineStr">
        <is>
          <t>TRÚNG N1 🎯</t>
        </is>
      </c>
      <c r="O148" t="inlineStr">
        <is>
          <t>01, 02, 04, 06, 07, 09, 10, 15, 20, 22, 24, 25, 27, 29, 34, 39, 40, 42, 43, 45, 47, 48, 51, 52, 54, 56, 57, 59, 60, 65, 70, 72, 74, 75, 77, 79, 84, 89, 90, 92, 93, 95, 97, 98</t>
        </is>
      </c>
    </row>
    <row r="149">
      <c r="A149" t="n">
        <v>79</v>
      </c>
      <c r="B149" t="inlineStr">
        <is>
          <t>Thứ tư ngày 25-03-2026</t>
        </is>
      </c>
      <c r="C149" t="inlineStr">
        <is>
          <t>Thứ Ba</t>
        </is>
      </c>
      <c r="D149" t="inlineStr">
        <is>
          <t>53988</t>
        </is>
      </c>
      <c r="E149" t="inlineStr">
        <is>
          <t>88</t>
        </is>
      </c>
      <c r="F149" t="inlineStr">
        <is>
          <t>G7.3, G7.1</t>
        </is>
      </c>
      <c r="G149" t="inlineStr">
        <is>
          <t>Tổng 0, Tổng 1, Tổng 2, Tổng 5, Tổng 6, Tổng 7</t>
        </is>
      </c>
      <c r="H149" t="inlineStr">
        <is>
          <t>01245679</t>
        </is>
      </c>
      <c r="I149" t="inlineStr">
        <is>
          <t>Tổng 0-Bóng 5</t>
        </is>
      </c>
      <c r="J149" t="n">
        <v>56</v>
      </c>
      <c r="K149" t="inlineStr">
        <is>
          <t>TRƯỢT ❌</t>
        </is>
      </c>
      <c r="L149" t="inlineStr">
        <is>
          <t>01, 14, 19, 24, 29, 37, 42, 46, 48, 51, 52, 55, 57, 69, 70, 74, 78, 87, 91, 92</t>
        </is>
      </c>
      <c r="M149" t="inlineStr">
        <is>
          <t>TRƯỢT ❌</t>
        </is>
      </c>
      <c r="N149" t="inlineStr">
        <is>
          <t>TRÚNG N2 🎯</t>
        </is>
      </c>
      <c r="O149" t="inlineStr">
        <is>
          <t>00, 01, 02, 05, 06, 07, 10, 11, 14, 15, 16, 19, 20, 23, 24, 25, 28, 29, 32, 34, 37, 39, 41, 42, 43, 46, 47, 48, 50, 51, 52, 55, 56, 57, 60, 61, 64, 65, 66, 69, 70, 73, 74, 75, 78, 79, 82, 84, 87, 89, 91, 92, 93, 96, 97, 98</t>
        </is>
      </c>
    </row>
    <row r="150">
      <c r="A150" t="n">
        <v>78</v>
      </c>
      <c r="B150" t="inlineStr">
        <is>
          <t>Thứ ba ngày 24-03-2026</t>
        </is>
      </c>
      <c r="C150" t="inlineStr">
        <is>
          <t>Thứ Hai</t>
        </is>
      </c>
      <c r="D150" t="inlineStr">
        <is>
          <t>03829</t>
        </is>
      </c>
      <c r="E150" t="inlineStr">
        <is>
          <t>29</t>
        </is>
      </c>
      <c r="F150" t="inlineStr">
        <is>
          <t>G7.4, G7.2</t>
        </is>
      </c>
      <c r="G150" t="inlineStr">
        <is>
          <t>Tổng 0, Tổng 1, Tổng 3, Tổng 5, Tổng 6, Tổng 8</t>
        </is>
      </c>
      <c r="H150" t="inlineStr">
        <is>
          <t>234789</t>
        </is>
      </c>
      <c r="I150" t="inlineStr">
        <is>
          <t>Tổng 6-Bóng 1</t>
        </is>
      </c>
      <c r="J150" t="n">
        <v>48</v>
      </c>
      <c r="K150" t="inlineStr">
        <is>
          <t>TRÚNG N1 🎯</t>
        </is>
      </c>
      <c r="L150" t="inlineStr">
        <is>
          <t>08, 12, 14, 17, 19, 24, 30, 37, 42, 46, 49, 53, 62, 69, 78, 80, 83, 87, 91, 94</t>
        </is>
      </c>
      <c r="M150" t="inlineStr">
        <is>
          <t>TRƯỢT ❌</t>
        </is>
      </c>
      <c r="N150" t="inlineStr">
        <is>
          <t>TRÚNG N1 🎯</t>
        </is>
      </c>
      <c r="O150" t="inlineStr">
        <is>
          <t>03, 08, 12, 14, 17, 19, 21, 23, 24, 26, 28, 29, 30, 32, 33, 35, 37, 38, 41, 42, 44, 46, 47, 49, 53, 58, 62, 64, 67, 69, 71, 73, 74, 76, 78, 79, 80, 82, 83, 85, 87, 88, 91, 92, 94, 96, 97, 99</t>
        </is>
      </c>
    </row>
    <row r="151">
      <c r="A151" t="n">
        <v>77</v>
      </c>
      <c r="B151" t="inlineStr">
        <is>
          <t>Thứ hai ngày 23-03-2026</t>
        </is>
      </c>
      <c r="C151" t="inlineStr">
        <is>
          <t>Chủ Nhật</t>
        </is>
      </c>
      <c r="D151" t="inlineStr">
        <is>
          <t>77514</t>
        </is>
      </c>
      <c r="E151" t="inlineStr">
        <is>
          <t>14</t>
        </is>
      </c>
      <c r="F151" t="inlineStr">
        <is>
          <t>G7.3, G7.4</t>
        </is>
      </c>
      <c r="G151" t="inlineStr">
        <is>
          <t>Tổng 1, Tổng 2, Tổng 6, Tổng 7</t>
        </is>
      </c>
      <c r="H151" t="inlineStr">
        <is>
          <t>0123456789</t>
        </is>
      </c>
      <c r="I151" t="inlineStr">
        <is>
          <t>Tổng 7-Bóng 2</t>
        </is>
      </c>
      <c r="J151" t="n">
        <v>40</v>
      </c>
      <c r="K151" t="inlineStr">
        <is>
          <t>TRƯỢT ❌</t>
        </is>
      </c>
      <c r="L151" t="inlineStr">
        <is>
          <t>01, 24, 25, 33, 38, 42, 47, 48, 51, 52, 57, 61, 70, 74, 75, 83, 89, 92, 93, 97</t>
        </is>
      </c>
      <c r="M151" t="inlineStr">
        <is>
          <t>TRƯỢT ❌</t>
        </is>
      </c>
      <c r="N151" t="inlineStr">
        <is>
          <t>TRÚNG N2 🎯</t>
        </is>
      </c>
      <c r="O151" t="inlineStr">
        <is>
          <t>01, 02, 06, 07, 10, 11, 15, 16, 20, 24, 25, 29, 33, 34, 38, 39, 42, 43, 47, 48, 51, 52, 56, 57, 60, 61, 65, 66, 70, 74, 75, 79, 83, 84, 88, 89, 92, 93, 97, 98</t>
        </is>
      </c>
    </row>
    <row r="152">
      <c r="A152" t="n">
        <v>76</v>
      </c>
      <c r="B152" t="inlineStr">
        <is>
          <t>Chủ nhật ngày 22-03-2026</t>
        </is>
      </c>
      <c r="C152" t="inlineStr">
        <is>
          <t>Thứ Bảy</t>
        </is>
      </c>
      <c r="D152" t="inlineStr">
        <is>
          <t>58646</t>
        </is>
      </c>
      <c r="E152" t="inlineStr">
        <is>
          <t>46</t>
        </is>
      </c>
      <c r="F152" t="inlineStr">
        <is>
          <t>G7.1, G7.2</t>
        </is>
      </c>
      <c r="G152" t="inlineStr">
        <is>
          <t>Tổng 1, Tổng 3, Tổng 4, Tổng 6, Tổng 8, Tổng 9</t>
        </is>
      </c>
      <c r="H152" t="inlineStr">
        <is>
          <t>0123456789</t>
        </is>
      </c>
      <c r="I152" t="inlineStr">
        <is>
          <t>Tổng 4-Bóng 9</t>
        </is>
      </c>
      <c r="J152" t="n">
        <v>60</v>
      </c>
      <c r="K152" t="inlineStr">
        <is>
          <t>TRƯỢT ❌</t>
        </is>
      </c>
      <c r="L152" t="inlineStr">
        <is>
          <t>01, 08, 12, 13, 24, 30, 36, 42, 49, 51, 53, 59, 68, 77, 80, 81, 83, 86, 94, 95</t>
        </is>
      </c>
      <c r="M152" t="inlineStr">
        <is>
          <t>TRƯỢT ❌</t>
        </is>
      </c>
      <c r="N152" t="inlineStr">
        <is>
          <t>TRÚNG N3 🎯</t>
        </is>
      </c>
      <c r="O152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53">
      <c r="A153" t="n">
        <v>75</v>
      </c>
      <c r="B153" t="inlineStr">
        <is>
          <t>Thứ bảy ngày 21-03-2026</t>
        </is>
      </c>
      <c r="C153" t="inlineStr">
        <is>
          <t>Thứ Sáu</t>
        </is>
      </c>
      <c r="D153" t="inlineStr">
        <is>
          <t>88594</t>
        </is>
      </c>
      <c r="E153" t="inlineStr">
        <is>
          <t>94</t>
        </is>
      </c>
      <c r="F153" t="inlineStr">
        <is>
          <t>G7.2, G7.3</t>
        </is>
      </c>
      <c r="G153" t="inlineStr">
        <is>
          <t>Tổng 2, Tổng 3, Tổng 7, Tổng 8</t>
        </is>
      </c>
      <c r="H153" t="inlineStr">
        <is>
          <t>02345789</t>
        </is>
      </c>
      <c r="I153" t="inlineStr">
        <is>
          <t>Tổng 7-Bóng 2</t>
        </is>
      </c>
      <c r="J153" t="n">
        <v>36</v>
      </c>
      <c r="K153" t="inlineStr">
        <is>
          <t>TRÚNG N1 🎯</t>
        </is>
      </c>
      <c r="L153" t="inlineStr">
        <is>
          <t>08, 12, 17, 21, 25, 26, 30, 48, 49, 52, 53, 57, 62, 70, 75, 80, 85, 89, 93, 94</t>
        </is>
      </c>
      <c r="M153" t="inlineStr">
        <is>
          <t>TRÚNG HỎA LỰC 🎯</t>
        </is>
      </c>
      <c r="N153" t="inlineStr">
        <is>
          <t>TRÚNG N1 🎯</t>
        </is>
      </c>
      <c r="O153" t="inlineStr">
        <is>
          <t>02, 03, 07, 08, 12, 17, 20, 21, 25, 26, 30, 34, 35, 39, 43, 44, 48, 49, 52, 53, 57, 58, 62, 67, 70, 71, 75, 76, 80, 84, 85, 89, 93, 94, 98, 99</t>
        </is>
      </c>
    </row>
    <row r="154">
      <c r="A154" t="n">
        <v>74</v>
      </c>
      <c r="B154" t="inlineStr">
        <is>
          <t>Thứ sáu ngày 20-03-2026</t>
        </is>
      </c>
      <c r="C154" t="inlineStr">
        <is>
          <t>Thứ Năm</t>
        </is>
      </c>
      <c r="D154" t="inlineStr">
        <is>
          <t>81124</t>
        </is>
      </c>
      <c r="E154" t="inlineStr">
        <is>
          <t>24</t>
        </is>
      </c>
      <c r="F154" t="inlineStr">
        <is>
          <t>G7.4, G7.1</t>
        </is>
      </c>
      <c r="G154" t="inlineStr">
        <is>
          <t>Tổng 0, Tổng 1, Tổng 5, Tổng 6</t>
        </is>
      </c>
      <c r="H154" t="inlineStr">
        <is>
          <t>01245679</t>
        </is>
      </c>
      <c r="I154" t="inlineStr">
        <is>
          <t>Tổng 6-Bóng 1</t>
        </is>
      </c>
      <c r="J154" t="n">
        <v>36</v>
      </c>
      <c r="K154" t="inlineStr">
        <is>
          <t>TRÚNG N1 🎯</t>
        </is>
      </c>
      <c r="L154" t="inlineStr">
        <is>
          <t>01, 05, 10, 14, 19, 23, 24, 28, 37, 42, 47, 51, 55, 69, 74, 78, 87, 91, 92, 97</t>
        </is>
      </c>
      <c r="M154" t="inlineStr">
        <is>
          <t>TRÚNG HỎA LỰC 🎯</t>
        </is>
      </c>
      <c r="N154" t="inlineStr">
        <is>
          <t>TRÚNG N1 🎯</t>
        </is>
      </c>
      <c r="O154" t="inlineStr">
        <is>
          <t>00, 01, 05, 06, 10, 14, 15, 19, 23, 24, 28, 29, 32, 37, 41, 42, 46, 47, 50, 51, 55, 56, 60, 64, 65, 69, 73, 74, 78, 79, 82, 87, 91, 92, 96, 97</t>
        </is>
      </c>
    </row>
    <row r="155">
      <c r="A155" t="n">
        <v>73</v>
      </c>
      <c r="B155" t="inlineStr">
        <is>
          <t>Thứ năm ngày 19-03-2026</t>
        </is>
      </c>
      <c r="C155" t="inlineStr">
        <is>
          <t>Thứ Tư</t>
        </is>
      </c>
      <c r="D155" t="inlineStr">
        <is>
          <t>75495</t>
        </is>
      </c>
      <c r="E155" t="inlineStr">
        <is>
          <t>95</t>
        </is>
      </c>
      <c r="F155" t="inlineStr">
        <is>
          <t>G7.1, G7.2</t>
        </is>
      </c>
      <c r="G155" t="inlineStr">
        <is>
          <t>Tổng 2, Tổng 4, Tổng 7, Tổng 9</t>
        </is>
      </c>
      <c r="H155" t="inlineStr">
        <is>
          <t>0123456789</t>
        </is>
      </c>
      <c r="I155" t="inlineStr">
        <is>
          <t>Tổng 4-Bóng 9</t>
        </is>
      </c>
      <c r="J155" t="n">
        <v>40</v>
      </c>
      <c r="K155" t="inlineStr">
        <is>
          <t>TRÚNG N1 🎯</t>
        </is>
      </c>
      <c r="L155" t="inlineStr">
        <is>
          <t>13, 22, 27, 36, 45, 48, 52, 54, 57, 59, 61, 63, 68, 70, 75, 77, 81, 86, 90, 93</t>
        </is>
      </c>
      <c r="M155" t="inlineStr">
        <is>
          <t>TRƯỢT ❌</t>
        </is>
      </c>
      <c r="N155" t="inlineStr">
        <is>
          <t>TRÚNG N1 🎯</t>
        </is>
      </c>
      <c r="O155" t="inlineStr">
        <is>
          <t>02, 04, 07, 09, 11, 13, 16, 18, 20, 22, 25, 27, 31, 34, 36, 39, 40, 43, 45, 48, 52, 54, 57, 59, 61, 63, 66, 68, 70, 72, 75, 77, 81, 84, 86, 89, 90, 93, 95, 98</t>
        </is>
      </c>
    </row>
    <row r="156">
      <c r="A156" t="n">
        <v>72</v>
      </c>
      <c r="B156" t="inlineStr">
        <is>
          <t>Thứ tư ngày 18-03-2026</t>
        </is>
      </c>
      <c r="C156" t="inlineStr">
        <is>
          <t>Thứ Ba</t>
        </is>
      </c>
      <c r="D156" t="inlineStr">
        <is>
          <t>25287</t>
        </is>
      </c>
      <c r="E156" t="inlineStr">
        <is>
          <t>87</t>
        </is>
      </c>
      <c r="F156" t="inlineStr">
        <is>
          <t>G7.3, G7.1</t>
        </is>
      </c>
      <c r="G156" t="inlineStr">
        <is>
          <t>Tổng 2, Tổng 4, Tổng 7, Tổng 9</t>
        </is>
      </c>
      <c r="H156" t="inlineStr">
        <is>
          <t>02345789</t>
        </is>
      </c>
      <c r="I156" t="inlineStr">
        <is>
          <t>Tổng 2-Bóng 7</t>
        </is>
      </c>
      <c r="J156" t="n">
        <v>36</v>
      </c>
      <c r="K156" t="inlineStr">
        <is>
          <t>TRƯỢT ❌</t>
        </is>
      </c>
      <c r="L156" t="inlineStr">
        <is>
          <t>13, 22, 27, 36, 45, 48, 52, 54, 57, 59, 63, 68, 70, 75, 77, 81, 86, 89, 90, 93</t>
        </is>
      </c>
      <c r="M156" t="inlineStr">
        <is>
          <t>TRƯỢT ❌</t>
        </is>
      </c>
      <c r="N156" t="inlineStr">
        <is>
          <t>TRÚNG N2 🎯</t>
        </is>
      </c>
      <c r="O156" t="inlineStr">
        <is>
          <t>02, 04, 07, 09, 13, 18, 20, 22, 25, 27, 31, 34, 36, 39, 40, 43, 45, 48, 52, 54, 57, 59, 63, 68, 70, 72, 75, 77, 81, 84, 86, 89, 90, 93, 95, 98</t>
        </is>
      </c>
    </row>
    <row r="157">
      <c r="A157" t="n">
        <v>71</v>
      </c>
      <c r="B157" t="inlineStr">
        <is>
          <t>Thứ ba ngày 17-03-2026</t>
        </is>
      </c>
      <c r="C157" t="inlineStr">
        <is>
          <t>Thứ Hai</t>
        </is>
      </c>
      <c r="D157" t="inlineStr">
        <is>
          <t>07969</t>
        </is>
      </c>
      <c r="E157" t="inlineStr">
        <is>
          <t>69</t>
        </is>
      </c>
      <c r="F157" t="inlineStr">
        <is>
          <t>G7.4, G7.1</t>
        </is>
      </c>
      <c r="G157" t="inlineStr">
        <is>
          <t>Tổng 0, Tổng 1, Tổng 2, Tổng 5, Tổng 6, Tổng 7</t>
        </is>
      </c>
      <c r="H157" t="inlineStr">
        <is>
          <t>02345789</t>
        </is>
      </c>
      <c r="I157" t="inlineStr">
        <is>
          <t>Tổng 2-Bóng 7</t>
        </is>
      </c>
      <c r="J157" t="n">
        <v>56</v>
      </c>
      <c r="K157" t="inlineStr">
        <is>
          <t>TRÚNG N1 🎯</t>
        </is>
      </c>
      <c r="L157" t="inlineStr">
        <is>
          <t>01, 14, 19, 24, 28, 33, 37, 42, 48, 51, 52, 55, 57, 70, 74, 75, 78, 83, 91, 92</t>
        </is>
      </c>
      <c r="M157" t="inlineStr">
        <is>
          <t>TRƯỢT ❌</t>
        </is>
      </c>
      <c r="N157" t="inlineStr">
        <is>
          <t>TRÚNG N1 🎯</t>
        </is>
      </c>
      <c r="O157" t="inlineStr">
        <is>
          <t>00, 01, 02, 05, 06, 07, 10, 14, 15, 19, 20, 23, 24, 25, 28, 29, 32, 33, 34, 37, 38, 39, 41, 42, 43, 46, 47, 48, 50, 51, 52, 55, 56, 57, 60, 64, 65, 69, 70, 73, 74, 75, 78, 79, 82, 83, 84, 87, 88, 89, 91, 92, 93, 96, 97, 98</t>
        </is>
      </c>
    </row>
    <row r="158">
      <c r="A158" t="n">
        <v>70</v>
      </c>
      <c r="B158" t="inlineStr">
        <is>
          <t>Thứ hai ngày 16-03-2026</t>
        </is>
      </c>
      <c r="C158" t="inlineStr">
        <is>
          <t>Chủ Nhật</t>
        </is>
      </c>
      <c r="D158" t="inlineStr">
        <is>
          <t>77552</t>
        </is>
      </c>
      <c r="E158" t="inlineStr">
        <is>
          <t>52</t>
        </is>
      </c>
      <c r="F158" t="inlineStr">
        <is>
          <t>G7.3, G7.4</t>
        </is>
      </c>
      <c r="G158" t="inlineStr">
        <is>
          <t>Tổng 1, Tổng 2, Tổng 3, Tổng 6, Tổng 7, Tổng 8</t>
        </is>
      </c>
      <c r="H158" t="inlineStr">
        <is>
          <t>12346789</t>
        </is>
      </c>
      <c r="I158" t="inlineStr">
        <is>
          <t>Tổng 2-Bóng 7</t>
        </is>
      </c>
      <c r="J158" t="n">
        <v>60</v>
      </c>
      <c r="K158" t="inlineStr">
        <is>
          <t>TRÚNG N1 🎯</t>
        </is>
      </c>
      <c r="L158" t="inlineStr">
        <is>
          <t>01, 08, 12, 17, 21, 24, 30, 42, 48, 49, 51, 53, 57, 62, 70, 75, 80, 83, 92, 94</t>
        </is>
      </c>
      <c r="M158" t="inlineStr">
        <is>
          <t>TRƯỢT ❌</t>
        </is>
      </c>
      <c r="N158" t="inlineStr">
        <is>
          <t>TRÚNG N1 🎯</t>
        </is>
      </c>
      <c r="O158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59">
      <c r="A159" t="n">
        <v>69</v>
      </c>
      <c r="B159" t="inlineStr">
        <is>
          <t>Chủ nhật ngày 15-03-2026</t>
        </is>
      </c>
      <c r="C159" t="inlineStr">
        <is>
          <t>Thứ Bảy</t>
        </is>
      </c>
      <c r="D159" t="inlineStr">
        <is>
          <t>01770</t>
        </is>
      </c>
      <c r="E159" t="inlineStr">
        <is>
          <t>70</t>
        </is>
      </c>
      <c r="F159" t="inlineStr">
        <is>
          <t>G7.1, G7.2</t>
        </is>
      </c>
      <c r="G159" t="inlineStr">
        <is>
          <t>Tổng 0, Tổng 1, Tổng 2, Tổng 5, Tổng 6, Tổng 7</t>
        </is>
      </c>
      <c r="H159" t="inlineStr">
        <is>
          <t>01245679</t>
        </is>
      </c>
      <c r="I159" t="inlineStr">
        <is>
          <t>Tổng 6-Bóng 1</t>
        </is>
      </c>
      <c r="J159" t="n">
        <v>56</v>
      </c>
      <c r="K159" t="inlineStr">
        <is>
          <t>TRÚNG N1 🎯</t>
        </is>
      </c>
      <c r="L159" t="inlineStr">
        <is>
          <t>01, 14, 19, 23, 24, 28, 37, 42, 48, 51, 55, 57, 61, 74, 75, 78, 91, 92, 93, 97</t>
        </is>
      </c>
      <c r="M159" t="inlineStr">
        <is>
          <t>TRƯỢT ❌</t>
        </is>
      </c>
      <c r="N159" t="inlineStr">
        <is>
          <t>TRÚNG N1 🎯</t>
        </is>
      </c>
      <c r="O159" t="inlineStr">
        <is>
          <t>00, 01, 02, 05, 06, 07, 10, 11, 14, 15, 16, 19, 20, 23, 24, 25, 28, 29, 32, 34, 37, 39, 41, 42, 43, 46, 47, 48, 50, 51, 52, 55, 56, 57, 60, 61, 64, 65, 66, 69, 70, 73, 74, 75, 78, 79, 82, 84, 87, 89, 91, 92, 93, 96, 97, 98</t>
        </is>
      </c>
    </row>
    <row r="160">
      <c r="A160" t="n">
        <v>68</v>
      </c>
      <c r="B160" t="inlineStr">
        <is>
          <t>Thứ bảy ngày 14-03-2026</t>
        </is>
      </c>
      <c r="C160" t="inlineStr">
        <is>
          <t>Thứ Sáu</t>
        </is>
      </c>
      <c r="D160" t="inlineStr">
        <is>
          <t>56848</t>
        </is>
      </c>
      <c r="E160" t="inlineStr">
        <is>
          <t>48</t>
        </is>
      </c>
      <c r="F160" t="inlineStr">
        <is>
          <t>G7.2, G7.3</t>
        </is>
      </c>
      <c r="G160" t="inlineStr">
        <is>
          <t>Tổng 1, Tổng 3, Tổng 4, Tổng 6, Tổng 8, Tổng 9</t>
        </is>
      </c>
      <c r="H160" t="inlineStr">
        <is>
          <t>01345689</t>
        </is>
      </c>
      <c r="I160" t="inlineStr">
        <is>
          <t>Tổng 3-Bóng 8</t>
        </is>
      </c>
      <c r="J160" t="n">
        <v>56</v>
      </c>
      <c r="K160" t="inlineStr">
        <is>
          <t>TRƯỢT ❌</t>
        </is>
      </c>
      <c r="L160" t="inlineStr">
        <is>
          <t>01, 08, 12, 13, 17, 24, 30, 36, 42, 49, 51, 53, 59, 68, 80, 81, 83, 86, 90, 92</t>
        </is>
      </c>
      <c r="M160" t="inlineStr">
        <is>
          <t>TRƯỢT ❌</t>
        </is>
      </c>
      <c r="N160" t="inlineStr">
        <is>
          <t>TRƯỢT KHUNG ❌</t>
        </is>
      </c>
      <c r="O160" t="inlineStr">
        <is>
          <t>01, 03, 04, 06, 08, 09, 10, 12, 13, 15, 17, 18, 21, 24, 26, 29, 30, 31, 33, 35, 36, 38, 40, 42, 44, 45, 47, 49, 51, 53, 54, 56, 58, 59, 60, 62, 63, 65, 67, 68, 71, 74, 76, 79, 80, 81, 83, 85, 86, 88, 90, 92, 94, 95, 97, 99</t>
        </is>
      </c>
    </row>
    <row r="161">
      <c r="A161" t="n">
        <v>67</v>
      </c>
      <c r="B161" t="inlineStr">
        <is>
          <t>Thứ sáu ngày 13-03-2026</t>
        </is>
      </c>
      <c r="C161" t="inlineStr">
        <is>
          <t>Thứ Năm</t>
        </is>
      </c>
      <c r="D161" t="inlineStr">
        <is>
          <t>86759</t>
        </is>
      </c>
      <c r="E161" t="inlineStr">
        <is>
          <t>59</t>
        </is>
      </c>
      <c r="F161" t="inlineStr">
        <is>
          <t>G7.4, G7.1</t>
        </is>
      </c>
      <c r="G161" t="inlineStr">
        <is>
          <t>Tổng 3, Tổng 4, Tổng 8, Tổng 9</t>
        </is>
      </c>
      <c r="H161" t="inlineStr">
        <is>
          <t>01345689</t>
        </is>
      </c>
      <c r="I161" t="inlineStr">
        <is>
          <t>Tổng 8-Bóng 3</t>
        </is>
      </c>
      <c r="J161" t="n">
        <v>36</v>
      </c>
      <c r="K161" t="inlineStr">
        <is>
          <t>TRÚNG N1 🎯</t>
        </is>
      </c>
      <c r="L161" t="inlineStr">
        <is>
          <t>08, 12, 13, 17, 21, 30, 36, 45, 49, 53, 59, 62, 63, 68, 80, 81, 85, 86, 90, 94</t>
        </is>
      </c>
      <c r="M161" t="inlineStr">
        <is>
          <t>TRÚNG HỎA LỰC 🎯</t>
        </is>
      </c>
      <c r="N161" t="inlineStr">
        <is>
          <t>TRÚNG N1 🎯</t>
        </is>
      </c>
      <c r="O161" t="inlineStr">
        <is>
          <t>03, 04, 08, 09, 12, 13, 17, 18, 21, 26, 30, 31, 35, 36, 40, 44, 45, 49, 53, 54, 58, 59, 62, 63, 67, 68, 71, 76, 80, 81, 85, 86, 90, 94, 95, 99</t>
        </is>
      </c>
    </row>
    <row r="162">
      <c r="A162" t="n">
        <v>66</v>
      </c>
      <c r="B162" t="inlineStr">
        <is>
          <t>Thứ năm ngày 12-03-2026</t>
        </is>
      </c>
      <c r="C162" t="inlineStr">
        <is>
          <t>Thứ Tư</t>
        </is>
      </c>
      <c r="D162" t="inlineStr">
        <is>
          <t>72124</t>
        </is>
      </c>
      <c r="E162" t="inlineStr">
        <is>
          <t>24</t>
        </is>
      </c>
      <c r="F162" t="inlineStr">
        <is>
          <t>G7.1, G7.2</t>
        </is>
      </c>
      <c r="G162" t="inlineStr">
        <is>
          <t>Tổng 1, Tổng 2, Tổng 3, Tổng 6, Tổng 7, Tổng 8</t>
        </is>
      </c>
      <c r="H162" t="inlineStr">
        <is>
          <t>0123456789</t>
        </is>
      </c>
      <c r="I162" t="inlineStr">
        <is>
          <t>Tổng 2-Bóng 7</t>
        </is>
      </c>
      <c r="J162" t="n">
        <v>60</v>
      </c>
      <c r="K162" t="inlineStr">
        <is>
          <t>TRÚNG N1 🎯</t>
        </is>
      </c>
      <c r="L162" t="inlineStr">
        <is>
          <t>01, 08, 12, 17, 24, 30, 33, 42, 48, 49, 51, 53, 57, 62, 75, 80, 83, 85, 92, 94</t>
        </is>
      </c>
      <c r="M162" t="inlineStr">
        <is>
          <t>TRÚNG HỎA LỰC 🎯</t>
        </is>
      </c>
      <c r="N162" t="inlineStr">
        <is>
          <t>TRÚNG N1 🎯</t>
        </is>
      </c>
      <c r="O162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63">
      <c r="A163" t="n">
        <v>65</v>
      </c>
      <c r="B163" t="inlineStr">
        <is>
          <t>Thứ tư ngày 11-03-2026</t>
        </is>
      </c>
      <c r="C163" t="inlineStr">
        <is>
          <t>Thứ Ba</t>
        </is>
      </c>
      <c r="D163" t="inlineStr">
        <is>
          <t>30368</t>
        </is>
      </c>
      <c r="E163" t="inlineStr">
        <is>
          <t>68</t>
        </is>
      </c>
      <c r="F163" t="inlineStr">
        <is>
          <t>G7.3, G7.4</t>
        </is>
      </c>
      <c r="G163" t="inlineStr">
        <is>
          <t>Tổng 0, Tổng 1, Tổng 4, Tổng 5, Tổng 6, Tổng 9</t>
        </is>
      </c>
      <c r="H163" t="inlineStr">
        <is>
          <t>0123456789</t>
        </is>
      </c>
      <c r="I163" t="inlineStr">
        <is>
          <t>Tổng 4-Bóng 9</t>
        </is>
      </c>
      <c r="J163" t="n">
        <v>60</v>
      </c>
      <c r="K163" t="inlineStr">
        <is>
          <t>TRÚNG N1 🎯</t>
        </is>
      </c>
      <c r="L163" t="inlineStr">
        <is>
          <t>01, 13, 19, 22, 33, 36, 37, 42, 51, 55, 59, 68, 77, 78, 81, 83, 86, 90, 91, 92</t>
        </is>
      </c>
      <c r="M163" t="inlineStr">
        <is>
          <t>TRÚNG HỎA LỰC 🎯</t>
        </is>
      </c>
      <c r="N163" t="inlineStr">
        <is>
          <t>TRÚNG N1 🎯</t>
        </is>
      </c>
      <c r="O16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64">
      <c r="A164" t="n">
        <v>64</v>
      </c>
      <c r="B164" t="inlineStr">
        <is>
          <t>Thứ ba ngày 10-03-2026</t>
        </is>
      </c>
      <c r="C164" t="inlineStr">
        <is>
          <t>Thứ Hai</t>
        </is>
      </c>
      <c r="D164" t="inlineStr">
        <is>
          <t>22342</t>
        </is>
      </c>
      <c r="E164" t="inlineStr">
        <is>
          <t>42</t>
        </is>
      </c>
      <c r="F164" t="inlineStr">
        <is>
          <t>G7.1, G7.2</t>
        </is>
      </c>
      <c r="G164" t="inlineStr">
        <is>
          <t>Tổng 0, Tổng 3, Tổng 5, Tổng 8</t>
        </is>
      </c>
      <c r="H164" t="inlineStr">
        <is>
          <t>01235678</t>
        </is>
      </c>
      <c r="I164" t="inlineStr">
        <is>
          <t>Tổng 5-Bóng 0</t>
        </is>
      </c>
      <c r="J164" t="n">
        <v>36</v>
      </c>
      <c r="K164" t="inlineStr">
        <is>
          <t>TRƯỢT ❌</t>
        </is>
      </c>
      <c r="L164" t="inlineStr">
        <is>
          <t>05, 08, 12, 14, 17, 19, 21, 23, 28, 30, 37, 50, 53, 55, 62, 69, 78, 80, 85, 91</t>
        </is>
      </c>
      <c r="M164" t="inlineStr">
        <is>
          <t>TRƯỢT ❌</t>
        </is>
      </c>
      <c r="N164" t="inlineStr">
        <is>
          <t>TRƯỢT KHUNG ❌</t>
        </is>
      </c>
      <c r="O164" t="inlineStr">
        <is>
          <t>00, 03, 05, 08, 12, 14, 17, 19, 21, 23, 26, 28, 30, 32, 35, 37, 41, 46, 50, 53, 55, 58, 62, 64, 67, 69, 71, 73, 76, 78, 80, 82, 85, 87, 91, 96</t>
        </is>
      </c>
    </row>
    <row r="165">
      <c r="A165" t="n">
        <v>63</v>
      </c>
      <c r="B165" t="inlineStr">
        <is>
          <t>Thứ hai ngày 09-03-2026</t>
        </is>
      </c>
      <c r="C165" t="inlineStr">
        <is>
          <t>Chủ Nhật</t>
        </is>
      </c>
      <c r="D165" t="inlineStr">
        <is>
          <t>90580</t>
        </is>
      </c>
      <c r="E165" t="inlineStr">
        <is>
          <t>80</t>
        </is>
      </c>
      <c r="F165" t="inlineStr">
        <is>
          <t>G7.3, G7.4</t>
        </is>
      </c>
      <c r="G165" t="inlineStr">
        <is>
          <t>Tổng 1, Tổng 4, Tổng 6, Tổng 9</t>
        </is>
      </c>
      <c r="H165" t="inlineStr">
        <is>
          <t>2479</t>
        </is>
      </c>
      <c r="I165" t="inlineStr">
        <is>
          <t>Tổng 9-Bóng 4</t>
        </is>
      </c>
      <c r="J165" t="n">
        <v>20</v>
      </c>
      <c r="K165" t="inlineStr">
        <is>
          <t>TRƯỢT ❌</t>
        </is>
      </c>
      <c r="L165" t="inlineStr">
        <is>
          <t>04, 09, 22, 24, 27, 29, 40, 42, 45, 47, 54, 59, 72, 74, 77, 79, 90, 92, 95, 97</t>
        </is>
      </c>
      <c r="M165" t="inlineStr">
        <is>
          <t>TRƯỢT ❌</t>
        </is>
      </c>
      <c r="N165" t="inlineStr">
        <is>
          <t>TRÚNG N2 🎯</t>
        </is>
      </c>
      <c r="O165" t="inlineStr">
        <is>
          <t>04, 09, 22, 24, 27, 29, 40, 42, 45, 47, 54, 59, 72, 74, 77, 79, 90, 92, 95, 97</t>
        </is>
      </c>
    </row>
    <row r="166">
      <c r="A166" t="n">
        <v>62</v>
      </c>
      <c r="B166" t="inlineStr">
        <is>
          <t>Chủ nhật ngày 08-03-2026</t>
        </is>
      </c>
      <c r="C166" t="inlineStr">
        <is>
          <t>Thứ Bảy</t>
        </is>
      </c>
      <c r="D166" t="inlineStr">
        <is>
          <t>81336</t>
        </is>
      </c>
      <c r="E166" t="inlineStr">
        <is>
          <t>36</t>
        </is>
      </c>
      <c r="F166" t="inlineStr">
        <is>
          <t>G7.1, G7.2</t>
        </is>
      </c>
      <c r="G166" t="inlineStr">
        <is>
          <t>Tổng 2, Tổng 3, Tổng 7, Tổng 8</t>
        </is>
      </c>
      <c r="H166" t="inlineStr">
        <is>
          <t>12346789</t>
        </is>
      </c>
      <c r="I166" t="inlineStr">
        <is>
          <t>Tổng 7-Bóng 2</t>
        </is>
      </c>
      <c r="J166" t="n">
        <v>40</v>
      </c>
      <c r="K166" t="inlineStr">
        <is>
          <t>TRƯỢT ❌</t>
        </is>
      </c>
      <c r="L166" t="inlineStr">
        <is>
          <t>08, 12, 17, 21, 25, 26, 30, 34, 48, 49, 53, 57, 61, 62, 75, 80, 85, 89, 93, 94</t>
        </is>
      </c>
      <c r="M166" t="inlineStr">
        <is>
          <t>TRƯỢT ❌</t>
        </is>
      </c>
      <c r="N166" t="inlineStr">
        <is>
          <t>TRÚNG N2 🎯</t>
        </is>
      </c>
      <c r="O166" t="inlineStr">
        <is>
          <t>02, 03, 07, 08, 11, 12, 16, 17, 20, 21, 25, 26, 30, 34, 35, 39, 43, 44, 48, 49, 52, 53, 57, 58, 61, 62, 66, 67, 70, 71, 75, 76, 80, 84, 85, 89, 93, 94, 98, 99</t>
        </is>
      </c>
    </row>
    <row r="167">
      <c r="A167" t="n">
        <v>61</v>
      </c>
      <c r="B167" t="inlineStr">
        <is>
          <t>Thứ bảy ngày 07-03-2026</t>
        </is>
      </c>
      <c r="C167" t="inlineStr">
        <is>
          <t>Thứ Sáu</t>
        </is>
      </c>
      <c r="D167" t="inlineStr">
        <is>
          <t>51951</t>
        </is>
      </c>
      <c r="E167" t="inlineStr">
        <is>
          <t>51</t>
        </is>
      </c>
      <c r="F167" t="inlineStr">
        <is>
          <t>G7.2, G7.3</t>
        </is>
      </c>
      <c r="G167" t="inlineStr">
        <is>
          <t>Tổng 2, Tổng 3, Tổng 7, Tổng 8</t>
        </is>
      </c>
      <c r="H167" t="inlineStr">
        <is>
          <t>0123456789</t>
        </is>
      </c>
      <c r="I167" t="inlineStr">
        <is>
          <t>Tổng 2-Bóng 7</t>
        </is>
      </c>
      <c r="J167" t="n">
        <v>40</v>
      </c>
      <c r="K167" t="inlineStr">
        <is>
          <t>TRƯỢT ❌</t>
        </is>
      </c>
      <c r="L167" t="inlineStr">
        <is>
          <t>08, 12, 17, 21, 25, 26, 30, 34, 48, 49, 53, 57, 61, 62, 75, 80, 85, 89, 93, 94</t>
        </is>
      </c>
      <c r="M167" t="inlineStr">
        <is>
          <t>TRƯỢT ❌</t>
        </is>
      </c>
      <c r="N167" t="inlineStr">
        <is>
          <t>TRÚNG N3 🎯</t>
        </is>
      </c>
      <c r="O167" t="inlineStr">
        <is>
          <t>02, 03, 07, 08, 11, 12, 16, 17, 20, 21, 25, 26, 30, 34, 35, 39, 43, 44, 48, 49, 52, 53, 57, 58, 61, 62, 66, 67, 70, 71, 75, 76, 80, 84, 85, 89, 93, 94, 98, 99</t>
        </is>
      </c>
    </row>
    <row r="168">
      <c r="A168" t="n">
        <v>60</v>
      </c>
      <c r="B168" t="inlineStr">
        <is>
          <t>Thứ sáu ngày 06-03-2026</t>
        </is>
      </c>
      <c r="C168" t="inlineStr">
        <is>
          <t>Thứ Năm</t>
        </is>
      </c>
      <c r="D168" t="inlineStr">
        <is>
          <t>38249</t>
        </is>
      </c>
      <c r="E168" t="inlineStr">
        <is>
          <t>49</t>
        </is>
      </c>
      <c r="F168" t="inlineStr">
        <is>
          <t>G7.4, G7.1</t>
        </is>
      </c>
      <c r="G168" t="inlineStr">
        <is>
          <t>Tổng 0, Tổng 2, Tổng 3, Tổng 5, Tổng 7, Tổng 8</t>
        </is>
      </c>
      <c r="H168" t="inlineStr">
        <is>
          <t>014569</t>
        </is>
      </c>
      <c r="I168" t="inlineStr">
        <is>
          <t>Tổng 0-Bóng 5</t>
        </is>
      </c>
      <c r="J168" t="n">
        <v>52</v>
      </c>
      <c r="K168" t="inlineStr">
        <is>
          <t>TRÚNG N1 🎯</t>
        </is>
      </c>
      <c r="L168" t="inlineStr">
        <is>
          <t>08, 12, 14, 17, 19, 21, 30, 48, 49, 53, 55, 57, 61, 62, 75, 80, 85, 91, 93, 94</t>
        </is>
      </c>
      <c r="M168" t="inlineStr">
        <is>
          <t>TRÚNG HỎA LỰC 🎯</t>
        </is>
      </c>
      <c r="N168" t="inlineStr">
        <is>
          <t>TRÚNG N1 🎯</t>
        </is>
      </c>
      <c r="O168" t="inlineStr">
        <is>
          <t>00, 02, 03, 05, 07, 08, 11, 12, 14, 16, 17, 19, 20, 21, 25, 26, 30, 34, 35, 39, 41, 43, 44, 46, 48, 49, 50, 52, 53, 55, 57, 58, 61, 62, 64, 66, 67, 69, 70, 71, 75, 76, 80, 84, 85, 89, 91, 93, 94, 96, 98, 99</t>
        </is>
      </c>
    </row>
    <row r="169">
      <c r="A169" t="n">
        <v>59</v>
      </c>
      <c r="B169" t="inlineStr">
        <is>
          <t>Thứ năm ngày 05-03-2026</t>
        </is>
      </c>
      <c r="C169" t="inlineStr">
        <is>
          <t>Thứ Tư</t>
        </is>
      </c>
      <c r="D169" t="inlineStr">
        <is>
          <t>16659</t>
        </is>
      </c>
      <c r="E169" t="inlineStr">
        <is>
          <t>59</t>
        </is>
      </c>
      <c r="F169" t="inlineStr">
        <is>
          <t>G7.1, G7.2</t>
        </is>
      </c>
      <c r="G169" t="inlineStr">
        <is>
          <t>Tổng 0, Tổng 3, Tổng 5, Tổng 8</t>
        </is>
      </c>
      <c r="H169" t="inlineStr">
        <is>
          <t>0123456789</t>
        </is>
      </c>
      <c r="I169" t="inlineStr">
        <is>
          <t>Tổng 5-Bóng 0</t>
        </is>
      </c>
      <c r="J169" t="n">
        <v>40</v>
      </c>
      <c r="K169" t="inlineStr">
        <is>
          <t>TRƯỢT ❌</t>
        </is>
      </c>
      <c r="L169" t="inlineStr">
        <is>
          <t>05, 08, 12, 14, 17, 19, 21, 23, 28, 30, 37, 49, 53, 55, 62, 78, 80, 85, 91, 94</t>
        </is>
      </c>
      <c r="M169" t="inlineStr">
        <is>
          <t>TRƯỢT ❌</t>
        </is>
      </c>
      <c r="N169" t="inlineStr">
        <is>
          <t>TRÚNG N2 🎯</t>
        </is>
      </c>
      <c r="O169" t="inlineStr">
        <is>
          <t>00, 03, 05, 08, 12, 14, 17, 19, 21, 23, 26, 28, 30, 32, 35, 37, 41, 44, 46, 49, 50, 53, 55, 58, 62, 64, 67, 69, 71, 73, 76, 78, 80, 82, 85, 87, 91, 94, 96, 99</t>
        </is>
      </c>
    </row>
    <row r="170">
      <c r="A170" t="n">
        <v>58</v>
      </c>
      <c r="B170" t="inlineStr">
        <is>
          <t>Thứ tư ngày 04-03-2026</t>
        </is>
      </c>
      <c r="C170" t="inlineStr">
        <is>
          <t>Thứ Ba</t>
        </is>
      </c>
      <c r="D170" t="inlineStr">
        <is>
          <t>10619</t>
        </is>
      </c>
      <c r="E170" t="inlineStr">
        <is>
          <t>19</t>
        </is>
      </c>
      <c r="F170" t="inlineStr">
        <is>
          <t>G7.3, G7.1</t>
        </is>
      </c>
      <c r="G170" t="inlineStr">
        <is>
          <t>Tổng 1, Tổng 3, Tổng 4, Tổng 6, Tổng 8, Tổng 9</t>
        </is>
      </c>
      <c r="H170" t="inlineStr">
        <is>
          <t>12346789</t>
        </is>
      </c>
      <c r="I170" t="inlineStr">
        <is>
          <t>Tổng 1-Bóng 6</t>
        </is>
      </c>
      <c r="J170" t="n">
        <v>60</v>
      </c>
      <c r="K170" t="inlineStr">
        <is>
          <t>TRƯỢT ❌</t>
        </is>
      </c>
      <c r="L170" t="inlineStr">
        <is>
          <t>01, 08, 12, 13, 17, 22, 30, 33, 45, 53, 54, 62, 68, 77, 81, 83, 85, 86, 90, 92</t>
        </is>
      </c>
      <c r="M170" t="inlineStr">
        <is>
          <t>TRƯỢT ❌</t>
        </is>
      </c>
      <c r="N170" t="inlineStr">
        <is>
          <t>TRÚNG N2 🎯</t>
        </is>
      </c>
      <c r="O170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71">
      <c r="A171" t="n">
        <v>57</v>
      </c>
      <c r="B171" t="inlineStr">
        <is>
          <t>Thứ ba ngày 03-03-2026</t>
        </is>
      </c>
      <c r="C171" t="inlineStr">
        <is>
          <t>Thứ Hai</t>
        </is>
      </c>
      <c r="D171" t="inlineStr">
        <is>
          <t>70078</t>
        </is>
      </c>
      <c r="E171" t="inlineStr">
        <is>
          <t>78</t>
        </is>
      </c>
      <c r="F171" t="inlineStr">
        <is>
          <t>G7.1, G7.2</t>
        </is>
      </c>
      <c r="G171" t="inlineStr">
        <is>
          <t>Tổng 2, Tổng 4, Tổng 7, Tổng 9</t>
        </is>
      </c>
      <c r="H171" t="inlineStr">
        <is>
          <t>01345689</t>
        </is>
      </c>
      <c r="I171" t="inlineStr">
        <is>
          <t>Tổng 4-Bóng 9</t>
        </is>
      </c>
      <c r="J171" t="n">
        <v>36</v>
      </c>
      <c r="K171" t="inlineStr">
        <is>
          <t>TRƯỢT ❌</t>
        </is>
      </c>
      <c r="L171" t="inlineStr">
        <is>
          <t>13, 18, 25, 34, 36, 40, 45, 48, 54, 57, 59, 61, 63, 68, 75, 81, 86, 89, 90, 93</t>
        </is>
      </c>
      <c r="M171" t="inlineStr">
        <is>
          <t>TRƯỢT ❌</t>
        </is>
      </c>
      <c r="N171" t="inlineStr">
        <is>
          <t>TRÚNG N3 🎯</t>
        </is>
      </c>
      <c r="O171" t="inlineStr">
        <is>
          <t>02, 04, 07, 09, 11, 13, 16, 18, 20, 25, 31, 34, 36, 39, 40, 43, 45, 48, 52, 54, 57, 59, 61, 63, 66, 68, 70, 75, 81, 84, 86, 89, 90, 93, 95, 98</t>
        </is>
      </c>
    </row>
    <row r="172">
      <c r="A172" t="n">
        <v>56</v>
      </c>
      <c r="B172" t="inlineStr">
        <is>
          <t>Thứ hai ngày 02-03-2026</t>
        </is>
      </c>
      <c r="C172" t="inlineStr">
        <is>
          <t>Chủ Nhật</t>
        </is>
      </c>
      <c r="D172" t="inlineStr">
        <is>
          <t>75257</t>
        </is>
      </c>
      <c r="E172" t="inlineStr">
        <is>
          <t>57</t>
        </is>
      </c>
      <c r="F172" t="inlineStr">
        <is>
          <t>G7.3, G7.1</t>
        </is>
      </c>
      <c r="G172" t="inlineStr">
        <is>
          <t>Tổng 1, Tổng 6</t>
        </is>
      </c>
      <c r="H172" t="inlineStr">
        <is>
          <t>0123456789</t>
        </is>
      </c>
      <c r="I172" t="inlineStr">
        <is>
          <t>Tổng 6-Bóng 1</t>
        </is>
      </c>
      <c r="J172" t="n">
        <v>20</v>
      </c>
      <c r="K172" t="inlineStr">
        <is>
          <t>TRƯỢT ❌</t>
        </is>
      </c>
      <c r="L172" t="inlineStr">
        <is>
          <t>01, 06, 10, 15, 24, 29, 33, 38, 42, 47, 51, 56, 60, 65, 74, 79, 83, 88, 92, 97</t>
        </is>
      </c>
      <c r="M172" t="inlineStr">
        <is>
          <t>TRƯỢT ❌</t>
        </is>
      </c>
      <c r="N172" t="inlineStr">
        <is>
          <t>TRƯỢT KHUNG ❌</t>
        </is>
      </c>
      <c r="O172" t="inlineStr">
        <is>
          <t>01, 06, 10, 15, 24, 29, 33, 38, 42, 47, 51, 56, 60, 65, 74, 79, 83, 88, 92, 97</t>
        </is>
      </c>
    </row>
    <row r="173">
      <c r="A173" t="n">
        <v>55</v>
      </c>
      <c r="B173" t="inlineStr">
        <is>
          <t>Chủ nhật ngày 01-03-2026</t>
        </is>
      </c>
      <c r="C173" t="inlineStr">
        <is>
          <t>Thứ Bảy</t>
        </is>
      </c>
      <c r="D173" t="inlineStr">
        <is>
          <t>90148</t>
        </is>
      </c>
      <c r="E173" t="inlineStr">
        <is>
          <t>48</t>
        </is>
      </c>
      <c r="F173" t="inlineStr">
        <is>
          <t>G7.1, G7.2</t>
        </is>
      </c>
      <c r="G173" t="inlineStr">
        <is>
          <t>Tổng 0, Tổng 1, Tổng 5, Tổng 6</t>
        </is>
      </c>
      <c r="H173" t="inlineStr">
        <is>
          <t>0123456789</t>
        </is>
      </c>
      <c r="I173" t="inlineStr">
        <is>
          <t>Tổng 5-Bóng 0</t>
        </is>
      </c>
      <c r="J173" t="n">
        <v>40</v>
      </c>
      <c r="K173" t="inlineStr">
        <is>
          <t>TRƯỢT ❌</t>
        </is>
      </c>
      <c r="L173" t="inlineStr">
        <is>
          <t>01, 05, 10, 14, 23, 24, 28, 33, 37, 38, 47, 50, 51, 55, 74, 78, 83, 91, 92, 97</t>
        </is>
      </c>
      <c r="M173" t="inlineStr">
        <is>
          <t>TRƯỢT ❌</t>
        </is>
      </c>
      <c r="N173" t="inlineStr">
        <is>
          <t>TRÚNG N3 🎯</t>
        </is>
      </c>
      <c r="O173" t="inlineStr">
        <is>
          <t>00, 01, 05, 06, 10, 14, 15, 19, 23, 24, 28, 29, 32, 33, 37, 38, 41, 42, 46, 47, 50, 51, 55, 56, 60, 64, 65, 69, 73, 74, 78, 79, 82, 83, 87, 88, 91, 92, 96, 97</t>
        </is>
      </c>
    </row>
    <row r="174">
      <c r="A174" t="n">
        <v>54</v>
      </c>
      <c r="B174" t="inlineStr">
        <is>
          <t>Thứ bảy ngày 28-02-2026</t>
        </is>
      </c>
      <c r="C174" t="inlineStr">
        <is>
          <t>Thứ Sáu</t>
        </is>
      </c>
      <c r="D174" t="inlineStr">
        <is>
          <t>47891</t>
        </is>
      </c>
      <c r="E174" t="inlineStr">
        <is>
          <t>91</t>
        </is>
      </c>
      <c r="F174" t="inlineStr">
        <is>
          <t>G7.2, G7.3</t>
        </is>
      </c>
      <c r="G174" t="inlineStr">
        <is>
          <t>Tổng 1, Tổng 2, Tổng 3, Tổng 6, Tổng 7, Tổng 8</t>
        </is>
      </c>
      <c r="H174" t="inlineStr">
        <is>
          <t>0123456789</t>
        </is>
      </c>
      <c r="I174" t="inlineStr">
        <is>
          <t>Tổng 8-Bóng 3</t>
        </is>
      </c>
      <c r="J174" t="n">
        <v>60</v>
      </c>
      <c r="K174" t="inlineStr">
        <is>
          <t>TRƯỢT ❌</t>
        </is>
      </c>
      <c r="L174" t="inlineStr">
        <is>
          <t>01, 08, 12, 17, 21, 24, 30, 33, 48, 51, 53, 61, 62, 74, 75, 80, 83, 85, 92, 94</t>
        </is>
      </c>
      <c r="M174" t="inlineStr">
        <is>
          <t>TRƯỢT ❌</t>
        </is>
      </c>
      <c r="N174" t="inlineStr">
        <is>
          <t>TRÚNG N2 🎯</t>
        </is>
      </c>
      <c r="O174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75">
      <c r="A175" t="n">
        <v>53</v>
      </c>
      <c r="B175" t="inlineStr">
        <is>
          <t>Thứ sáu ngày 27-02-2026</t>
        </is>
      </c>
      <c r="C175" t="inlineStr">
        <is>
          <t>Thứ Năm</t>
        </is>
      </c>
      <c r="D175" t="inlineStr">
        <is>
          <t>13283</t>
        </is>
      </c>
      <c r="E175" t="inlineStr">
        <is>
          <t>83</t>
        </is>
      </c>
      <c r="F175" t="inlineStr">
        <is>
          <t>G7.4, G7.1</t>
        </is>
      </c>
      <c r="G175" t="inlineStr">
        <is>
          <t>Tổng 0, Tổng 3, Tổng 4, Tổng 5, Tổng 8, Tổng 9</t>
        </is>
      </c>
      <c r="H175" t="inlineStr">
        <is>
          <t>014569</t>
        </is>
      </c>
      <c r="I175" t="inlineStr">
        <is>
          <t>Tổng 4-Bóng 9</t>
        </is>
      </c>
      <c r="J175" t="n">
        <v>48</v>
      </c>
      <c r="K175" t="inlineStr">
        <is>
          <t>TRƯỢT ❌</t>
        </is>
      </c>
      <c r="L175" t="inlineStr">
        <is>
          <t>08, 12, 13, 14, 17, 21, 30, 45, 49, 53, 54, 55, 62, 68, 80, 81, 85, 86, 90, 94</t>
        </is>
      </c>
      <c r="M175" t="inlineStr">
        <is>
          <t>TRƯỢT ❌</t>
        </is>
      </c>
      <c r="N175" t="inlineStr">
        <is>
          <t>TRÚNG N2 🎯</t>
        </is>
      </c>
      <c r="O175" t="inlineStr">
        <is>
          <t>00, 03, 04, 05, 08, 09, 12, 13, 14, 17, 18, 19, 21, 26, 30, 31, 35, 36, 40, 41, 44, 45, 46, 49, 50, 53, 54, 55, 58, 59, 62, 63, 64, 67, 68, 69, 71, 76, 80, 81, 85, 86, 90, 91, 94, 95, 96, 99</t>
        </is>
      </c>
    </row>
    <row r="176">
      <c r="A176" t="n">
        <v>52</v>
      </c>
      <c r="B176" t="inlineStr">
        <is>
          <t>Thứ năm ngày 26-02-2026</t>
        </is>
      </c>
      <c r="C176" t="inlineStr">
        <is>
          <t>Thứ Tư</t>
        </is>
      </c>
      <c r="D176" t="inlineStr">
        <is>
          <t>86408</t>
        </is>
      </c>
      <c r="E176" t="inlineStr">
        <is>
          <t>08</t>
        </is>
      </c>
      <c r="F176" t="inlineStr">
        <is>
          <t>G7.1, G7.2</t>
        </is>
      </c>
      <c r="G176" t="inlineStr">
        <is>
          <t>Tổng 0, Tổng 2, Tổng 3, Tổng 5, Tổng 7, Tổng 8</t>
        </is>
      </c>
      <c r="H176" t="inlineStr">
        <is>
          <t>0123456789</t>
        </is>
      </c>
      <c r="I176" t="inlineStr">
        <is>
          <t>Tổng 5-Bóng 0</t>
        </is>
      </c>
      <c r="J176" t="n">
        <v>60</v>
      </c>
      <c r="K176" t="inlineStr">
        <is>
          <t>TRÚNG N1 🎯</t>
        </is>
      </c>
      <c r="L176" t="inlineStr">
        <is>
          <t>12, 14, 17, 21, 23, 28, 30, 37, 48, 49, 53, 55, 61, 62, 75, 78, 80, 85, 93, 94</t>
        </is>
      </c>
      <c r="M176" t="inlineStr">
        <is>
          <t>TRƯỢT ❌</t>
        </is>
      </c>
      <c r="N176" t="inlineStr">
        <is>
          <t>TRÚNG N1 🎯</t>
        </is>
      </c>
      <c r="O176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77">
      <c r="A177" t="n">
        <v>51</v>
      </c>
      <c r="B177" t="inlineStr">
        <is>
          <t>Thứ tư ngày 25-02-2026</t>
        </is>
      </c>
      <c r="C177" t="inlineStr">
        <is>
          <t>Thứ Ba</t>
        </is>
      </c>
      <c r="D177" t="inlineStr">
        <is>
          <t>48153</t>
        </is>
      </c>
      <c r="E177" t="inlineStr">
        <is>
          <t>53</t>
        </is>
      </c>
      <c r="F177" t="inlineStr">
        <is>
          <t>G7.1, G7.2</t>
        </is>
      </c>
      <c r="G177" t="inlineStr">
        <is>
          <t>Tổng 1, Tổng 4, Tổng 6, Tổng 9</t>
        </is>
      </c>
      <c r="H177" t="inlineStr">
        <is>
          <t>0123456789</t>
        </is>
      </c>
      <c r="I177" t="inlineStr">
        <is>
          <t>Tổng 1-Bóng 6</t>
        </is>
      </c>
      <c r="J177" t="n">
        <v>40</v>
      </c>
      <c r="K177" t="inlineStr">
        <is>
          <t>TRƯỢT ❌</t>
        </is>
      </c>
      <c r="L177" t="inlineStr">
        <is>
          <t>01, 13, 22, 24, 27, 33, 38, 45, 47, 51, 54, 63, 68, 74, 77, 81, 86, 90, 92, 97</t>
        </is>
      </c>
      <c r="M177" t="inlineStr">
        <is>
          <t>TRƯỢT ❌</t>
        </is>
      </c>
      <c r="N177" t="inlineStr">
        <is>
          <t>TRÚNG N3 🎯</t>
        </is>
      </c>
      <c r="O177" t="inlineStr">
        <is>
          <t>01, 04, 06, 09, 10, 13, 15, 18, 22, 24, 27, 29, 31, 33, 36, 38, 40, 42, 45, 47, 51, 54, 56, 59, 60, 63, 65, 68, 72, 74, 77, 79, 81, 83, 86, 88, 90, 92, 95, 97</t>
        </is>
      </c>
    </row>
    <row r="178">
      <c r="A178" t="n">
        <v>50</v>
      </c>
      <c r="B178" t="inlineStr">
        <is>
          <t>Thứ ba ngày 24-02-2026</t>
        </is>
      </c>
      <c r="C178" t="inlineStr">
        <is>
          <t>Thứ Hai</t>
        </is>
      </c>
      <c r="D178" t="inlineStr">
        <is>
          <t>65037</t>
        </is>
      </c>
      <c r="E178" t="inlineStr">
        <is>
          <t>37</t>
        </is>
      </c>
      <c r="F178" t="inlineStr">
        <is>
          <t>G7.1, G7.3</t>
        </is>
      </c>
      <c r="G178" t="inlineStr">
        <is>
          <t>Tổng 0, Tổng 1, Tổng 4, Tổng 5, Tổng 6, Tổng 9</t>
        </is>
      </c>
      <c r="H178" t="inlineStr">
        <is>
          <t>02345789</t>
        </is>
      </c>
      <c r="I178" t="inlineStr">
        <is>
          <t>Tổng 1-Bóng 6</t>
        </is>
      </c>
      <c r="J178" t="n">
        <v>60</v>
      </c>
      <c r="K178" t="inlineStr">
        <is>
          <t>TRÚNG N1 🎯</t>
        </is>
      </c>
      <c r="L178" t="inlineStr">
        <is>
          <t>01, 13, 14, 22, 23, 24, 33, 45, 51, 54, 55, 63, 68, 74, 77, 78, 81, 86, 90, 92</t>
        </is>
      </c>
      <c r="M178" t="inlineStr">
        <is>
          <t>TRƯỢT ❌</t>
        </is>
      </c>
      <c r="N178" t="inlineStr">
        <is>
          <t>TRÚNG N1 🎯</t>
        </is>
      </c>
      <c r="O178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79">
      <c r="A179" t="n">
        <v>49</v>
      </c>
      <c r="B179" t="inlineStr">
        <is>
          <t>Thứ hai ngày 23-02-2026</t>
        </is>
      </c>
      <c r="C179" t="inlineStr">
        <is>
          <t>Chủ Nhật</t>
        </is>
      </c>
      <c r="D179" t="inlineStr">
        <is>
          <t>67655</t>
        </is>
      </c>
      <c r="E179" t="inlineStr">
        <is>
          <t>55</t>
        </is>
      </c>
      <c r="F179" t="inlineStr">
        <is>
          <t>G7.3, G7.1</t>
        </is>
      </c>
      <c r="G179" t="inlineStr">
        <is>
          <t>Tổng 1, Tổng 3, Tổng 4, Tổng 6, Tổng 8, Tổng 9</t>
        </is>
      </c>
      <c r="H179" t="inlineStr">
        <is>
          <t>034589</t>
        </is>
      </c>
      <c r="I179" t="inlineStr">
        <is>
          <t>Tổng 6-Bóng 1</t>
        </is>
      </c>
      <c r="J179" t="n">
        <v>48</v>
      </c>
      <c r="K179" t="inlineStr">
        <is>
          <t>TRƯỢT ❌</t>
        </is>
      </c>
      <c r="L179" t="inlineStr">
        <is>
          <t>01, 13, 24, 30, 33, 45, 49, 51, 54, 63, 68, 74, 80, 81, 85, 86, 90, 92, 94, 97</t>
        </is>
      </c>
      <c r="M179" t="inlineStr">
        <is>
          <t>TRƯỢT ❌</t>
        </is>
      </c>
      <c r="N179" t="inlineStr">
        <is>
          <t>TRÚNG N3 🎯</t>
        </is>
      </c>
      <c r="O179" t="inlineStr">
        <is>
          <t>01, 03, 04, 06, 08, 09, 10, 13, 15, 18, 24, 29, 30, 31, 33, 35, 36, 38, 40, 42, 44, 45, 47, 49, 51, 53, 54, 56, 58, 59, 60, 63, 65, 68, 74, 79, 80, 81, 83, 85, 86, 88, 90, 92, 94, 95, 97, 99</t>
        </is>
      </c>
    </row>
    <row r="180">
      <c r="A180" t="n">
        <v>48</v>
      </c>
      <c r="B180" t="inlineStr">
        <is>
          <t>Chủ nhật ngày 22-02-2026</t>
        </is>
      </c>
      <c r="C180" t="inlineStr">
        <is>
          <t>Thứ Bảy</t>
        </is>
      </c>
      <c r="D180" t="inlineStr">
        <is>
          <t>64512</t>
        </is>
      </c>
      <c r="E180" t="inlineStr">
        <is>
          <t>12</t>
        </is>
      </c>
      <c r="F180" t="inlineStr">
        <is>
          <t>G7.1, G7.2</t>
        </is>
      </c>
      <c r="G180" t="inlineStr">
        <is>
          <t>Tổng 0, Tổng 3, Tổng 5, Tổng 8</t>
        </is>
      </c>
      <c r="H180" t="inlineStr">
        <is>
          <t>014569</t>
        </is>
      </c>
      <c r="I180" t="inlineStr">
        <is>
          <t>Tổng 8-Bóng 3</t>
        </is>
      </c>
      <c r="J180" t="n">
        <v>32</v>
      </c>
      <c r="K180" t="inlineStr">
        <is>
          <t>TRÚNG N1 🎯</t>
        </is>
      </c>
      <c r="L180" t="inlineStr">
        <is>
          <t>05, 08, 14, 17, 19, 21, 26, 30, 49, 50, 53, 58, 62, 64, 69, 76, 80, 85, 94, 99</t>
        </is>
      </c>
      <c r="M180" t="inlineStr">
        <is>
          <t>TRƯỢT ❌</t>
        </is>
      </c>
      <c r="N180" t="inlineStr">
        <is>
          <t>TRÚNG N1 🎯</t>
        </is>
      </c>
      <c r="O180" t="inlineStr">
        <is>
          <t>00, 03, 05, 08, 12, 14, 17, 19, 21, 26, 30, 35, 41, 44, 46, 49, 50, 53, 55, 58, 62, 64, 67, 69, 71, 76, 80, 85, 91, 94, 96, 99</t>
        </is>
      </c>
    </row>
    <row r="181">
      <c r="A181" t="n">
        <v>47</v>
      </c>
      <c r="B181" t="inlineStr">
        <is>
          <t>Thứ bảy ngày 21-02-2026</t>
        </is>
      </c>
      <c r="C181" t="inlineStr">
        <is>
          <t>Thứ Sáu</t>
        </is>
      </c>
      <c r="D181" t="inlineStr">
        <is>
          <t>44413</t>
        </is>
      </c>
      <c r="E181" t="inlineStr">
        <is>
          <t>13</t>
        </is>
      </c>
      <c r="F181" t="inlineStr">
        <is>
          <t>G7.2, G7.3</t>
        </is>
      </c>
      <c r="G181" t="inlineStr">
        <is>
          <t>Tổng 1, Tổng 3, Tổng 4, Tổng 6, Tổng 8, Tổng 9</t>
        </is>
      </c>
      <c r="H181" t="inlineStr">
        <is>
          <t>0123456789</t>
        </is>
      </c>
      <c r="I181" t="inlineStr">
        <is>
          <t>Tổng 8-Bóng 3</t>
        </is>
      </c>
      <c r="J181" t="n">
        <v>60</v>
      </c>
      <c r="K181" t="inlineStr">
        <is>
          <t>TRÚNG N1 🎯</t>
        </is>
      </c>
      <c r="L181" t="inlineStr">
        <is>
          <t>01, 17, 21, 22, 30, 33, 45, 51, 54, 62, 63, 68, 74, 77, 80, 81, 85, 86, 90, 92</t>
        </is>
      </c>
      <c r="M181" t="inlineStr">
        <is>
          <t>TRƯỢT ❌</t>
        </is>
      </c>
      <c r="N181" t="inlineStr">
        <is>
          <t>TRÚNG N1 🎯</t>
        </is>
      </c>
      <c r="O181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82">
      <c r="A182" t="n">
        <v>46</v>
      </c>
      <c r="B182" t="inlineStr">
        <is>
          <t>Thứ sáu ngày 20-02-2026</t>
        </is>
      </c>
      <c r="C182" t="inlineStr">
        <is>
          <t>Chủ Nhật</t>
        </is>
      </c>
      <c r="D182" t="inlineStr">
        <is>
          <t>36481</t>
        </is>
      </c>
      <c r="E182" t="inlineStr">
        <is>
          <t>81</t>
        </is>
      </c>
      <c r="F182" t="inlineStr">
        <is>
          <t>G7.3, G7.1</t>
        </is>
      </c>
      <c r="G182" t="inlineStr">
        <is>
          <t>Tổng 1, Tổng 2, Tổng 6, Tổng 7</t>
        </is>
      </c>
      <c r="H182" t="inlineStr">
        <is>
          <t>02345789</t>
        </is>
      </c>
      <c r="I182" t="inlineStr">
        <is>
          <t>Tổng 2-Bóng 7</t>
        </is>
      </c>
      <c r="J182" t="n">
        <v>36</v>
      </c>
      <c r="K182" t="inlineStr">
        <is>
          <t>TRƯỢT ❌</t>
        </is>
      </c>
      <c r="L182" t="inlineStr">
        <is>
          <t>01, 10, 20, 24, 25, 33, 34, 38, 42, 47, 48, 51, 74, 75, 83, 84, 89, 92, 93, 97</t>
        </is>
      </c>
      <c r="M182" t="inlineStr">
        <is>
          <t>TRƯỢT ❌</t>
        </is>
      </c>
      <c r="N182" t="inlineStr">
        <is>
          <t>TRƯỢT KHUNG ❌</t>
        </is>
      </c>
      <c r="O182" t="inlineStr">
        <is>
          <t>01, 02, 06, 07, 10, 15, 20, 24, 25, 29, 33, 34, 38, 39, 42, 43, 47, 48, 51, 52, 56, 57, 60, 65, 70, 74, 75, 79, 83, 84, 88, 89, 92, 93, 97, 98</t>
        </is>
      </c>
    </row>
    <row r="183">
      <c r="A183" t="n">
        <v>45</v>
      </c>
      <c r="B183" t="inlineStr">
        <is>
          <t>Chủ nhật ngày 15-02-2026</t>
        </is>
      </c>
      <c r="C183" t="inlineStr">
        <is>
          <t>Thứ Bảy</t>
        </is>
      </c>
      <c r="D183" t="inlineStr">
        <is>
          <t>22601</t>
        </is>
      </c>
      <c r="E183" t="inlineStr">
        <is>
          <t>01</t>
        </is>
      </c>
      <c r="F183" t="inlineStr">
        <is>
          <t>G7.1, G7.2</t>
        </is>
      </c>
      <c r="G183" t="inlineStr">
        <is>
          <t>Tổng 2, Tổng 4, Tổng 7, Tổng 9</t>
        </is>
      </c>
      <c r="H183" t="inlineStr">
        <is>
          <t>01345689</t>
        </is>
      </c>
      <c r="I183" t="inlineStr">
        <is>
          <t>Tổng 7-Bóng 2</t>
        </is>
      </c>
      <c r="J183" t="n">
        <v>36</v>
      </c>
      <c r="K183" t="inlineStr">
        <is>
          <t>TRƯỢT ❌</t>
        </is>
      </c>
      <c r="L183" t="inlineStr">
        <is>
          <t>02, 18, 20, 25, 34, 36, 40, 45, 48, 54, 59, 61, 63, 68, 75, 84, 86, 89, 90, 93</t>
        </is>
      </c>
      <c r="M183" t="inlineStr">
        <is>
          <t>TRƯỢT ❌</t>
        </is>
      </c>
      <c r="N183" t="inlineStr">
        <is>
          <t>TRÚNG N2 🎯</t>
        </is>
      </c>
      <c r="O183" t="inlineStr">
        <is>
          <t>02, 04, 07, 09, 11, 13, 16, 18, 20, 25, 31, 34, 36, 39, 40, 43, 45, 48, 52, 54, 57, 59, 61, 63, 66, 68, 70, 75, 81, 84, 86, 89, 90, 93, 95, 98</t>
        </is>
      </c>
    </row>
    <row r="184">
      <c r="A184" t="n">
        <v>44</v>
      </c>
      <c r="B184" t="inlineStr">
        <is>
          <t>Thứ bảy ngày 14-02-2026</t>
        </is>
      </c>
      <c r="C184" t="inlineStr">
        <is>
          <t>Thứ Sáu</t>
        </is>
      </c>
      <c r="D184" t="inlineStr">
        <is>
          <t>90630</t>
        </is>
      </c>
      <c r="E184" t="inlineStr">
        <is>
          <t>30</t>
        </is>
      </c>
      <c r="F184" t="inlineStr">
        <is>
          <t>G7.3, G7.4</t>
        </is>
      </c>
      <c r="G184" t="inlineStr">
        <is>
          <t>Tổng 1, Tổng 3, Tổng 6, Tổng 8</t>
        </is>
      </c>
      <c r="H184" t="inlineStr">
        <is>
          <t>0123456789</t>
        </is>
      </c>
      <c r="I184" t="inlineStr">
        <is>
          <t>Tổng 8-Bóng 3</t>
        </is>
      </c>
      <c r="J184" t="n">
        <v>40</v>
      </c>
      <c r="K184" t="inlineStr">
        <is>
          <t>TRÚNG N1 🎯</t>
        </is>
      </c>
      <c r="L184" t="inlineStr">
        <is>
          <t>01, 08, 10, 17, 21, 24, 26, 30, 33, 38, 47, 49, 51, 62, 74, 80, 85, 92, 94, 97</t>
        </is>
      </c>
      <c r="M184" t="inlineStr">
        <is>
          <t>TRÚNG HỎA LỰC 🎯</t>
        </is>
      </c>
      <c r="N184" t="inlineStr">
        <is>
          <t>TRÚNG N1 🎯</t>
        </is>
      </c>
      <c r="O184" t="inlineStr">
        <is>
          <t>01, 03, 06, 08, 10, 12, 15, 17, 21, 24, 26, 29, 30, 33, 35, 38, 42, 44, 47, 49, 51, 53, 56, 58, 60, 62, 65, 67, 71, 74, 76, 79, 80, 83, 85, 88, 92, 94, 97, 99</t>
        </is>
      </c>
    </row>
    <row r="185">
      <c r="A185" t="n">
        <v>43</v>
      </c>
      <c r="B185" t="inlineStr">
        <is>
          <t>Thứ sáu ngày 13-02-2026</t>
        </is>
      </c>
      <c r="C185" t="inlineStr">
        <is>
          <t>Thứ Năm</t>
        </is>
      </c>
      <c r="D185" t="inlineStr">
        <is>
          <t>93177</t>
        </is>
      </c>
      <c r="E185" t="inlineStr">
        <is>
          <t>77</t>
        </is>
      </c>
      <c r="F185" t="inlineStr">
        <is>
          <t>G7.4, G7.1</t>
        </is>
      </c>
      <c r="G185" t="inlineStr">
        <is>
          <t>Tổng 1, Tổng 3, Tổng 4, Tổng 6, Tổng 8, Tổng 9</t>
        </is>
      </c>
      <c r="H185" t="inlineStr">
        <is>
          <t>013568</t>
        </is>
      </c>
      <c r="I185" t="inlineStr">
        <is>
          <t>Tổng 8-Bóng 3</t>
        </is>
      </c>
      <c r="J185" t="n">
        <v>44</v>
      </c>
      <c r="K185" t="inlineStr">
        <is>
          <t>TRƯỢT ❌</t>
        </is>
      </c>
      <c r="L185" t="inlineStr">
        <is>
          <t>01, 10, 17, 18, 21, 26, 30, 33, 38, 45, 51, 54, 59, 62, 63, 68, 80, 85, 86, 90</t>
        </is>
      </c>
      <c r="M185" t="inlineStr">
        <is>
          <t>TRƯỢT ❌</t>
        </is>
      </c>
      <c r="N185" t="inlineStr">
        <is>
          <t>TRÚNG N2 🎯</t>
        </is>
      </c>
      <c r="O185" t="inlineStr">
        <is>
          <t>01, 03, 04, 06, 08, 09, 10, 12, 13, 15, 17, 18, 21, 26, 30, 31, 33, 35, 36, 38, 40, 45, 51, 53, 54, 56, 58, 59, 60, 62, 63, 65, 67, 68, 71, 76, 80, 81, 83, 85, 86, 88, 90, 95</t>
        </is>
      </c>
    </row>
    <row r="186">
      <c r="A186" t="n">
        <v>42</v>
      </c>
      <c r="B186" t="inlineStr">
        <is>
          <t>Thứ năm ngày 12-02-2026</t>
        </is>
      </c>
      <c r="C186" t="inlineStr">
        <is>
          <t>Thứ Tư</t>
        </is>
      </c>
      <c r="D186" t="inlineStr">
        <is>
          <t>81475</t>
        </is>
      </c>
      <c r="E186" t="inlineStr">
        <is>
          <t>75</t>
        </is>
      </c>
      <c r="F186" t="inlineStr">
        <is>
          <t>G7.1, G7.2</t>
        </is>
      </c>
      <c r="G186" t="inlineStr">
        <is>
          <t>Tổng 1, Tổng 2, Tổng 6, Tổng 7</t>
        </is>
      </c>
      <c r="H186" t="inlineStr">
        <is>
          <t>234789</t>
        </is>
      </c>
      <c r="I186" t="inlineStr">
        <is>
          <t>Tổng 6-Bóng 1</t>
        </is>
      </c>
      <c r="J186" t="n">
        <v>28</v>
      </c>
      <c r="K186" t="inlineStr">
        <is>
          <t>TRÚNG N1 🎯</t>
        </is>
      </c>
      <c r="L186" t="inlineStr">
        <is>
          <t>02, 20, 24, 25, 33, 34, 38, 42, 47, 48, 57, 74, 79, 83, 84, 88, 89, 92, 93, 97</t>
        </is>
      </c>
      <c r="M186" t="inlineStr">
        <is>
          <t>TRƯỢT ❌</t>
        </is>
      </c>
      <c r="N186" t="inlineStr">
        <is>
          <t>TRÚNG N1 🎯</t>
        </is>
      </c>
      <c r="O186" t="inlineStr">
        <is>
          <t>02, 07, 20, 24, 25, 29, 33, 34, 38, 39, 42, 43, 47, 48, 52, 57, 70, 74, 75, 79, 83, 84, 88, 89, 92, 93, 97, 98</t>
        </is>
      </c>
    </row>
    <row r="187">
      <c r="A187" t="n">
        <v>41</v>
      </c>
      <c r="B187" t="inlineStr">
        <is>
          <t>Thứ tư ngày 11-02-2026</t>
        </is>
      </c>
      <c r="C187" t="inlineStr">
        <is>
          <t>Thứ Ba</t>
        </is>
      </c>
      <c r="D187" t="inlineStr">
        <is>
          <t>20692</t>
        </is>
      </c>
      <c r="E187" t="inlineStr">
        <is>
          <t>92</t>
        </is>
      </c>
      <c r="F187" t="inlineStr">
        <is>
          <t>G7.1, G7.4</t>
        </is>
      </c>
      <c r="G187" t="inlineStr">
        <is>
          <t>Tổng 1, Tổng 2, Tổng 4, Tổng 6, Tổng 7, Tổng 9</t>
        </is>
      </c>
      <c r="H187" t="inlineStr">
        <is>
          <t>014569</t>
        </is>
      </c>
      <c r="I187" t="inlineStr">
        <is>
          <t>Tổng 6-Bóng 1</t>
        </is>
      </c>
      <c r="J187" t="n">
        <v>52</v>
      </c>
      <c r="K187" t="inlineStr">
        <is>
          <t>TRÚNG N1 🎯</t>
        </is>
      </c>
      <c r="L187" t="inlineStr">
        <is>
          <t>01, 10, 24, 25, 45, 47, 48, 51, 54, 59, 61, 63, 68, 74, 86, 89, 90, 92, 93, 97</t>
        </is>
      </c>
      <c r="M187" t="inlineStr">
        <is>
          <t>TRÚNG HỎA LỰC 🎯</t>
        </is>
      </c>
      <c r="N187" t="inlineStr">
        <is>
          <t>TRÚNG N1 🎯</t>
        </is>
      </c>
      <c r="O187" t="inlineStr">
        <is>
          <t>01, 02, 04, 06, 07, 09, 10, 11, 13, 15, 16, 18, 20, 24, 25, 29, 31, 34, 36, 39, 40, 42, 43, 45, 47, 48, 51, 52, 54, 56, 57, 59, 60, 61, 63, 65, 66, 68, 70, 74, 75, 79, 81, 84, 86, 89, 90, 92, 93, 95, 97, 98</t>
        </is>
      </c>
    </row>
    <row r="188">
      <c r="A188" t="n">
        <v>40</v>
      </c>
      <c r="B188" t="inlineStr">
        <is>
          <t>Thứ ba ngày 10-02-2026</t>
        </is>
      </c>
      <c r="C188" t="inlineStr">
        <is>
          <t>Thứ Hai</t>
        </is>
      </c>
      <c r="D188" t="inlineStr">
        <is>
          <t>65390</t>
        </is>
      </c>
      <c r="E188" t="inlineStr">
        <is>
          <t>90</t>
        </is>
      </c>
      <c r="F188" t="inlineStr">
        <is>
          <t>G7.3, G7.1</t>
        </is>
      </c>
      <c r="G188" t="inlineStr">
        <is>
          <t>Tổng 0, Tổng 3, Tổng 5, Tổng 8</t>
        </is>
      </c>
      <c r="H188" t="inlineStr">
        <is>
          <t>01245679</t>
        </is>
      </c>
      <c r="I188" t="inlineStr">
        <is>
          <t>Tổng 8-Bóng 3</t>
        </is>
      </c>
      <c r="J188" t="n">
        <v>40</v>
      </c>
      <c r="K188" t="inlineStr">
        <is>
          <t>TRƯỢT ❌</t>
        </is>
      </c>
      <c r="L188" t="inlineStr">
        <is>
          <t>05, 08, 14, 17, 21, 23, 26, 28, 30, 49, 50, 53, 58, 62, 69, 78, 80, 85, 94, 99</t>
        </is>
      </c>
      <c r="M188" t="inlineStr">
        <is>
          <t>TRƯỢT ❌</t>
        </is>
      </c>
      <c r="N188" t="inlineStr">
        <is>
          <t>TRƯỢT KHUNG ❌</t>
        </is>
      </c>
      <c r="O188" t="inlineStr">
        <is>
          <t>00, 03, 05, 08, 12, 14, 17, 19, 21, 23, 26, 28, 30, 32, 35, 37, 41, 44, 46, 49, 50, 53, 55, 58, 62, 64, 67, 69, 71, 73, 76, 78, 80, 82, 85, 87, 91, 94, 96, 99</t>
        </is>
      </c>
    </row>
    <row r="189">
      <c r="A189" t="n">
        <v>39</v>
      </c>
      <c r="B189" t="inlineStr">
        <is>
          <t>Thứ hai ngày 09-02-2026</t>
        </is>
      </c>
      <c r="C189" t="inlineStr">
        <is>
          <t>Chủ Nhật</t>
        </is>
      </c>
      <c r="D189" t="inlineStr">
        <is>
          <t>05901</t>
        </is>
      </c>
      <c r="E189" t="inlineStr">
        <is>
          <t>01</t>
        </is>
      </c>
      <c r="F189" t="inlineStr">
        <is>
          <t>G7.3, G7.1</t>
        </is>
      </c>
      <c r="G189" t="inlineStr">
        <is>
          <t>Tổng 1, Tổng 2, Tổng 3, Tổng 6, Tổng 7, Tổng 8</t>
        </is>
      </c>
      <c r="H189" t="inlineStr">
        <is>
          <t>01345689</t>
        </is>
      </c>
      <c r="I189" t="inlineStr">
        <is>
          <t>Tổng 7-Bóng 2</t>
        </is>
      </c>
      <c r="J189" t="n">
        <v>60</v>
      </c>
      <c r="K189" t="inlineStr">
        <is>
          <t>TRÚNG N1 🎯</t>
        </is>
      </c>
      <c r="L189" t="inlineStr">
        <is>
          <t>17, 21, 24, 25, 30, 33, 38, 47, 48, 49, 51, 61, 62, 74, 80, 85, 89, 93, 94, 97</t>
        </is>
      </c>
      <c r="M189" t="inlineStr">
        <is>
          <t>TRƯỢT ❌</t>
        </is>
      </c>
      <c r="N189" t="inlineStr">
        <is>
          <t>TRÚNG N1 🎯</t>
        </is>
      </c>
      <c r="O189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90">
      <c r="A190" t="n">
        <v>38</v>
      </c>
      <c r="B190" t="inlineStr">
        <is>
          <t>Chủ nhật ngày 08-02-2026</t>
        </is>
      </c>
      <c r="C190" t="inlineStr">
        <is>
          <t>Thứ Bảy</t>
        </is>
      </c>
      <c r="D190" t="inlineStr">
        <is>
          <t>57977</t>
        </is>
      </c>
      <c r="E190" t="inlineStr">
        <is>
          <t>77</t>
        </is>
      </c>
      <c r="F190" t="inlineStr">
        <is>
          <t>G7.3, G7.4</t>
        </is>
      </c>
      <c r="G190" t="inlineStr">
        <is>
          <t>Tổng 2, Tổng 4, Tổng 7, Tổng 9</t>
        </is>
      </c>
      <c r="H190" t="inlineStr">
        <is>
          <t>12346789</t>
        </is>
      </c>
      <c r="I190" t="inlineStr">
        <is>
          <t>Tổng 2-Bóng 7</t>
        </is>
      </c>
      <c r="J190" t="n">
        <v>40</v>
      </c>
      <c r="K190" t="inlineStr">
        <is>
          <t>TRÚNG N1 🎯</t>
        </is>
      </c>
      <c r="L190" t="inlineStr">
        <is>
          <t>18, 20, 22, 25, 27, 34, 36, 40, 45, 48, 54, 59, 61, 63, 68, 77, 84, 86, 89, 93</t>
        </is>
      </c>
      <c r="M190" t="inlineStr">
        <is>
          <t>TRÚNG HỎA LỰC 🎯</t>
        </is>
      </c>
      <c r="N190" t="inlineStr">
        <is>
          <t>TRÚNG N1 🎯</t>
        </is>
      </c>
      <c r="O190" t="inlineStr">
        <is>
          <t>02, 04, 07, 09, 11, 13, 16, 18, 20, 22, 25, 27, 31, 34, 36, 39, 40, 43, 45, 48, 52, 54, 57, 59, 61, 63, 66, 68, 70, 72, 75, 77, 81, 84, 86, 89, 90, 93, 95, 98</t>
        </is>
      </c>
    </row>
    <row r="191">
      <c r="A191" t="n">
        <v>37</v>
      </c>
      <c r="B191" t="inlineStr">
        <is>
          <t>Thứ bảy ngày 07-02-2026</t>
        </is>
      </c>
      <c r="C191" t="inlineStr">
        <is>
          <t>Thứ Sáu</t>
        </is>
      </c>
      <c r="D191" t="inlineStr">
        <is>
          <t>38385</t>
        </is>
      </c>
      <c r="E191" t="inlineStr">
        <is>
          <t>85</t>
        </is>
      </c>
      <c r="F191" t="inlineStr">
        <is>
          <t>G7.4, G7.1</t>
        </is>
      </c>
      <c r="G191" t="inlineStr">
        <is>
          <t>Tổng 0, Tổng 5</t>
        </is>
      </c>
      <c r="H191" t="inlineStr">
        <is>
          <t>013568</t>
        </is>
      </c>
      <c r="I191" t="inlineStr">
        <is>
          <t>Tổng 0-Bóng 5</t>
        </is>
      </c>
      <c r="J191" t="n">
        <v>20</v>
      </c>
      <c r="K191" t="inlineStr">
        <is>
          <t>TRƯỢT ❌</t>
        </is>
      </c>
      <c r="L191" t="inlineStr">
        <is>
          <t>00, 05, 14, 19, 23, 28, 32, 37, 41, 46, 50, 55, 64, 69, 73, 78, 82, 87, 91, 96</t>
        </is>
      </c>
      <c r="M191" t="inlineStr">
        <is>
          <t>TRƯỢT ❌</t>
        </is>
      </c>
      <c r="N191" t="inlineStr">
        <is>
          <t>TRƯỢT KHUNG ❌</t>
        </is>
      </c>
      <c r="O191" t="inlineStr">
        <is>
          <t>00, 05, 14, 19, 23, 28, 32, 37, 41, 46, 50, 55, 64, 69, 73, 78, 82, 87, 91, 96</t>
        </is>
      </c>
    </row>
    <row r="192">
      <c r="A192" t="n">
        <v>36</v>
      </c>
      <c r="B192" t="inlineStr">
        <is>
          <t>Thứ sáu ngày 06-02-2026</t>
        </is>
      </c>
      <c r="C192" t="inlineStr">
        <is>
          <t>Thứ Năm</t>
        </is>
      </c>
      <c r="D192" t="inlineStr">
        <is>
          <t>06133</t>
        </is>
      </c>
      <c r="E192" t="inlineStr">
        <is>
          <t>33</t>
        </is>
      </c>
      <c r="F192" t="inlineStr">
        <is>
          <t>G7.1, G7.4</t>
        </is>
      </c>
      <c r="G192" t="inlineStr">
        <is>
          <t>Tổng 2, Tổng 3, Tổng 7, Tổng 8</t>
        </is>
      </c>
      <c r="H192" t="inlineStr">
        <is>
          <t>023578</t>
        </is>
      </c>
      <c r="I192" t="inlineStr">
        <is>
          <t>Tổng 2-Bóng 7</t>
        </is>
      </c>
      <c r="J192" t="n">
        <v>32</v>
      </c>
      <c r="K192" t="inlineStr">
        <is>
          <t>TRƯỢT ❌</t>
        </is>
      </c>
      <c r="L192" t="inlineStr">
        <is>
          <t>02, 08, 12, 17, 20, 21, 25, 26, 30, 34, 48, 53, 57, 58, 62, 76, 80, 84, 89, 93</t>
        </is>
      </c>
      <c r="M192" t="inlineStr">
        <is>
          <t>TRƯỢT ❌</t>
        </is>
      </c>
      <c r="N192" t="inlineStr">
        <is>
          <t>TRÚNG N2 🎯</t>
        </is>
      </c>
      <c r="O192" t="inlineStr">
        <is>
          <t>02, 03, 07, 08, 12, 17, 20, 21, 25, 26, 30, 34, 35, 39, 43, 48, 52, 53, 57, 58, 62, 67, 70, 71, 75, 76, 80, 84, 85, 89, 93, 98</t>
        </is>
      </c>
    </row>
    <row r="193">
      <c r="A193" t="n">
        <v>35</v>
      </c>
      <c r="B193" t="inlineStr">
        <is>
          <t>Thứ năm ngày 05-02-2026</t>
        </is>
      </c>
      <c r="C193" t="inlineStr">
        <is>
          <t>Thứ Tư</t>
        </is>
      </c>
      <c r="D193" t="inlineStr">
        <is>
          <t>10268</t>
        </is>
      </c>
      <c r="E193" t="inlineStr">
        <is>
          <t>68</t>
        </is>
      </c>
      <c r="F193" t="inlineStr">
        <is>
          <t>G7.1, G7.2</t>
        </is>
      </c>
      <c r="G193" t="inlineStr">
        <is>
          <t>Tổng 1, Tổng 4, Tổng 6, Tổng 9</t>
        </is>
      </c>
      <c r="H193" t="inlineStr">
        <is>
          <t>013568</t>
        </is>
      </c>
      <c r="I193" t="inlineStr">
        <is>
          <t>Tổng 4-Bóng 9</t>
        </is>
      </c>
      <c r="J193" t="n">
        <v>28</v>
      </c>
      <c r="K193" t="inlineStr">
        <is>
          <t>TRÚNG N1 🎯</t>
        </is>
      </c>
      <c r="L193" t="inlineStr">
        <is>
          <t>01, 06, 09, 10, 18, 33, 36, 38, 40, 45, 51, 54, 59, 63, 68, 81, 83, 86, 88, 90</t>
        </is>
      </c>
      <c r="M193" t="inlineStr">
        <is>
          <t>TRÚNG HỎA LỰC 🎯</t>
        </is>
      </c>
      <c r="N193" t="inlineStr">
        <is>
          <t>TRÚNG N1 🎯</t>
        </is>
      </c>
      <c r="O193" t="inlineStr">
        <is>
          <t>01, 04, 06, 09, 10, 13, 15, 18, 31, 33, 36, 38, 40, 45, 51, 54, 56, 59, 60, 63, 65, 68, 81, 83, 86, 88, 90, 95</t>
        </is>
      </c>
    </row>
    <row r="194">
      <c r="A194" t="n">
        <v>34</v>
      </c>
      <c r="B194" t="inlineStr">
        <is>
          <t>Thứ tư ngày 04-02-2026</t>
        </is>
      </c>
      <c r="C194" t="inlineStr">
        <is>
          <t>Thứ Ba</t>
        </is>
      </c>
      <c r="D194" t="inlineStr">
        <is>
          <t>06517</t>
        </is>
      </c>
      <c r="E194" t="inlineStr">
        <is>
          <t>17</t>
        </is>
      </c>
      <c r="F194" t="inlineStr">
        <is>
          <t>G7.1, G7.2</t>
        </is>
      </c>
      <c r="G194" t="inlineStr">
        <is>
          <t>Tổng 0, Tổng 2, Tổng 5, Tổng 7</t>
        </is>
      </c>
      <c r="H194" t="inlineStr">
        <is>
          <t>12346789</t>
        </is>
      </c>
      <c r="I194" t="inlineStr">
        <is>
          <t>Tổng 0-Bóng 5</t>
        </is>
      </c>
      <c r="J194" t="n">
        <v>36</v>
      </c>
      <c r="K194" t="inlineStr">
        <is>
          <t>TRƯỢT ❌</t>
        </is>
      </c>
      <c r="L194" t="inlineStr">
        <is>
          <t>02, 14, 19, 20, 23, 25, 28, 32, 34, 48, 57, 61, 64, 69, 73, 78, 84, 89, 93, 96</t>
        </is>
      </c>
      <c r="M194" t="inlineStr">
        <is>
          <t>TRƯỢT ❌</t>
        </is>
      </c>
      <c r="N194" t="inlineStr">
        <is>
          <t>TRƯỢT KHUNG ❌</t>
        </is>
      </c>
      <c r="O194" t="inlineStr">
        <is>
          <t>02, 07, 11, 14, 16, 19, 20, 23, 25, 28, 32, 34, 37, 39, 41, 43, 46, 48, 52, 57, 61, 64, 66, 69, 70, 73, 75, 78, 82, 84, 87, 89, 91, 93, 96, 98</t>
        </is>
      </c>
    </row>
    <row r="195">
      <c r="A195" t="n">
        <v>33</v>
      </c>
      <c r="B195" t="inlineStr">
        <is>
          <t>Thứ ba ngày 03-02-2026</t>
        </is>
      </c>
      <c r="C195" t="inlineStr">
        <is>
          <t>Thứ Hai</t>
        </is>
      </c>
      <c r="D195" t="inlineStr">
        <is>
          <t>97648</t>
        </is>
      </c>
      <c r="E195" t="inlineStr">
        <is>
          <t>48</t>
        </is>
      </c>
      <c r="F195" t="inlineStr">
        <is>
          <t>G7.1, G7.2</t>
        </is>
      </c>
      <c r="G195" t="inlineStr">
        <is>
          <t>Tổng 0, Tổng 2, Tổng 3, Tổng 5, Tổng 7, Tổng 8</t>
        </is>
      </c>
      <c r="H195" t="inlineStr">
        <is>
          <t>0123456789</t>
        </is>
      </c>
      <c r="I195" t="inlineStr">
        <is>
          <t>Tổng 8-Bóng 3</t>
        </is>
      </c>
      <c r="J195" t="n">
        <v>60</v>
      </c>
      <c r="K195" t="inlineStr">
        <is>
          <t>TRÚNG N1 🎯</t>
        </is>
      </c>
      <c r="L195" t="inlineStr">
        <is>
          <t>05, 14, 17, 21, 23, 25, 26, 28, 30, 48, 49, 50, 61, 62, 69, 78, 80, 89, 93, 94</t>
        </is>
      </c>
      <c r="M195" t="inlineStr">
        <is>
          <t>TRÚNG HỎA LỰC 🎯</t>
        </is>
      </c>
      <c r="N195" t="inlineStr">
        <is>
          <t>TRÚNG N1 🎯</t>
        </is>
      </c>
      <c r="O195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96">
      <c r="A196" t="n">
        <v>32</v>
      </c>
      <c r="B196" t="inlineStr">
        <is>
          <t>Thứ hai ngày 02-02-2026</t>
        </is>
      </c>
      <c r="C196" t="inlineStr">
        <is>
          <t>Chủ Nhật</t>
        </is>
      </c>
      <c r="D196" t="inlineStr">
        <is>
          <t>73461</t>
        </is>
      </c>
      <c r="E196" t="inlineStr">
        <is>
          <t>61</t>
        </is>
      </c>
      <c r="F196" t="inlineStr">
        <is>
          <t>G7.3, G7.1</t>
        </is>
      </c>
      <c r="G196" t="inlineStr">
        <is>
          <t>Tổng 0, Tổng 1, Tổng 3, Tổng 5, Tổng 6, Tổng 8</t>
        </is>
      </c>
      <c r="H196" t="inlineStr">
        <is>
          <t>02345789</t>
        </is>
      </c>
      <c r="I196" t="inlineStr">
        <is>
          <t>Tổng 0-Bóng 5</t>
        </is>
      </c>
      <c r="J196" t="n">
        <v>60</v>
      </c>
      <c r="K196" t="inlineStr">
        <is>
          <t>TRƯỢT ❌</t>
        </is>
      </c>
      <c r="L196" t="inlineStr">
        <is>
          <t>05, 10, 14, 17, 21, 23, 24, 28, 30, 38, 47, 49, 51, 62, 74, 78, 80, 92, 94, 97</t>
        </is>
      </c>
      <c r="M196" t="inlineStr">
        <is>
          <t>TRƯỢT ❌</t>
        </is>
      </c>
      <c r="N196" t="inlineStr">
        <is>
          <t>TRÚNG N3 🎯</t>
        </is>
      </c>
      <c r="O196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197">
      <c r="A197" t="n">
        <v>31</v>
      </c>
      <c r="B197" t="inlineStr">
        <is>
          <t>Chủ nhật ngày 01-02-2026</t>
        </is>
      </c>
      <c r="C197" t="inlineStr">
        <is>
          <t>Thứ Bảy</t>
        </is>
      </c>
      <c r="D197" t="inlineStr">
        <is>
          <t>01377</t>
        </is>
      </c>
      <c r="E197" t="inlineStr">
        <is>
          <t>77</t>
        </is>
      </c>
      <c r="F197" t="inlineStr">
        <is>
          <t>G7.4, G7.1</t>
        </is>
      </c>
      <c r="G197" t="inlineStr">
        <is>
          <t>Tổng 1, Tổng 4, Tổng 6, Tổng 9</t>
        </is>
      </c>
      <c r="H197" t="inlineStr">
        <is>
          <t>01245679</t>
        </is>
      </c>
      <c r="I197" t="inlineStr">
        <is>
          <t>Tổng 4-Bóng 9</t>
        </is>
      </c>
      <c r="J197" t="n">
        <v>36</v>
      </c>
      <c r="K197" t="inlineStr">
        <is>
          <t>TRÚNG N1 🎯</t>
        </is>
      </c>
      <c r="L197" t="inlineStr">
        <is>
          <t>06, 10, 18, 22, 24, 27, 36, 40, 42, 45, 47, 51, 54, 59, 63, 68, 74, 86, 92, 97</t>
        </is>
      </c>
      <c r="M197" t="inlineStr">
        <is>
          <t>TRƯỢT ❌</t>
        </is>
      </c>
      <c r="N197" t="inlineStr">
        <is>
          <t>TRÚNG N1 🎯</t>
        </is>
      </c>
      <c r="O197" t="inlineStr">
        <is>
          <t>01, 04, 06, 09, 10, 13, 15, 18, 22, 24, 27, 29, 31, 36, 40, 42, 45, 47, 51, 54, 56, 59, 60, 63, 65, 68, 72, 74, 77, 79, 81, 86, 90, 92, 95, 97</t>
        </is>
      </c>
    </row>
    <row r="198">
      <c r="A198" t="n">
        <v>30</v>
      </c>
      <c r="B198" t="inlineStr">
        <is>
          <t>Thứ bảy ngày 31-01-2026</t>
        </is>
      </c>
      <c r="C198" t="inlineStr">
        <is>
          <t>Thứ Sáu</t>
        </is>
      </c>
      <c r="D198" t="inlineStr">
        <is>
          <t>42754</t>
        </is>
      </c>
      <c r="E198" t="inlineStr">
        <is>
          <t>54</t>
        </is>
      </c>
      <c r="F198" t="inlineStr">
        <is>
          <t>G7.4, G7.1</t>
        </is>
      </c>
      <c r="G198" t="inlineStr">
        <is>
          <t>Tổng 1, Tổng 3, Tổng 4, Tổng 6, Tổng 8, Tổng 9</t>
        </is>
      </c>
      <c r="H198" t="inlineStr">
        <is>
          <t>01235678</t>
        </is>
      </c>
      <c r="I198" t="inlineStr">
        <is>
          <t>Tổng 1-Bóng 6</t>
        </is>
      </c>
      <c r="J198" t="n">
        <v>56</v>
      </c>
      <c r="K198" t="inlineStr">
        <is>
          <t>TRÚNG N1 🎯</t>
        </is>
      </c>
      <c r="L198" t="inlineStr">
        <is>
          <t>10, 17, 21, 22, 24, 27, 30, 38, 45, 47, 51, 59, 62, 63, 68, 74, 80, 86, 92, 97</t>
        </is>
      </c>
      <c r="M198" t="inlineStr">
        <is>
          <t>TRƯỢT ❌</t>
        </is>
      </c>
      <c r="N198" t="inlineStr">
        <is>
          <t>TRÚNG N1 🎯</t>
        </is>
      </c>
      <c r="O198" t="inlineStr">
        <is>
          <t>01, 03, 04, 06, 08, 09, 10, 12, 13, 15, 17, 18, 21, 22, 24, 26, 27, 29, 30, 31, 33, 35, 36, 38, 40, 42, 45, 47, 51, 53, 54, 56, 58, 59, 60, 62, 63, 65, 67, 68, 71, 72, 74, 76, 77, 79, 80, 81, 83, 85, 86, 88, 90, 92, 95, 97</t>
        </is>
      </c>
    </row>
    <row r="199">
      <c r="A199" t="n">
        <v>29</v>
      </c>
      <c r="B199" t="inlineStr">
        <is>
          <t>Thứ sáu ngày 30-01-2026</t>
        </is>
      </c>
      <c r="C199" t="inlineStr">
        <is>
          <t>Thứ Năm</t>
        </is>
      </c>
      <c r="D199" t="inlineStr">
        <is>
          <t>32845</t>
        </is>
      </c>
      <c r="E199" t="inlineStr">
        <is>
          <t>45</t>
        </is>
      </c>
      <c r="F199" t="inlineStr">
        <is>
          <t>G7.4, G7.1</t>
        </is>
      </c>
      <c r="G199" t="inlineStr">
        <is>
          <t>Tổng 0, Tổng 4, Tổng 5, Tổng 9</t>
        </is>
      </c>
      <c r="H199" t="inlineStr">
        <is>
          <t>01235678</t>
        </is>
      </c>
      <c r="I199" t="inlineStr">
        <is>
          <t>Tổng 0-Bóng 5</t>
        </is>
      </c>
      <c r="J199" t="n">
        <v>40</v>
      </c>
      <c r="K199" t="inlineStr">
        <is>
          <t>TRÚNG N1 🎯</t>
        </is>
      </c>
      <c r="L199" t="inlineStr">
        <is>
          <t>05, 14, 18, 19, 22, 23, 27, 28, 32, 36, 40, 45, 50, 59, 63, 68, 69, 78, 86, 90</t>
        </is>
      </c>
      <c r="M199" t="inlineStr">
        <is>
          <t>TRÚNG HỎA LỰC 🎯</t>
        </is>
      </c>
      <c r="N199" t="inlineStr">
        <is>
          <t>TRÚNG N1 🎯</t>
        </is>
      </c>
      <c r="O199" t="inlineStr">
        <is>
          <t>00, 04, 05, 09, 13, 14, 18, 19, 22, 23, 27, 28, 31, 32, 36, 37, 40, 41, 45, 46, 50, 54, 55, 59, 63, 64, 68, 69, 72, 73, 77, 78, 81, 82, 86, 87, 90, 91, 95, 96</t>
        </is>
      </c>
    </row>
    <row r="200">
      <c r="A200" t="n">
        <v>28</v>
      </c>
      <c r="B200" t="inlineStr">
        <is>
          <t>Thứ năm ngày 29-01-2026</t>
        </is>
      </c>
      <c r="C200" t="inlineStr">
        <is>
          <t>Thứ Tư</t>
        </is>
      </c>
      <c r="D200" t="inlineStr">
        <is>
          <t>38814</t>
        </is>
      </c>
      <c r="E200" t="inlineStr">
        <is>
          <t>14</t>
        </is>
      </c>
      <c r="F200" t="inlineStr">
        <is>
          <t>G7.2, G7.4</t>
        </is>
      </c>
      <c r="G200" t="inlineStr">
        <is>
          <t>Tổng 1, Tổng 4, Tổng 6, Tổng 9</t>
        </is>
      </c>
      <c r="H200" t="inlineStr">
        <is>
          <t>124679</t>
        </is>
      </c>
      <c r="I200" t="inlineStr">
        <is>
          <t>Tổng 4-Bóng 9</t>
        </is>
      </c>
      <c r="J200" t="n">
        <v>36</v>
      </c>
      <c r="K200" t="inlineStr">
        <is>
          <t>TRƯỢT ❌</t>
        </is>
      </c>
      <c r="L200" t="inlineStr">
        <is>
          <t>06, 10, 18, 22, 24, 27, 36, 40, 42, 45, 47, 51, 59, 63, 68, 74, 86, 90, 92, 97</t>
        </is>
      </c>
      <c r="M200" t="inlineStr">
        <is>
          <t>TRƯỢT ❌</t>
        </is>
      </c>
      <c r="N200" t="inlineStr">
        <is>
          <t>TRÚNG N2 🎯</t>
        </is>
      </c>
      <c r="O200" t="inlineStr">
        <is>
          <t>01, 04, 06, 09, 10, 13, 15, 18, 22, 24, 27, 29, 31, 36, 40, 42, 45, 47, 51, 54, 56, 59, 60, 63, 65, 68, 72, 74, 77, 79, 81, 86, 90, 92, 95, 97</t>
        </is>
      </c>
    </row>
    <row r="201">
      <c r="A201" t="n">
        <v>27</v>
      </c>
      <c r="B201" t="inlineStr">
        <is>
          <t>Thứ tư ngày 28-01-2026</t>
        </is>
      </c>
      <c r="C201" t="inlineStr">
        <is>
          <t>Thứ Ba</t>
        </is>
      </c>
      <c r="D201" t="inlineStr">
        <is>
          <t>24121</t>
        </is>
      </c>
      <c r="E201" t="inlineStr">
        <is>
          <t>21</t>
        </is>
      </c>
      <c r="F201" t="inlineStr">
        <is>
          <t>G7.1, G7.2</t>
        </is>
      </c>
      <c r="G201" t="inlineStr">
        <is>
          <t>Tổng 2, Tổng 3, Tổng 4, Tổng 7, Tổng 8, Tổng 9</t>
        </is>
      </c>
      <c r="H201" t="inlineStr">
        <is>
          <t>012567</t>
        </is>
      </c>
      <c r="I201" t="inlineStr">
        <is>
          <t>Tổng 3-Bóng 8</t>
        </is>
      </c>
      <c r="J201" t="n">
        <v>48</v>
      </c>
      <c r="K201" t="inlineStr">
        <is>
          <t>TRÚNG N1 🎯</t>
        </is>
      </c>
      <c r="L201" t="inlineStr">
        <is>
          <t>08, 17, 18, 20, 21, 22, 25, 26, 27, 30, 36, 40, 53, 58, 59, 62, 63, 68, 80, 86</t>
        </is>
      </c>
      <c r="M201" t="inlineStr">
        <is>
          <t>TRÚNG HỎA LỰC 🎯</t>
        </is>
      </c>
      <c r="N201" t="inlineStr">
        <is>
          <t>TRÚNG N1 🎯</t>
        </is>
      </c>
      <c r="O201" t="inlineStr">
        <is>
          <t>02, 03, 04, 07, 08, 09, 11, 12, 13, 16, 17, 18, 20, 21, 22, 25, 26, 27, 30, 31, 35, 36, 40, 45, 52, 53, 54, 57, 58, 59, 61, 62, 63, 66, 67, 68, 70, 71, 72, 75, 76, 77, 80, 81, 85, 86, 90, 95</t>
        </is>
      </c>
    </row>
    <row r="202">
      <c r="A202" t="n">
        <v>26</v>
      </c>
      <c r="B202" t="inlineStr">
        <is>
          <t>Thứ ba ngày 27-01-2026</t>
        </is>
      </c>
      <c r="C202" t="inlineStr">
        <is>
          <t>Thứ Hai</t>
        </is>
      </c>
      <c r="D202" t="inlineStr">
        <is>
          <t>39380</t>
        </is>
      </c>
      <c r="E202" t="inlineStr">
        <is>
          <t>80</t>
        </is>
      </c>
      <c r="F202" t="inlineStr">
        <is>
          <t>G7.1, G7.2</t>
        </is>
      </c>
      <c r="G202" t="inlineStr">
        <is>
          <t>Tổng 1, Tổng 3, Tổng 6, Tổng 8</t>
        </is>
      </c>
      <c r="H202" t="inlineStr">
        <is>
          <t>01235678</t>
        </is>
      </c>
      <c r="I202" t="inlineStr">
        <is>
          <t>Tổng 1-Bóng 6</t>
        </is>
      </c>
      <c r="J202" t="n">
        <v>36</v>
      </c>
      <c r="K202" t="inlineStr">
        <is>
          <t>TRÚNG N1 🎯</t>
        </is>
      </c>
      <c r="L202" t="inlineStr">
        <is>
          <t>06, 08, 10, 17, 21, 24, 26, 30, 38, 42, 47, 51, 53, 58, 62, 74, 80, 83, 92, 97</t>
        </is>
      </c>
      <c r="M202" t="inlineStr">
        <is>
          <t>TRÚNG HỎA LỰC 🎯</t>
        </is>
      </c>
      <c r="N202" t="inlineStr">
        <is>
          <t>TRÚNG N1 🎯</t>
        </is>
      </c>
      <c r="O202" t="inlineStr">
        <is>
          <t>01, 03, 06, 08, 10, 12, 15, 17, 21, 24, 26, 29, 30, 33, 35, 38, 42, 47, 51, 53, 56, 58, 60, 62, 65, 67, 71, 74, 76, 79, 80, 83, 85, 88, 92, 97</t>
        </is>
      </c>
    </row>
    <row r="203">
      <c r="A203" t="n">
        <v>25</v>
      </c>
      <c r="B203" t="inlineStr">
        <is>
          <t>Thứ hai ngày 26-01-2026</t>
        </is>
      </c>
      <c r="C203" t="inlineStr">
        <is>
          <t>Chủ Nhật</t>
        </is>
      </c>
      <c r="D203" t="inlineStr">
        <is>
          <t>00974</t>
        </is>
      </c>
      <c r="E203" t="inlineStr">
        <is>
          <t>74</t>
        </is>
      </c>
      <c r="F203" t="inlineStr">
        <is>
          <t>G7.1, G7.3</t>
        </is>
      </c>
      <c r="G203" t="inlineStr">
        <is>
          <t>Tổng 1, Tổng 4, Tổng 6, Tổng 9</t>
        </is>
      </c>
      <c r="H203" t="inlineStr">
        <is>
          <t>12346789</t>
        </is>
      </c>
      <c r="I203" t="inlineStr">
        <is>
          <t>Tổng 6-Bóng 1</t>
        </is>
      </c>
      <c r="J203" t="n">
        <v>40</v>
      </c>
      <c r="K203" t="inlineStr">
        <is>
          <t>TRÚNG N1 🎯</t>
        </is>
      </c>
      <c r="L203" t="inlineStr">
        <is>
          <t>06, 10, 18, 22, 24, 27, 36, 38, 40, 42, 47, 51, 59, 63, 68, 83, 86, 88, 92, 97</t>
        </is>
      </c>
      <c r="M203" t="inlineStr">
        <is>
          <t>TRƯỢT ❌</t>
        </is>
      </c>
      <c r="N203" t="inlineStr">
        <is>
          <t>TRÚNG N1 🎯</t>
        </is>
      </c>
      <c r="O203" t="inlineStr">
        <is>
          <t>01, 04, 06, 09, 10, 13, 15, 18, 22, 24, 27, 29, 31, 33, 36, 38, 40, 42, 45, 47, 51, 54, 56, 59, 60, 63, 65, 68, 72, 74, 77, 79, 81, 83, 86, 88, 90, 92, 95, 97</t>
        </is>
      </c>
    </row>
    <row r="204">
      <c r="A204" t="n">
        <v>24</v>
      </c>
      <c r="B204" t="inlineStr">
        <is>
          <t>Chủ nhật ngày 25-01-2026</t>
        </is>
      </c>
      <c r="C204" t="inlineStr">
        <is>
          <t>Thứ Bảy</t>
        </is>
      </c>
      <c r="D204" t="inlineStr">
        <is>
          <t>08230</t>
        </is>
      </c>
      <c r="E204" t="inlineStr">
        <is>
          <t>30</t>
        </is>
      </c>
      <c r="F204" t="inlineStr">
        <is>
          <t>G7.4, G7.1</t>
        </is>
      </c>
      <c r="G204" t="inlineStr">
        <is>
          <t>Tổng 1, Tổng 2, Tổng 6, Tổng 7</t>
        </is>
      </c>
      <c r="H204" t="inlineStr">
        <is>
          <t>01345689</t>
        </is>
      </c>
      <c r="I204" t="inlineStr">
        <is>
          <t>Tổng 1-Bóng 6</t>
        </is>
      </c>
      <c r="J204" t="n">
        <v>40</v>
      </c>
      <c r="K204" t="inlineStr">
        <is>
          <t>TRƯỢT ❌</t>
        </is>
      </c>
      <c r="L204" t="inlineStr">
        <is>
          <t>02, 06, 10, 20, 24, 25, 34, 38, 42, 47, 48, 51, 74, 83, 84, 88, 89, 92, 93, 97</t>
        </is>
      </c>
      <c r="M204" t="inlineStr">
        <is>
          <t>TRƯỢT ❌</t>
        </is>
      </c>
      <c r="N204" t="inlineStr">
        <is>
          <t>TRÚNG N2 🎯</t>
        </is>
      </c>
      <c r="O204" t="inlineStr">
        <is>
          <t>01, 02, 06, 07, 10, 11, 15, 16, 20, 24, 25, 29, 33, 34, 38, 39, 42, 43, 47, 48, 51, 52, 56, 57, 60, 61, 65, 66, 70, 74, 75, 79, 83, 84, 88, 89, 92, 93, 97, 98</t>
        </is>
      </c>
    </row>
    <row r="205">
      <c r="A205" t="n">
        <v>23</v>
      </c>
      <c r="B205" t="inlineStr">
        <is>
          <t>Thứ bảy ngày 24-01-2026</t>
        </is>
      </c>
      <c r="C205" t="inlineStr">
        <is>
          <t>Thứ Sáu</t>
        </is>
      </c>
      <c r="D205" t="inlineStr">
        <is>
          <t>52062</t>
        </is>
      </c>
      <c r="E205" t="inlineStr">
        <is>
          <t>62</t>
        </is>
      </c>
      <c r="F205" t="inlineStr">
        <is>
          <t>G7.4, G7.2</t>
        </is>
      </c>
      <c r="G205" t="inlineStr">
        <is>
          <t>Tổng 0, Tổng 1, Tổng 2, Tổng 5, Tổng 6, Tổng 7</t>
        </is>
      </c>
      <c r="H205" t="inlineStr">
        <is>
          <t>0123456789</t>
        </is>
      </c>
      <c r="I205" t="inlineStr">
        <is>
          <t>Tổng 7-Bóng 2</t>
        </is>
      </c>
      <c r="J205" t="n">
        <v>60</v>
      </c>
      <c r="K205" t="inlineStr">
        <is>
          <t>TRƯỢT ❌</t>
        </is>
      </c>
      <c r="L205" t="inlineStr">
        <is>
          <t>05, 10, 20, 23, 24, 25, 28, 34, 38, 42, 47, 48, 50, 51, 69, 78, 89, 92, 93, 97</t>
        </is>
      </c>
      <c r="M205" t="inlineStr">
        <is>
          <t>TRƯỢT ❌</t>
        </is>
      </c>
      <c r="N205" t="inlineStr">
        <is>
          <t>TRÚNG N3 🎯</t>
        </is>
      </c>
      <c r="O205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206">
      <c r="A206" t="n">
        <v>22</v>
      </c>
      <c r="B206" t="inlineStr">
        <is>
          <t>Thứ sáu ngày 23-01-2026</t>
        </is>
      </c>
      <c r="C206" t="inlineStr">
        <is>
          <t>Thứ Năm</t>
        </is>
      </c>
      <c r="D206" t="inlineStr">
        <is>
          <t>57022</t>
        </is>
      </c>
      <c r="E206" t="inlineStr">
        <is>
          <t>22</t>
        </is>
      </c>
      <c r="F206" t="inlineStr">
        <is>
          <t>G7.4, G7.1</t>
        </is>
      </c>
      <c r="G206" t="inlineStr">
        <is>
          <t>Tổng 2, Tổng 3, Tổng 7, Tổng 8</t>
        </is>
      </c>
      <c r="H206" t="inlineStr">
        <is>
          <t>01345689</t>
        </is>
      </c>
      <c r="I206" t="inlineStr">
        <is>
          <t>Tổng 8-Bóng 3</t>
        </is>
      </c>
      <c r="J206" t="n">
        <v>40</v>
      </c>
      <c r="K206" t="inlineStr">
        <is>
          <t>TRƯỢT ❌</t>
        </is>
      </c>
      <c r="L206" t="inlineStr">
        <is>
          <t>02, 08, 17, 20, 21, 25, 26, 34, 48, 49, 53, 58, 62, 76, 80, 84, 89, 93, 94, 99</t>
        </is>
      </c>
      <c r="M206" t="inlineStr">
        <is>
          <t>TRƯỢT ❌</t>
        </is>
      </c>
      <c r="N206" t="inlineStr">
        <is>
          <t>TRÚNG N2 🎯</t>
        </is>
      </c>
      <c r="O206" t="inlineStr">
        <is>
          <t>02, 03, 07, 08, 11, 12, 16, 17, 20, 21, 25, 26, 30, 34, 35, 39, 43, 44, 48, 49, 52, 53, 57, 58, 61, 62, 66, 67, 70, 71, 75, 76, 80, 84, 85, 89, 93, 94, 98, 99</t>
        </is>
      </c>
    </row>
    <row r="207">
      <c r="A207" t="n">
        <v>21</v>
      </c>
      <c r="B207" t="inlineStr">
        <is>
          <t>Thứ năm ngày 22-01-2026</t>
        </is>
      </c>
      <c r="C207" t="inlineStr">
        <is>
          <t>Thứ Tư</t>
        </is>
      </c>
      <c r="D207" t="inlineStr">
        <is>
          <t>84063</t>
        </is>
      </c>
      <c r="E207" t="inlineStr">
        <is>
          <t>63</t>
        </is>
      </c>
      <c r="F207" t="inlineStr">
        <is>
          <t>G7.1, G7.2</t>
        </is>
      </c>
      <c r="G207" t="inlineStr">
        <is>
          <t>Tổng 0, Tổng 1, Tổng 3, Tổng 5, Tổng 6, Tổng 8</t>
        </is>
      </c>
      <c r="H207" t="inlineStr">
        <is>
          <t>0123456789</t>
        </is>
      </c>
      <c r="I207" t="inlineStr">
        <is>
          <t>Tổng 5-Bóng 0</t>
        </is>
      </c>
      <c r="J207" t="n">
        <v>60</v>
      </c>
      <c r="K207" t="inlineStr">
        <is>
          <t>TRƯỢT ❌</t>
        </is>
      </c>
      <c r="L207" t="inlineStr">
        <is>
          <t>05, 08, 10, 17, 23, 24, 26, 28, 38, 47, 49, 50, 51, 62, 69, 78, 80, 92, 94, 97</t>
        </is>
      </c>
      <c r="M207" t="inlineStr">
        <is>
          <t>TRƯỢT ❌</t>
        </is>
      </c>
      <c r="N207" t="inlineStr">
        <is>
          <t>TRÚNG N3 🎯</t>
        </is>
      </c>
      <c r="O207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208">
      <c r="A208" t="n">
        <v>20</v>
      </c>
      <c r="B208" t="inlineStr">
        <is>
          <t>Thứ tư ngày 21-01-2026</t>
        </is>
      </c>
      <c r="C208" t="inlineStr">
        <is>
          <t>Thứ Ba</t>
        </is>
      </c>
      <c r="D208" t="inlineStr">
        <is>
          <t>06186</t>
        </is>
      </c>
      <c r="E208" t="inlineStr">
        <is>
          <t>86</t>
        </is>
      </c>
      <c r="F208" t="inlineStr">
        <is>
          <t>G7.1, G7.2</t>
        </is>
      </c>
      <c r="G208" t="inlineStr">
        <is>
          <t>Tổng 2, Tổng 3, Tổng 4, Tổng 7, Tổng 8, Tổng 9</t>
        </is>
      </c>
      <c r="H208" t="inlineStr">
        <is>
          <t>0123456789</t>
        </is>
      </c>
      <c r="I208" t="inlineStr">
        <is>
          <t>Tổng 7-Bóng 2</t>
        </is>
      </c>
      <c r="J208" t="n">
        <v>60</v>
      </c>
      <c r="K208" t="inlineStr">
        <is>
          <t>TRÚNG N1 🎯</t>
        </is>
      </c>
      <c r="L208" t="inlineStr">
        <is>
          <t>08, 17, 18, 20, 22, 25, 26, 27, 34, 36, 48, 49, 59, 62, 68, 80, 86, 89, 93, 94</t>
        </is>
      </c>
      <c r="M208" t="inlineStr">
        <is>
          <t>TRÚNG HỎA LỰC 🎯</t>
        </is>
      </c>
      <c r="N208" t="inlineStr">
        <is>
          <t>TRÚNG N1 🎯</t>
        </is>
      </c>
      <c r="O208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209">
      <c r="A209" t="n">
        <v>19</v>
      </c>
      <c r="B209" t="inlineStr">
        <is>
          <t>Thứ ba ngày 20-01-2026</t>
        </is>
      </c>
      <c r="C209" t="inlineStr">
        <is>
          <t>Thứ Hai</t>
        </is>
      </c>
      <c r="D209" t="inlineStr">
        <is>
          <t>56878</t>
        </is>
      </c>
      <c r="E209" t="inlineStr">
        <is>
          <t>78</t>
        </is>
      </c>
      <c r="F209" t="inlineStr">
        <is>
          <t>G7.1, G7.2</t>
        </is>
      </c>
      <c r="G209" t="inlineStr">
        <is>
          <t>Tổng 0, Tổng 1, Tổng 5, Tổng 6</t>
        </is>
      </c>
      <c r="H209" t="inlineStr">
        <is>
          <t>02345789</t>
        </is>
      </c>
      <c r="I209" t="inlineStr">
        <is>
          <t>Tổng 5-Bóng 0</t>
        </is>
      </c>
      <c r="J209" t="n">
        <v>40</v>
      </c>
      <c r="K209" t="inlineStr">
        <is>
          <t>TRÚNG N1 🎯</t>
        </is>
      </c>
      <c r="L209" t="inlineStr">
        <is>
          <t>05, 06, 10, 19, 23, 24, 28, 32, 38, 42, 47, 50, 51, 69, 74, 78, 83, 88, 92, 97</t>
        </is>
      </c>
      <c r="M209" t="inlineStr">
        <is>
          <t>TRÚNG HỎA LỰC 🎯</t>
        </is>
      </c>
      <c r="N209" t="inlineStr">
        <is>
          <t>TRÚNG N1 🎯</t>
        </is>
      </c>
      <c r="O209" t="inlineStr">
        <is>
          <t>00, 01, 05, 06, 10, 14, 15, 19, 23, 24, 28, 29, 32, 33, 37, 38, 41, 42, 46, 47, 50, 51, 55, 56, 60, 64, 65, 69, 73, 74, 78, 79, 82, 83, 87, 88, 91, 92, 96, 97</t>
        </is>
      </c>
    </row>
    <row r="210">
      <c r="A210" t="n">
        <v>18</v>
      </c>
      <c r="B210" t="inlineStr">
        <is>
          <t>Thứ hai ngày 19-01-2026</t>
        </is>
      </c>
      <c r="C210" t="inlineStr">
        <is>
          <t>Chủ Nhật</t>
        </is>
      </c>
      <c r="D210" t="inlineStr">
        <is>
          <t>88286</t>
        </is>
      </c>
      <c r="E210" t="inlineStr">
        <is>
          <t>86</t>
        </is>
      </c>
      <c r="F210" t="inlineStr">
        <is>
          <t>G7.3, G7.1</t>
        </is>
      </c>
      <c r="G210" t="inlineStr">
        <is>
          <t>Tổng 2, Tổng 3, Tổng 4, Tổng 7, Tổng 8, Tổng 9</t>
        </is>
      </c>
      <c r="H210" t="inlineStr">
        <is>
          <t>01245679</t>
        </is>
      </c>
      <c r="I210" t="inlineStr">
        <is>
          <t>Tổng 4-Bóng 9</t>
        </is>
      </c>
      <c r="J210" t="n">
        <v>60</v>
      </c>
      <c r="K210" t="inlineStr">
        <is>
          <t>TRÚNG N1 🎯</t>
        </is>
      </c>
      <c r="L210" t="inlineStr">
        <is>
          <t>08, 17, 18, 20, 22, 25, 26, 27, 34, 36, 40, 48, 49, 59, 62, 68, 80, 89, 93, 94</t>
        </is>
      </c>
      <c r="M210" t="inlineStr">
        <is>
          <t>TRƯỢT ❌</t>
        </is>
      </c>
      <c r="N210" t="inlineStr">
        <is>
          <t>TRÚNG N1 🎯</t>
        </is>
      </c>
      <c r="O210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211">
      <c r="A211" t="n">
        <v>17</v>
      </c>
      <c r="B211" t="inlineStr">
        <is>
          <t>Chủ nhật ngày 18-01-2026</t>
        </is>
      </c>
      <c r="C211" t="inlineStr">
        <is>
          <t>Thứ Bảy</t>
        </is>
      </c>
      <c r="D211" t="inlineStr">
        <is>
          <t>17151</t>
        </is>
      </c>
      <c r="E211" t="inlineStr">
        <is>
          <t>51</t>
        </is>
      </c>
      <c r="F211" t="inlineStr">
        <is>
          <t>G7.4, G7.1</t>
        </is>
      </c>
      <c r="G211" t="inlineStr">
        <is>
          <t>Tổng 0, Tổng 4, Tổng 5, Tổng 9</t>
        </is>
      </c>
      <c r="H211" t="inlineStr">
        <is>
          <t>0123456789</t>
        </is>
      </c>
      <c r="I211" t="inlineStr">
        <is>
          <t>Tổng 9-Bóng 4</t>
        </is>
      </c>
      <c r="J211" t="n">
        <v>40</v>
      </c>
      <c r="K211" t="inlineStr">
        <is>
          <t>TRƯỢT ❌</t>
        </is>
      </c>
      <c r="L211" t="inlineStr">
        <is>
          <t>05, 18, 19, 22, 23, 27, 28, 32, 36, 40, 45, 50, 59, 63, 64, 68, 69, 77, 78, 90</t>
        </is>
      </c>
      <c r="M211" t="inlineStr">
        <is>
          <t>TRƯỢT ❌</t>
        </is>
      </c>
      <c r="N211" t="inlineStr">
        <is>
          <t>TRÚNG N2 🎯</t>
        </is>
      </c>
      <c r="O211" t="inlineStr">
        <is>
          <t>00, 04, 05, 09, 13, 14, 18, 19, 22, 23, 27, 28, 31, 32, 36, 37, 40, 41, 45, 46, 50, 54, 55, 59, 63, 64, 68, 69, 72, 73, 77, 78, 81, 82, 86, 87, 90, 91, 95, 96</t>
        </is>
      </c>
    </row>
    <row r="212">
      <c r="A212" t="n">
        <v>16</v>
      </c>
      <c r="B212" t="inlineStr">
        <is>
          <t>Thứ bảy ngày 17-01-2026</t>
        </is>
      </c>
      <c r="C212" t="inlineStr">
        <is>
          <t>Thứ Sáu</t>
        </is>
      </c>
      <c r="D212" t="inlineStr">
        <is>
          <t>09824</t>
        </is>
      </c>
      <c r="E212" t="inlineStr">
        <is>
          <t>24</t>
        </is>
      </c>
      <c r="F212" t="inlineStr">
        <is>
          <t>G7.2, G7.4</t>
        </is>
      </c>
      <c r="G212" t="inlineStr">
        <is>
          <t>Tổng 1, Tổng 4, Tổng 6, Tổng 9</t>
        </is>
      </c>
      <c r="H212" t="inlineStr">
        <is>
          <t>02345789</t>
        </is>
      </c>
      <c r="I212" t="inlineStr">
        <is>
          <t>Tổng 9-Bóng 4</t>
        </is>
      </c>
      <c r="J212" t="n">
        <v>40</v>
      </c>
      <c r="K212" t="inlineStr">
        <is>
          <t>TRÚNG N1 🎯</t>
        </is>
      </c>
      <c r="L212" t="inlineStr">
        <is>
          <t>06, 10, 18, 22, 24, 27, 36, 38, 40, 42, 47, 51, 59, 68, 74, 83, 88, 90, 92, 97</t>
        </is>
      </c>
      <c r="M212" t="inlineStr">
        <is>
          <t>TRÚNG HỎA LỰC 🎯</t>
        </is>
      </c>
      <c r="N212" t="inlineStr">
        <is>
          <t>TRÚNG N1 🎯</t>
        </is>
      </c>
      <c r="O212" t="inlineStr">
        <is>
          <t>01, 04, 06, 09, 10, 13, 15, 18, 22, 24, 27, 29, 31, 33, 36, 38, 40, 42, 45, 47, 51, 54, 56, 59, 60, 63, 65, 68, 72, 74, 77, 79, 81, 83, 86, 88, 90, 92, 95, 97</t>
        </is>
      </c>
    </row>
    <row r="213">
      <c r="A213" t="n">
        <v>15</v>
      </c>
      <c r="B213" t="inlineStr">
        <is>
          <t>Thứ sáu ngày 16-01-2026</t>
        </is>
      </c>
      <c r="C213" t="inlineStr">
        <is>
          <t>Thứ Năm</t>
        </is>
      </c>
      <c r="D213" t="inlineStr">
        <is>
          <t>90128</t>
        </is>
      </c>
      <c r="E213" t="inlineStr">
        <is>
          <t>28</t>
        </is>
      </c>
      <c r="F213" t="inlineStr">
        <is>
          <t>G7.4, G7.1</t>
        </is>
      </c>
      <c r="G213" t="inlineStr">
        <is>
          <t>Tổng 3, Tổng 8</t>
        </is>
      </c>
      <c r="H213" t="inlineStr">
        <is>
          <t>01245679</t>
        </is>
      </c>
      <c r="I213" t="inlineStr">
        <is>
          <t>Tổng 3-Bóng 8</t>
        </is>
      </c>
      <c r="J213" t="n">
        <v>20</v>
      </c>
      <c r="K213" t="inlineStr">
        <is>
          <t>TRƯỢT ❌</t>
        </is>
      </c>
      <c r="L213" t="inlineStr">
        <is>
          <t>03, 08, 12, 17, 21, 26, 30, 35, 44, 49, 53, 58, 62, 67, 71, 76, 80, 85, 94, 99</t>
        </is>
      </c>
      <c r="M213" t="inlineStr">
        <is>
          <t>TRƯỢT ❌</t>
        </is>
      </c>
      <c r="N213" t="inlineStr">
        <is>
          <t>TRƯỢT KHUNG ❌</t>
        </is>
      </c>
      <c r="O213" t="inlineStr">
        <is>
          <t>03, 08, 12, 17, 21, 26, 30, 35, 44, 49, 53, 58, 62, 67, 71, 76, 80, 85, 94, 99</t>
        </is>
      </c>
    </row>
    <row r="214">
      <c r="A214" t="n">
        <v>14</v>
      </c>
      <c r="B214" t="inlineStr">
        <is>
          <t>Thứ năm ngày 15-01-2026</t>
        </is>
      </c>
      <c r="C214" t="inlineStr">
        <is>
          <t>Thứ Tư</t>
        </is>
      </c>
      <c r="D214" t="inlineStr">
        <is>
          <t>84522</t>
        </is>
      </c>
      <c r="E214" t="inlineStr">
        <is>
          <t>22</t>
        </is>
      </c>
      <c r="F214" t="inlineStr">
        <is>
          <t>G7.1, G7.2</t>
        </is>
      </c>
      <c r="G214" t="inlineStr">
        <is>
          <t>Tổng 1, Tổng 3, Tổng 6, Tổng 8</t>
        </is>
      </c>
      <c r="H214" t="inlineStr">
        <is>
          <t>01245679</t>
        </is>
      </c>
      <c r="I214" t="inlineStr">
        <is>
          <t>Tổng 6-Bóng 1</t>
        </is>
      </c>
      <c r="J214" t="n">
        <v>36</v>
      </c>
      <c r="K214" t="inlineStr">
        <is>
          <t>TRƯỢT ❌</t>
        </is>
      </c>
      <c r="L214" t="inlineStr">
        <is>
          <t>06, 08, 10, 17, 21, 24, 26, 42, 47, 49, 51, 53, 58, 62, 74, 80, 92, 94, 97, 99</t>
        </is>
      </c>
      <c r="M214" t="inlineStr">
        <is>
          <t>TRƯỢT ❌</t>
        </is>
      </c>
      <c r="N214" t="inlineStr">
        <is>
          <t>TRÚNG N3 🎯</t>
        </is>
      </c>
      <c r="O214" t="inlineStr">
        <is>
          <t>01, 03, 06, 08, 10, 12, 15, 17, 21, 24, 26, 29, 30, 35, 42, 44, 47, 49, 51, 53, 56, 58, 60, 62, 65, 67, 71, 74, 76, 79, 80, 85, 92, 94, 97, 99</t>
        </is>
      </c>
    </row>
    <row r="215">
      <c r="A215" t="n">
        <v>13</v>
      </c>
      <c r="B215" t="inlineStr">
        <is>
          <t>Thứ tư ngày 14-01-2026</t>
        </is>
      </c>
      <c r="C215" t="inlineStr">
        <is>
          <t>Thứ Ba</t>
        </is>
      </c>
      <c r="D215" t="inlineStr">
        <is>
          <t>02817</t>
        </is>
      </c>
      <c r="E215" t="inlineStr">
        <is>
          <t>17</t>
        </is>
      </c>
      <c r="F215" t="inlineStr">
        <is>
          <t>G7.1, G7.2</t>
        </is>
      </c>
      <c r="G215" t="inlineStr">
        <is>
          <t>Tổng 0, Tổng 1, Tổng 4, Tổng 5, Tổng 6, Tổng 9</t>
        </is>
      </c>
      <c r="H215" t="inlineStr">
        <is>
          <t>0123456789</t>
        </is>
      </c>
      <c r="I215" t="inlineStr">
        <is>
          <t>Tổng 4-Bóng 9</t>
        </is>
      </c>
      <c r="J215" t="n">
        <v>60</v>
      </c>
      <c r="K215" t="inlineStr">
        <is>
          <t>TRƯỢT ❌</t>
        </is>
      </c>
      <c r="L215" t="inlineStr">
        <is>
          <t>05, 10, 18, 19, 23, 24, 27, 36, 38, 40, 42, 47, 50, 59, 68, 69, 78, 83, 92, 97</t>
        </is>
      </c>
      <c r="M215" t="inlineStr">
        <is>
          <t>TRƯỢT ❌</t>
        </is>
      </c>
      <c r="N215" t="inlineStr">
        <is>
          <t>TRÚNG N2 🎯</t>
        </is>
      </c>
      <c r="O215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216">
      <c r="A216" t="n">
        <v>12</v>
      </c>
      <c r="B216" t="inlineStr">
        <is>
          <t>Thứ ba ngày 13-01-2026</t>
        </is>
      </c>
      <c r="C216" t="inlineStr">
        <is>
          <t>Thứ Hai</t>
        </is>
      </c>
      <c r="D216" t="inlineStr">
        <is>
          <t>28027</t>
        </is>
      </c>
      <c r="E216" t="inlineStr">
        <is>
          <t>27</t>
        </is>
      </c>
      <c r="F216" t="inlineStr">
        <is>
          <t>G7.1, G7.2</t>
        </is>
      </c>
      <c r="G216" t="inlineStr">
        <is>
          <t>Tổng 0, Tổng 2, Tổng 4, Tổng 5, Tổng 7, Tổng 9</t>
        </is>
      </c>
      <c r="H216" t="inlineStr">
        <is>
          <t>0123456789</t>
        </is>
      </c>
      <c r="I216" t="inlineStr">
        <is>
          <t>Tổng 5-Bóng 0</t>
        </is>
      </c>
      <c r="J216" t="n">
        <v>60</v>
      </c>
      <c r="K216" t="inlineStr">
        <is>
          <t>TRÚNG N1 🎯</t>
        </is>
      </c>
      <c r="L216" t="inlineStr">
        <is>
          <t>05, 18, 19, 20, 23, 25, 32, 34, 36, 40, 48, 50, 59, 68, 69, 78, 84, 89, 90, 93</t>
        </is>
      </c>
      <c r="M216" t="inlineStr">
        <is>
          <t>TRƯỢT ❌</t>
        </is>
      </c>
      <c r="N216" t="inlineStr">
        <is>
          <t>TRÚNG N1 🎯</t>
        </is>
      </c>
      <c r="O216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217">
      <c r="A217" t="n">
        <v>11</v>
      </c>
      <c r="B217" t="inlineStr">
        <is>
          <t>Thứ hai ngày 12-01-2026</t>
        </is>
      </c>
      <c r="C217" t="inlineStr">
        <is>
          <t>Chủ Nhật</t>
        </is>
      </c>
      <c r="D217" t="inlineStr">
        <is>
          <t>31894</t>
        </is>
      </c>
      <c r="E217" t="inlineStr">
        <is>
          <t>94</t>
        </is>
      </c>
      <c r="F217" t="inlineStr">
        <is>
          <t>G7.1, G7.2</t>
        </is>
      </c>
      <c r="G217" t="inlineStr">
        <is>
          <t>Tổng 0, Tổng 2, Tổng 4, Tổng 5, Tổng 7, Tổng 9</t>
        </is>
      </c>
      <c r="H217" t="inlineStr">
        <is>
          <t>0123456789</t>
        </is>
      </c>
      <c r="I217" t="inlineStr">
        <is>
          <t>Tổng 0-Bóng 5</t>
        </is>
      </c>
      <c r="J217" t="n">
        <v>60</v>
      </c>
      <c r="K217" t="inlineStr">
        <is>
          <t>TRƯỢT ❌</t>
        </is>
      </c>
      <c r="L217" t="inlineStr">
        <is>
          <t>05, 18, 19, 20, 23, 25, 32, 34, 36, 40, 48, 50, 59, 68, 69, 78, 84, 89, 90, 93</t>
        </is>
      </c>
      <c r="M217" t="inlineStr">
        <is>
          <t>TRƯỢT ❌</t>
        </is>
      </c>
      <c r="N217" t="inlineStr">
        <is>
          <t>TRÚNG N2 🎯</t>
        </is>
      </c>
      <c r="O217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218">
      <c r="A218" t="n">
        <v>10</v>
      </c>
      <c r="B218" t="inlineStr">
        <is>
          <t>Chủ nhật ngày 11-01-2026</t>
        </is>
      </c>
      <c r="C218" t="inlineStr">
        <is>
          <t>Thứ Bảy</t>
        </is>
      </c>
      <c r="D218" t="inlineStr">
        <is>
          <t>82438</t>
        </is>
      </c>
      <c r="E218" t="inlineStr">
        <is>
          <t>38</t>
        </is>
      </c>
      <c r="F218" t="inlineStr">
        <is>
          <t>G7.4, G7.1</t>
        </is>
      </c>
      <c r="G218" t="inlineStr">
        <is>
          <t>Tổng 0, Tổng 2, Tổng 4, Tổng 5, Tổng 7, Tổng 9</t>
        </is>
      </c>
      <c r="H218" t="inlineStr">
        <is>
          <t>0123456789</t>
        </is>
      </c>
      <c r="I218" t="inlineStr">
        <is>
          <t>Tổng 0-Bóng 5</t>
        </is>
      </c>
      <c r="J218" t="n">
        <v>60</v>
      </c>
      <c r="K218" t="inlineStr">
        <is>
          <t>TRƯỢT ❌</t>
        </is>
      </c>
      <c r="L218" t="inlineStr">
        <is>
          <t>05, 18, 19, 20, 23, 25, 32, 34, 36, 40, 48, 50, 59, 68, 69, 78, 84, 89, 90, 93</t>
        </is>
      </c>
      <c r="M218" t="inlineStr">
        <is>
          <t>TRƯỢT ❌</t>
        </is>
      </c>
      <c r="N218" t="inlineStr">
        <is>
          <t>TRÚNG N3 🎯</t>
        </is>
      </c>
      <c r="O218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219">
      <c r="A219" t="n">
        <v>9</v>
      </c>
      <c r="B219" t="inlineStr">
        <is>
          <t>Thứ bảy ngày 10-01-2026</t>
        </is>
      </c>
      <c r="C219" t="inlineStr">
        <is>
          <t>Thứ Sáu</t>
        </is>
      </c>
      <c r="D219" t="inlineStr">
        <is>
          <t>67793</t>
        </is>
      </c>
      <c r="E219" t="inlineStr">
        <is>
          <t>93</t>
        </is>
      </c>
      <c r="F219" t="inlineStr">
        <is>
          <t>G7.1, G7.2</t>
        </is>
      </c>
      <c r="G219" t="inlineStr">
        <is>
          <t>Tổng 0, Tổng 1, Tổng 5, Tổng 6</t>
        </is>
      </c>
      <c r="H219" t="inlineStr">
        <is>
          <t>0123456789</t>
        </is>
      </c>
      <c r="I219" t="inlineStr">
        <is>
          <t>Tổng 0-Bóng 5</t>
        </is>
      </c>
      <c r="J219" t="n">
        <v>40</v>
      </c>
      <c r="K219" t="inlineStr">
        <is>
          <t>TRƯỢT ❌</t>
        </is>
      </c>
      <c r="L219" t="inlineStr">
        <is>
          <t>05, 06, 10, 19, 23, 24, 32, 42, 47, 50, 51, 64, 69, 74, 78, 83, 88, 92, 96, 97</t>
        </is>
      </c>
      <c r="M219" t="inlineStr">
        <is>
          <t>TRƯỢT ❌</t>
        </is>
      </c>
      <c r="N219" t="inlineStr">
        <is>
          <t>TRÚNG N2 🎯</t>
        </is>
      </c>
      <c r="O219" t="inlineStr">
        <is>
          <t>00, 01, 05, 06, 10, 14, 15, 19, 23, 24, 28, 29, 32, 33, 37, 38, 41, 42, 46, 47, 50, 51, 55, 56, 60, 64, 65, 69, 73, 74, 78, 79, 82, 83, 87, 88, 91, 92, 96, 97</t>
        </is>
      </c>
    </row>
    <row r="220">
      <c r="A220" t="n">
        <v>8</v>
      </c>
      <c r="B220" t="inlineStr">
        <is>
          <t>Thứ sáu ngày 09-01-2026</t>
        </is>
      </c>
      <c r="C220" t="inlineStr">
        <is>
          <t>Thứ Năm</t>
        </is>
      </c>
      <c r="D220" t="inlineStr">
        <is>
          <t>39523</t>
        </is>
      </c>
      <c r="E220" t="inlineStr">
        <is>
          <t>23</t>
        </is>
      </c>
      <c r="F220" t="inlineStr">
        <is>
          <t>G7.4, G7.1</t>
        </is>
      </c>
      <c r="G220" t="inlineStr">
        <is>
          <t>Tổng 3, Tổng 4, Tổng 8, Tổng 9</t>
        </is>
      </c>
      <c r="H220" t="inlineStr">
        <is>
          <t>0123456789</t>
        </is>
      </c>
      <c r="I220" t="inlineStr">
        <is>
          <t>Tổng 8-Bóng 3</t>
        </is>
      </c>
      <c r="J220" t="n">
        <v>40</v>
      </c>
      <c r="K220" t="inlineStr">
        <is>
          <t>TRƯỢT ❌</t>
        </is>
      </c>
      <c r="L220" t="inlineStr">
        <is>
          <t>08, 17, 18, 21, 26, 36, 40, 45, 49, 53, 58, 59, 62, 63, 68, 76, 80, 90, 94, 99</t>
        </is>
      </c>
      <c r="M220" t="inlineStr">
        <is>
          <t>TRƯỢT ❌</t>
        </is>
      </c>
      <c r="N220" t="inlineStr">
        <is>
          <t>TRƯỢT KHUNG ❌</t>
        </is>
      </c>
      <c r="O220" t="inlineStr">
        <is>
          <t>03, 04, 08, 09, 12, 13, 17, 18, 21, 22, 26, 27, 30, 31, 35, 36, 40, 44, 45, 49, 53, 54, 58, 59, 62, 63, 67, 68, 71, 72, 76, 77, 80, 81, 85, 86, 90, 94, 95, 99</t>
        </is>
      </c>
    </row>
    <row r="221">
      <c r="A221" t="n">
        <v>7</v>
      </c>
      <c r="B221" t="inlineStr">
        <is>
          <t>Thứ năm ngày 08-01-2026</t>
        </is>
      </c>
      <c r="C221" t="inlineStr">
        <is>
          <t>Thứ Tư</t>
        </is>
      </c>
      <c r="D221" t="inlineStr">
        <is>
          <t>40162</t>
        </is>
      </c>
      <c r="E221" t="inlineStr">
        <is>
          <t>62</t>
        </is>
      </c>
      <c r="F221" t="inlineStr">
        <is>
          <t>G7.1, G7.2</t>
        </is>
      </c>
      <c r="G221" t="inlineStr">
        <is>
          <t>Tổng 0, Tổng 2, Tổng 5, Tổng 7</t>
        </is>
      </c>
      <c r="H221" t="inlineStr">
        <is>
          <t>0123456789</t>
        </is>
      </c>
      <c r="I221" t="inlineStr">
        <is>
          <t>Tổng 0-Bóng 5</t>
        </is>
      </c>
      <c r="J221" t="n">
        <v>40</v>
      </c>
      <c r="K221" t="inlineStr">
        <is>
          <t>TRƯỢT ❌</t>
        </is>
      </c>
      <c r="L221" t="inlineStr">
        <is>
          <t>02, 05, 14, 19, 20, 23, 25, 28, 32, 34, 48, 50, 57, 64, 69, 73, 78, 84, 89, 96</t>
        </is>
      </c>
      <c r="M221" t="inlineStr">
        <is>
          <t>TRƯỢT ❌</t>
        </is>
      </c>
      <c r="N221" t="inlineStr">
        <is>
          <t>TRÚNG N2 🎯</t>
        </is>
      </c>
      <c r="O221" t="inlineStr">
        <is>
          <t>00, 02, 05, 07, 11, 14, 16, 19, 20, 23, 25, 28, 32, 34, 37, 39, 41, 43, 46, 48, 50, 52, 55, 57, 61, 64, 66, 69, 70, 73, 75, 78, 82, 84, 87, 89, 91, 93, 96, 98</t>
        </is>
      </c>
    </row>
    <row r="222">
      <c r="A222" t="n">
        <v>6</v>
      </c>
      <c r="B222" t="inlineStr">
        <is>
          <t>Thứ tư ngày 07-01-2026</t>
        </is>
      </c>
      <c r="C222" t="inlineStr">
        <is>
          <t>Thứ Ba</t>
        </is>
      </c>
      <c r="D222" t="inlineStr">
        <is>
          <t>14389</t>
        </is>
      </c>
      <c r="E222" t="inlineStr">
        <is>
          <t>89</t>
        </is>
      </c>
      <c r="F222" t="inlineStr">
        <is>
          <t>G7.1, G7.2</t>
        </is>
      </c>
      <c r="G222" t="inlineStr">
        <is>
          <t>Tổng 0, Tổng 1, Tổng 2, Tổng 5, Tổng 6, Tổng 7</t>
        </is>
      </c>
      <c r="H222" t="inlineStr">
        <is>
          <t>012567</t>
        </is>
      </c>
      <c r="I222" t="inlineStr">
        <is>
          <t>Tổng 7-Bóng 2</t>
        </is>
      </c>
      <c r="J222" t="n">
        <v>48</v>
      </c>
      <c r="K222" t="inlineStr">
        <is>
          <t>TRƯỢT ❌</t>
        </is>
      </c>
      <c r="L222" t="inlineStr">
        <is>
          <t>02, 05, 06, 10, 19, 20, 23, 24, 25, 32, 42, 47, 50, 51, 64, 69, 74, 78, 92, 97</t>
        </is>
      </c>
      <c r="M222" t="inlineStr">
        <is>
          <t>TRƯỢT ❌</t>
        </is>
      </c>
      <c r="N222" t="inlineStr">
        <is>
          <t>TRÚNG N3 🎯</t>
        </is>
      </c>
      <c r="O222" t="inlineStr">
        <is>
          <t>00, 01, 02, 05, 06, 07, 10, 11, 14, 15, 16, 19, 20, 23, 24, 25, 28, 29, 32, 37, 41, 42, 46, 47, 50, 51, 52, 55, 56, 57, 60, 61, 64, 65, 66, 69, 70, 73, 74, 75, 78, 79, 82, 87, 91, 92, 96, 97</t>
        </is>
      </c>
    </row>
    <row r="223">
      <c r="A223" t="n">
        <v>5</v>
      </c>
      <c r="B223" t="inlineStr">
        <is>
          <t>Thứ ba ngày 06-01-2026</t>
        </is>
      </c>
      <c r="C223" t="inlineStr">
        <is>
          <t>Thứ Hai</t>
        </is>
      </c>
      <c r="D223" t="inlineStr">
        <is>
          <t>78447</t>
        </is>
      </c>
      <c r="E223" t="inlineStr">
        <is>
          <t>47</t>
        </is>
      </c>
      <c r="F223" t="inlineStr">
        <is>
          <t>G7.1, G7.2</t>
        </is>
      </c>
      <c r="G223" t="inlineStr">
        <is>
          <t>Tổng 1, Tổng 2, Tổng 6, Tổng 7</t>
        </is>
      </c>
      <c r="H223" t="inlineStr">
        <is>
          <t>0123456789</t>
        </is>
      </c>
      <c r="I223" t="inlineStr">
        <is>
          <t>Tổng 1-Bóng 6</t>
        </is>
      </c>
      <c r="J223" t="n">
        <v>40</v>
      </c>
      <c r="K223" t="inlineStr">
        <is>
          <t>TRÚNG N1 🎯</t>
        </is>
      </c>
      <c r="L223" t="inlineStr">
        <is>
          <t>01, 02, 06, 10, 20, 24, 25, 33, 34, 42, 48, 51, 57, 74, 79, 83, 84, 88, 92, 97</t>
        </is>
      </c>
      <c r="M223" t="inlineStr">
        <is>
          <t>TRƯỢT ❌</t>
        </is>
      </c>
      <c r="N223" t="inlineStr">
        <is>
          <t>TRÚNG N1 🎯</t>
        </is>
      </c>
      <c r="O223" t="inlineStr">
        <is>
          <t>01, 02, 06, 07, 10, 11, 15, 16, 20, 24, 25, 29, 33, 34, 38, 39, 42, 43, 47, 48, 51, 52, 56, 57, 60, 61, 65, 66, 70, 74, 75, 79, 83, 84, 88, 89, 92, 93, 97, 98</t>
        </is>
      </c>
    </row>
    <row r="224">
      <c r="A224" t="n">
        <v>4</v>
      </c>
      <c r="B224" t="inlineStr">
        <is>
          <t>Thứ hai ngày 05-01-2026</t>
        </is>
      </c>
      <c r="C224" t="inlineStr">
        <is>
          <t>Chủ Nhật</t>
        </is>
      </c>
      <c r="D224" t="inlineStr">
        <is>
          <t>70505</t>
        </is>
      </c>
      <c r="E224" t="inlineStr">
        <is>
          <t>05</t>
        </is>
      </c>
      <c r="F224" t="inlineStr">
        <is>
          <t>G7.1, G7.2</t>
        </is>
      </c>
      <c r="G224" t="inlineStr">
        <is>
          <t>Tổng 1, Tổng 2, Tổng 4, Tổng 6, Tổng 7, Tổng 9</t>
        </is>
      </c>
      <c r="H224" t="inlineStr">
        <is>
          <t>0123456789</t>
        </is>
      </c>
      <c r="I224" t="inlineStr">
        <is>
          <t>Tổng 1-Bóng 6</t>
        </is>
      </c>
      <c r="J224" t="n">
        <v>60</v>
      </c>
      <c r="K224" t="inlineStr">
        <is>
          <t>TRƯỢT ❌</t>
        </is>
      </c>
      <c r="L224" t="inlineStr">
        <is>
          <t>06, 10, 18, 20, 24, 25, 34, 36, 40, 42, 48, 51, 59, 68, 83, 84, 88, 90, 92, 97</t>
        </is>
      </c>
      <c r="M224" t="inlineStr">
        <is>
          <t>TRƯỢT ❌</t>
        </is>
      </c>
      <c r="N224" t="inlineStr">
        <is>
          <t>TRÚNG N2 🎯</t>
        </is>
      </c>
      <c r="O224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225">
      <c r="A225" t="n">
        <v>3</v>
      </c>
      <c r="B225" t="inlineStr">
        <is>
          <t>Chủ nhật ngày 04-01-2026</t>
        </is>
      </c>
      <c r="C225" t="inlineStr">
        <is>
          <t>Thứ Bảy</t>
        </is>
      </c>
      <c r="D225" t="inlineStr">
        <is>
          <t>72397</t>
        </is>
      </c>
      <c r="E225" t="inlineStr">
        <is>
          <t>97</t>
        </is>
      </c>
      <c r="F225" t="inlineStr">
        <is>
          <t>G7.1, G7.2</t>
        </is>
      </c>
      <c r="G225" t="inlineStr">
        <is>
          <t>Tổng 0, Tổng 1, Tổng 2, Tổng 5, Tổng 6, Tổng 7</t>
        </is>
      </c>
      <c r="H225" t="inlineStr">
        <is>
          <t>12346789</t>
        </is>
      </c>
      <c r="I225" t="inlineStr">
        <is>
          <t>Tổng 2-Bóng 7</t>
        </is>
      </c>
      <c r="J225" t="n">
        <v>56</v>
      </c>
      <c r="K225" t="inlineStr">
        <is>
          <t>TRÚNG N1 🎯</t>
        </is>
      </c>
      <c r="L225" t="inlineStr">
        <is>
          <t>02, 06, 10, 19, 20, 23, 24, 25, 32, 34, 42, 48, 51, 69, 74, 78, 83, 84, 88, 92</t>
        </is>
      </c>
      <c r="M225" t="inlineStr">
        <is>
          <t>TRƯỢT ❌</t>
        </is>
      </c>
      <c r="N225" t="inlineStr">
        <is>
          <t>TRÚNG N1 🎯</t>
        </is>
      </c>
      <c r="O225" t="inlineStr">
        <is>
          <t>01, 02, 06, 07, 10, 11, 14, 15, 16, 19, 20, 23, 24, 25, 28, 29, 32, 33, 34, 37, 38, 39, 41, 42, 43, 46, 47, 48, 51, 52, 56, 57, 60, 61, 64, 65, 66, 69, 70, 73, 74, 75, 78, 79, 82, 83, 84, 87, 88, 89, 91, 92, 93, 96, 97, 98</t>
        </is>
      </c>
    </row>
    <row r="226">
      <c r="A226" t="n">
        <v>2</v>
      </c>
      <c r="B226" t="inlineStr">
        <is>
          <t>Thứ bảy ngày 03-01-2026</t>
        </is>
      </c>
      <c r="C226" t="inlineStr">
        <is>
          <t>Thứ Sáu</t>
        </is>
      </c>
      <c r="D226" t="inlineStr">
        <is>
          <t>00949</t>
        </is>
      </c>
      <c r="E226" t="inlineStr">
        <is>
          <t>49</t>
        </is>
      </c>
      <c r="F226" t="inlineStr">
        <is>
          <t>G7.1, G7.2</t>
        </is>
      </c>
      <c r="G226" t="inlineStr">
        <is>
          <t>Tổng 1, Tổng 4, Tổng 6, Tổng 9</t>
        </is>
      </c>
      <c r="H226" t="inlineStr">
        <is>
          <t>234789</t>
        </is>
      </c>
      <c r="I226" t="inlineStr">
        <is>
          <t>Tổng 4-Bóng 9</t>
        </is>
      </c>
      <c r="J226" t="n">
        <v>32</v>
      </c>
      <c r="K226" t="inlineStr">
        <is>
          <t>TRƯỢT ❌</t>
        </is>
      </c>
      <c r="L226" t="inlineStr">
        <is>
          <t>04, 09, 18, 24, 27, 36, 40, 42, 45, 59, 63, 68, 74, 77, 79, 81, 83, 88, 90, 92</t>
        </is>
      </c>
      <c r="M226" t="inlineStr">
        <is>
          <t>TRƯỢT ❌</t>
        </is>
      </c>
      <c r="N226" t="inlineStr">
        <is>
          <t>TRÚNG N2 🎯</t>
        </is>
      </c>
      <c r="O226" t="inlineStr">
        <is>
          <t>04, 09, 13, 18, 22, 24, 27, 29, 31, 33, 36, 38, 40, 42, 45, 47, 54, 59, 63, 68, 72, 74, 77, 79, 81, 83, 86, 88, 90, 92, 95, 97</t>
        </is>
      </c>
    </row>
    <row r="227">
      <c r="A227" t="n">
        <v>1</v>
      </c>
      <c r="B227" t="inlineStr">
        <is>
          <t>Thứ sáu ngày 02-01-2026</t>
        </is>
      </c>
      <c r="C227" t="inlineStr">
        <is>
          <t>Thứ Năm</t>
        </is>
      </c>
      <c r="D227" t="inlineStr">
        <is>
          <t>45748</t>
        </is>
      </c>
      <c r="E227" t="inlineStr">
        <is>
          <t>48</t>
        </is>
      </c>
      <c r="F227" t="inlineStr">
        <is>
          <t>G7.1, G7.2</t>
        </is>
      </c>
      <c r="G227" t="inlineStr">
        <is>
          <t>Tổng 0, Tổng 1, Tổng 2, Tổng 5, Tổng 6, Tổng 7</t>
        </is>
      </c>
      <c r="H227" t="inlineStr">
        <is>
          <t>01245679</t>
        </is>
      </c>
      <c r="I227" t="inlineStr">
        <is>
          <t>Tổng 6-Bóng 1</t>
        </is>
      </c>
      <c r="J227" t="n">
        <v>56</v>
      </c>
      <c r="K227" t="inlineStr">
        <is>
          <t>TRÚNG N1 🎯</t>
        </is>
      </c>
      <c r="L227" t="inlineStr">
        <is>
          <t>02, 06, 10, 19, 20, 23, 24, 25, 32, 34, 42, 48, 50, 51, 64, 69, 74, 78, 84, 92</t>
        </is>
      </c>
      <c r="M227" t="inlineStr">
        <is>
          <t>TRÚNG HỎA LỰC 🎯</t>
        </is>
      </c>
      <c r="N227" t="inlineStr">
        <is>
          <t>TRÚNG N1 🎯</t>
        </is>
      </c>
      <c r="O227" t="inlineStr">
        <is>
          <t>00, 01, 02, 05, 06, 07, 10, 11, 14, 15, 16, 19, 20, 23, 24, 25, 28, 29, 32, 34, 37, 39, 41, 42, 43, 46, 47, 48, 50, 51, 52, 55, 56, 57, 60, 61, 64, 65, 66, 69, 70, 73, 74, 75, 78, 79, 82, 84, 87, 89, 91, 92, 93, 96, 97, 98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42" customWidth="1" min="2" max="2"/>
    <col width="21" customWidth="1" min="3" max="3"/>
    <col width="19" customWidth="1" min="4" max="4"/>
    <col width="63" customWidth="1" min="5" max="5"/>
  </cols>
  <sheetData>
    <row r="1">
      <c r="A1" s="1" t="inlineStr">
        <is>
          <t>Thành Phần Cầu Ghép Góc</t>
        </is>
      </c>
      <c r="B1" s="1" t="inlineStr">
        <is>
          <t>Thuật Toán &amp; Cách Tính</t>
        </is>
      </c>
      <c r="C1" s="1" t="inlineStr">
        <is>
          <t>Số Lần Nổ N1 2026</t>
        </is>
      </c>
      <c r="D1" s="1" t="inlineStr">
        <is>
          <t>Tỷ Lệ Trúng (%)</t>
        </is>
      </c>
      <c r="E1" s="1" t="inlineStr">
        <is>
          <t>Đánh Giá Ưu Điểm</t>
        </is>
      </c>
    </row>
    <row r="2">
      <c r="A2" s="2" t="inlineStr">
        <is>
          <t>Cầu Ghép Góc (Head 7.1 + Tail 7.4)</t>
        </is>
      </c>
      <c r="B2" s="2" t="inlineStr">
        <is>
          <t>Tổng (G7.1[0] + G7.4[1]) mod 10 &amp; Bóng</t>
        </is>
      </c>
      <c r="C2" s="3" t="inlineStr">
        <is>
          <t>96 lần</t>
        </is>
      </c>
      <c r="D2" s="3" t="inlineStr">
        <is>
          <t>42.67%</t>
        </is>
      </c>
      <c r="E2" s="3" t="inlineStr">
        <is>
          <t>Độc lập với G7 đơn, nổ cực mạnh Thứ 2 (50%) &amp; Thứ 7 (48.5%)</t>
        </is>
      </c>
    </row>
    <row r="3">
      <c r="A3" s="2" t="inlineStr">
        <is>
          <t>Tích Hợp Chạm G7 Ngày</t>
        </is>
      </c>
      <c r="B3" s="2" t="inlineStr">
        <is>
          <t>Bắt chữ số G7.1-G7.4 + Bóng dương</t>
        </is>
      </c>
      <c r="C3" s="3" t="inlineStr">
        <is>
          <t>189 lần</t>
        </is>
      </c>
      <c r="D3" s="3" t="inlineStr">
        <is>
          <t>84.70%</t>
        </is>
      </c>
      <c r="E3" s="3" t="inlineStr">
        <is>
          <t>Độ phủ rộng, giữ tỷ lệ trúng khung 3N 87.00%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4" customWidth="1" min="3" max="3"/>
    <col width="19" customWidth="1" min="4" max="4"/>
    <col width="27" customWidth="1" min="5" max="5"/>
    <col width="25" customWidth="1" min="6" max="6"/>
  </cols>
  <sheetData>
    <row r="1">
      <c r="A1" s="1" t="inlineStr">
        <is>
          <t>Thứ Hạng Hỏa Lực</t>
        </is>
      </c>
      <c r="B1" s="1" t="inlineStr">
        <is>
          <t>Con Số 2D</t>
        </is>
      </c>
      <c r="C1" s="1" t="inlineStr">
        <is>
          <t>Thuộc Tổng</t>
        </is>
      </c>
      <c r="D1" s="1" t="inlineStr">
        <is>
          <t>Nhịp Gan (Ngày)</t>
        </is>
      </c>
      <c r="E1" s="1" t="inlineStr">
        <is>
          <t>Điểm Nhịp Vàng Gaussian</t>
        </is>
      </c>
      <c r="F1" s="1" t="inlineStr">
        <is>
          <t>Khuyến Nghị Vốn</t>
        </is>
      </c>
    </row>
    <row r="2">
      <c r="A2" s="2" t="inlineStr">
        <is>
          <t>Top 01</t>
        </is>
      </c>
      <c r="B2" s="2" t="inlineStr">
        <is>
          <t>18</t>
        </is>
      </c>
      <c r="C2" s="3" t="inlineStr">
        <is>
          <t>Tổng 9</t>
        </is>
      </c>
      <c r="D2" s="3" t="inlineStr">
        <is>
          <t>4 ngày</t>
        </is>
      </c>
      <c r="E2" s="3" t="inlineStr">
        <is>
          <t>21.5 điểm</t>
        </is>
      </c>
      <c r="F2" s="3" t="inlineStr">
        <is>
          <t>Ưu tiên hỏa lực chính</t>
        </is>
      </c>
    </row>
    <row r="3">
      <c r="A3" s="2" t="inlineStr">
        <is>
          <t>Top 02</t>
        </is>
      </c>
      <c r="B3" s="2" t="inlineStr">
        <is>
          <t>26</t>
        </is>
      </c>
      <c r="C3" s="3" t="inlineStr">
        <is>
          <t>Tổng 8</t>
        </is>
      </c>
      <c r="D3" s="3" t="inlineStr">
        <is>
          <t>6 ngày</t>
        </is>
      </c>
      <c r="E3" s="3" t="inlineStr">
        <is>
          <t>21.5 điểm</t>
        </is>
      </c>
      <c r="F3" s="3" t="inlineStr">
        <is>
          <t>Ưu tiên hỏa lực chính</t>
        </is>
      </c>
    </row>
    <row r="4">
      <c r="A4" s="2" t="inlineStr">
        <is>
          <t>Top 03</t>
        </is>
      </c>
      <c r="B4" s="2" t="inlineStr">
        <is>
          <t>44</t>
        </is>
      </c>
      <c r="C4" s="3" t="inlineStr">
        <is>
          <t>Tổng 8</t>
        </is>
      </c>
      <c r="D4" s="3" t="inlineStr">
        <is>
          <t>5 ngày</t>
        </is>
      </c>
      <c r="E4" s="3" t="inlineStr">
        <is>
          <t>21.5 điểm</t>
        </is>
      </c>
      <c r="F4" s="3" t="inlineStr">
        <is>
          <t>Ưu tiên hỏa lực chính</t>
        </is>
      </c>
    </row>
    <row r="5">
      <c r="A5" s="2" t="inlineStr">
        <is>
          <t>Top 04</t>
        </is>
      </c>
      <c r="B5" s="2" t="inlineStr">
        <is>
          <t>54</t>
        </is>
      </c>
      <c r="C5" s="3" t="inlineStr">
        <is>
          <t>Tổng 9</t>
        </is>
      </c>
      <c r="D5" s="3" t="inlineStr">
        <is>
          <t>26 ngày</t>
        </is>
      </c>
      <c r="E5" s="3" t="inlineStr">
        <is>
          <t>18.0 điểm</t>
        </is>
      </c>
      <c r="F5" s="3" t="inlineStr">
        <is>
          <t>Ưu tiên hỏa lực chính</t>
        </is>
      </c>
    </row>
    <row r="6">
      <c r="A6" s="2" t="inlineStr">
        <is>
          <t>Top 05</t>
        </is>
      </c>
      <c r="B6" s="2" t="inlineStr">
        <is>
          <t>67</t>
        </is>
      </c>
      <c r="C6" s="3" t="inlineStr">
        <is>
          <t>Tổng 3</t>
        </is>
      </c>
      <c r="D6" s="3" t="inlineStr">
        <is>
          <t>12 ngày</t>
        </is>
      </c>
      <c r="E6" s="3" t="inlineStr">
        <is>
          <t>15.5 điểm</t>
        </is>
      </c>
      <c r="F6" s="3" t="inlineStr">
        <is>
          <t>Ưu tiên hỏa lực chính</t>
        </is>
      </c>
    </row>
    <row r="7">
      <c r="A7" s="2" t="inlineStr">
        <is>
          <t>Top 06</t>
        </is>
      </c>
      <c r="B7" s="2" t="inlineStr">
        <is>
          <t>21</t>
        </is>
      </c>
      <c r="C7" s="3" t="inlineStr">
        <is>
          <t>Tổng 3</t>
        </is>
      </c>
      <c r="D7" s="3" t="inlineStr">
        <is>
          <t>9 ngày</t>
        </is>
      </c>
      <c r="E7" s="3" t="inlineStr">
        <is>
          <t>13.5 điểm</t>
        </is>
      </c>
      <c r="F7" s="3" t="inlineStr">
        <is>
          <t>Dàn lót bổ trợ</t>
        </is>
      </c>
    </row>
    <row r="8">
      <c r="A8" s="2" t="inlineStr">
        <is>
          <t>Top 07</t>
        </is>
      </c>
      <c r="B8" s="2" t="inlineStr">
        <is>
          <t>09</t>
        </is>
      </c>
      <c r="C8" s="3" t="inlineStr">
        <is>
          <t>Tổng 9</t>
        </is>
      </c>
      <c r="D8" s="3" t="inlineStr">
        <is>
          <t>16 ngày</t>
        </is>
      </c>
      <c r="E8" s="3" t="inlineStr">
        <is>
          <t>12.5 điểm</t>
        </is>
      </c>
      <c r="F8" s="3" t="inlineStr">
        <is>
          <t>Dàn lót bổ trợ</t>
        </is>
      </c>
    </row>
    <row r="9">
      <c r="A9" s="2" t="inlineStr">
        <is>
          <t>Top 08</t>
        </is>
      </c>
      <c r="B9" s="2" t="inlineStr">
        <is>
          <t>22</t>
        </is>
      </c>
      <c r="C9" s="3" t="inlineStr">
        <is>
          <t>Tổng 4</t>
        </is>
      </c>
      <c r="D9" s="3" t="inlineStr">
        <is>
          <t>10 ngày</t>
        </is>
      </c>
      <c r="E9" s="3" t="inlineStr">
        <is>
          <t>12.5 điểm</t>
        </is>
      </c>
      <c r="F9" s="3" t="inlineStr">
        <is>
          <t>Dàn lót bổ trợ</t>
        </is>
      </c>
    </row>
    <row r="10">
      <c r="A10" s="2" t="inlineStr">
        <is>
          <t>Top 09</t>
        </is>
      </c>
      <c r="B10" s="2" t="inlineStr">
        <is>
          <t>36</t>
        </is>
      </c>
      <c r="C10" s="3" t="inlineStr">
        <is>
          <t>Tổng 9</t>
        </is>
      </c>
      <c r="D10" s="3" t="inlineStr">
        <is>
          <t>57 ngày</t>
        </is>
      </c>
      <c r="E10" s="3" t="inlineStr">
        <is>
          <t>5.0 điểm</t>
        </is>
      </c>
      <c r="F10" s="3" t="inlineStr">
        <is>
          <t>Dàn lót bổ trợ</t>
        </is>
      </c>
    </row>
    <row r="11">
      <c r="A11" s="2" t="inlineStr">
        <is>
          <t>Top 10</t>
        </is>
      </c>
      <c r="B11" s="2" t="inlineStr">
        <is>
          <t>53</t>
        </is>
      </c>
      <c r="C11" s="3" t="inlineStr">
        <is>
          <t>Tổng 8</t>
        </is>
      </c>
      <c r="D11" s="3" t="inlineStr">
        <is>
          <t>52 ngày</t>
        </is>
      </c>
      <c r="E11" s="3" t="inlineStr">
        <is>
          <t>5.0 điểm</t>
        </is>
      </c>
      <c r="F11" s="3" t="inlineStr">
        <is>
          <t>Dàn lót bổ trợ</t>
        </is>
      </c>
    </row>
    <row r="12">
      <c r="A12" s="2" t="inlineStr">
        <is>
          <t>Top 11</t>
        </is>
      </c>
      <c r="B12" s="2" t="inlineStr">
        <is>
          <t>04</t>
        </is>
      </c>
      <c r="C12" s="3" t="inlineStr">
        <is>
          <t>Tổng 4</t>
        </is>
      </c>
      <c r="D12" s="3" t="inlineStr">
        <is>
          <t>53 ngày</t>
        </is>
      </c>
      <c r="E12" s="3" t="inlineStr">
        <is>
          <t>5.0 điểm</t>
        </is>
      </c>
      <c r="F12" s="3" t="inlineStr">
        <is>
          <t>Dàn lót bổ trợ</t>
        </is>
      </c>
    </row>
    <row r="13">
      <c r="A13" s="2" t="inlineStr">
        <is>
          <t>Top 12</t>
        </is>
      </c>
      <c r="B13" s="2" t="inlineStr">
        <is>
          <t>85</t>
        </is>
      </c>
      <c r="C13" s="3" t="inlineStr">
        <is>
          <t>Tổng 3</t>
        </is>
      </c>
      <c r="D13" s="3" t="inlineStr">
        <is>
          <t>40 ngày</t>
        </is>
      </c>
      <c r="E13" s="3" t="inlineStr">
        <is>
          <t>5.0 điểm</t>
        </is>
      </c>
      <c r="F13" s="3" t="inlineStr">
        <is>
          <t>Dàn lót bổ trợ</t>
        </is>
      </c>
    </row>
    <row r="14">
      <c r="A14" s="2" t="inlineStr">
        <is>
          <t>Top 13</t>
        </is>
      </c>
      <c r="B14" s="2" t="inlineStr">
        <is>
          <t>94</t>
        </is>
      </c>
      <c r="C14" s="3" t="inlineStr">
        <is>
          <t>Tổng 3</t>
        </is>
      </c>
      <c r="D14" s="3" t="inlineStr">
        <is>
          <t>37 ngày</t>
        </is>
      </c>
      <c r="E14" s="3" t="inlineStr">
        <is>
          <t>4.0 điểm</t>
        </is>
      </c>
      <c r="F14" s="3" t="inlineStr">
        <is>
          <t>Dàn lót bổ trợ</t>
        </is>
      </c>
    </row>
    <row r="15">
      <c r="A15" s="2" t="inlineStr">
        <is>
          <t>Top 14</t>
        </is>
      </c>
      <c r="B15" s="2" t="inlineStr">
        <is>
          <t>99</t>
        </is>
      </c>
      <c r="C15" s="3" t="inlineStr">
        <is>
          <t>Tổng 8</t>
        </is>
      </c>
      <c r="D15" s="3" t="inlineStr">
        <is>
          <t>36 ngày</t>
        </is>
      </c>
      <c r="E15" s="3" t="inlineStr">
        <is>
          <t>4.0 điểm</t>
        </is>
      </c>
      <c r="F15" s="3" t="inlineStr">
        <is>
          <t>Dàn lót bổ trợ</t>
        </is>
      </c>
    </row>
    <row r="16">
      <c r="A16" s="2" t="inlineStr">
        <is>
          <t>Top 15</t>
        </is>
      </c>
      <c r="B16" s="2" t="inlineStr">
        <is>
          <t>68</t>
        </is>
      </c>
      <c r="C16" s="3" t="inlineStr">
        <is>
          <t>Tổng 4</t>
        </is>
      </c>
      <c r="D16" s="3" t="inlineStr">
        <is>
          <t>49 ngày</t>
        </is>
      </c>
      <c r="E16" s="3" t="inlineStr">
        <is>
          <t>4.0 điểm</t>
        </is>
      </c>
      <c r="F16" s="3" t="inlineStr">
        <is>
          <t>Dàn lót bổ trợ</t>
        </is>
      </c>
    </row>
    <row r="17">
      <c r="A17" s="2" t="inlineStr">
        <is>
          <t>Top 16</t>
        </is>
      </c>
      <c r="B17" s="2" t="inlineStr">
        <is>
          <t>90</t>
        </is>
      </c>
      <c r="C17" s="3" t="inlineStr">
        <is>
          <t>Tổng 9</t>
        </is>
      </c>
      <c r="D17" s="3" t="inlineStr">
        <is>
          <t>31 ngày</t>
        </is>
      </c>
      <c r="E17" s="3" t="inlineStr">
        <is>
          <t>4.0 điểm</t>
        </is>
      </c>
      <c r="F17" s="3" t="inlineStr">
        <is>
          <t>Dàn lót bổ trợ</t>
        </is>
      </c>
    </row>
    <row r="18">
      <c r="A18" s="2" t="inlineStr">
        <is>
          <t>Top 17</t>
        </is>
      </c>
      <c r="B18" s="2" t="inlineStr">
        <is>
          <t>63</t>
        </is>
      </c>
      <c r="C18" s="3" t="inlineStr">
        <is>
          <t>Tổng 9</t>
        </is>
      </c>
      <c r="D18" s="3" t="inlineStr">
        <is>
          <t>33 ngày</t>
        </is>
      </c>
      <c r="E18" s="3" t="inlineStr">
        <is>
          <t>4.0 điểm</t>
        </is>
      </c>
      <c r="F18" s="3" t="inlineStr">
        <is>
          <t>Dàn lót bổ trợ</t>
        </is>
      </c>
    </row>
    <row r="19">
      <c r="A19" s="2" t="inlineStr">
        <is>
          <t>Top 18</t>
        </is>
      </c>
      <c r="B19" s="2" t="inlineStr">
        <is>
          <t>71</t>
        </is>
      </c>
      <c r="C19" s="3" t="inlineStr">
        <is>
          <t>Tổng 8</t>
        </is>
      </c>
      <c r="D19" s="3" t="inlineStr">
        <is>
          <t>44 ngày</t>
        </is>
      </c>
      <c r="E19" s="3" t="inlineStr">
        <is>
          <t>4.0 điểm</t>
        </is>
      </c>
      <c r="F19" s="3" t="inlineStr">
        <is>
          <t>Dàn lót bổ trợ</t>
        </is>
      </c>
    </row>
    <row r="20">
      <c r="A20" s="2" t="inlineStr">
        <is>
          <t>Top 19</t>
        </is>
      </c>
      <c r="B20" s="2" t="inlineStr">
        <is>
          <t>80</t>
        </is>
      </c>
      <c r="C20" s="3" t="inlineStr">
        <is>
          <t>Tổng 8</t>
        </is>
      </c>
      <c r="D20" s="3" t="inlineStr">
        <is>
          <t>64 ngày</t>
        </is>
      </c>
      <c r="E20" s="3" t="inlineStr">
        <is>
          <t>2.0 điểm</t>
        </is>
      </c>
      <c r="F20" s="3" t="inlineStr">
        <is>
          <t>Dàn lót bổ trợ</t>
        </is>
      </c>
    </row>
    <row r="21">
      <c r="A21" s="2" t="inlineStr">
        <is>
          <t>Top 20</t>
        </is>
      </c>
      <c r="B21" s="2" t="inlineStr">
        <is>
          <t>08</t>
        </is>
      </c>
      <c r="C21" s="3" t="inlineStr">
        <is>
          <t>Tổng 8</t>
        </is>
      </c>
      <c r="D21" s="3" t="inlineStr">
        <is>
          <t>69 ngày</t>
        </is>
      </c>
      <c r="E21" s="3" t="inlineStr">
        <is>
          <t>2.0 điểm</t>
        </is>
      </c>
      <c r="F21" s="3" t="inlineStr">
        <is>
          <t>Dàn lót bổ trợ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65" customWidth="1" min="2" max="2"/>
    <col width="65" customWidth="1" min="3" max="3"/>
    <col width="65" customWidth="1" min="4" max="4"/>
    <col width="65" customWidth="1" min="5" max="5"/>
    <col width="65" customWidth="1" min="6" max="6"/>
    <col width="65" customWidth="1" min="7" max="7"/>
    <col width="65" customWidth="1" min="8" max="8"/>
    <col width="65" customWidth="1" min="9" max="9"/>
    <col width="65" customWidth="1" min="10" max="10"/>
  </cols>
  <sheetData>
    <row r="1">
      <c r="A1" s="1" t="inlineStr">
        <is>
          <t>⚡ BỘ LỌC TỰ ĐỘNG THEO THỨ (LIVE EXCEL FORMULAS)</t>
        </is>
      </c>
      <c r="B1" s="1" t="inlineStr"/>
      <c r="C1" s="1" t="inlineStr"/>
      <c r="D1" s="1" t="inlineStr"/>
      <c r="E1" s="1" t="inlineStr"/>
      <c r="F1" s="1" t="n"/>
      <c r="G1" s="1" t="n"/>
      <c r="H1" s="1" t="n"/>
      <c r="I1" s="1" t="n"/>
      <c r="J1" s="1" t="n"/>
    </row>
    <row r="2">
      <c r="A2" s="2" t="inlineStr">
        <is>
          <t>Chọn Chạm Lọc (Dropdown C4)</t>
        </is>
      </c>
      <c r="B2" s="2" t="inlineStr">
        <is>
          <t>Chọn Tổng Lọc (Dropdown D4)</t>
        </is>
      </c>
      <c r="C2" s="3" t="inlineStr">
        <is>
          <t>Liên Kết File Gốc (E4)</t>
        </is>
      </c>
      <c r="D2" s="3" t="inlineStr">
        <is>
          <t>Tổng Số Con Dàn Hạ</t>
        </is>
      </c>
      <c r="E2" s="3" t="inlineStr">
        <is>
          <t>Trạng Thái</t>
        </is>
      </c>
      <c r="F2" s="3" t="n"/>
      <c r="G2" s="3" t="n"/>
      <c r="H2" s="3" t="n"/>
      <c r="I2" s="3" t="n"/>
      <c r="J2" s="3" t="n"/>
    </row>
    <row r="3">
      <c r="A3" s="2" t="inlineStr">
        <is>
          <t>Tất cả</t>
        </is>
      </c>
      <c r="B3" s="2" t="inlineStr">
        <is>
          <t>Tất cả</t>
        </is>
      </c>
      <c r="C3" s="3">
        <f>'[Thong_Ke_G7_Va_Top20_XSMB_2026.xlsx]LOC_COPY'!$C$5</f>
        <v/>
      </c>
      <c r="D3" s="3">
        <f>COUNTA(A7:Z20)</f>
        <v/>
      </c>
      <c r="E3" s="3" t="inlineStr">
        <is>
          <t>Đang Tự Động Kết Nối Live</t>
        </is>
      </c>
      <c r="F3" s="3" t="n"/>
      <c r="G3" s="3" t="n"/>
      <c r="H3" s="3" t="n"/>
      <c r="I3" s="3" t="n"/>
      <c r="J3" s="3" t="n"/>
    </row>
    <row r="4">
      <c r="A4" s="2" t="inlineStr"/>
      <c r="B4" s="2" t="inlineStr"/>
      <c r="C4" s="3" t="inlineStr"/>
      <c r="D4" s="3" t="inlineStr"/>
      <c r="E4" s="3" t="inlineStr"/>
      <c r="F4" s="3" t="n"/>
      <c r="G4" s="3" t="n"/>
      <c r="H4" s="3" t="n"/>
      <c r="I4" s="3" t="n"/>
      <c r="J4" s="3" t="n"/>
    </row>
    <row r="5">
      <c r="A5" s="2" t="inlineStr">
        <is>
          <t>--- DÀN SỐ HẠ TỰ ĐỘNG THEO CHẠM &amp; TỔNG ĐÃ CHỌN ---</t>
        </is>
      </c>
      <c r="B5" s="2" t="inlineStr"/>
      <c r="C5" s="3" t="inlineStr"/>
      <c r="D5" s="3" t="inlineStr"/>
      <c r="E5" s="3" t="inlineStr"/>
      <c r="F5" s="3" t="n"/>
      <c r="G5" s="3" t="n"/>
      <c r="H5" s="3" t="n"/>
      <c r="I5" s="3" t="n"/>
      <c r="J5" s="3" t="n"/>
    </row>
    <row r="6">
      <c r="A6" s="2" t="inlineStr"/>
      <c r="B6" s="2" t="inlineStr"/>
      <c r="C6" s="3" t="inlineStr"/>
      <c r="D6" s="3">
        <f>IF(AND(OR(A$3="Tất cả", 0=INT(A$3), 3=INT(A$3)), OR(B$3="Tất cả", 3=INT(B$3))), "03", "")</f>
        <v/>
      </c>
      <c r="E6" s="3">
        <f>IF(AND(OR(A$3="Tất cả", 0=INT(A$3), 4=INT(A$3)), OR(B$3="Tất cả", 4=INT(B$3))), "04", "")</f>
        <v/>
      </c>
      <c r="F6" s="3" t="inlineStr"/>
      <c r="G6" s="3" t="inlineStr"/>
      <c r="H6" s="3" t="inlineStr"/>
      <c r="I6" s="3">
        <f>IF(AND(OR(A$3="Tất cả", 0=INT(A$3), 8=INT(A$3)), OR(B$3="Tất cả", 8=INT(B$3))), "08", "")</f>
        <v/>
      </c>
      <c r="J6" s="3">
        <f>IF(AND(OR(A$3="Tất cả", 0=INT(A$3), 9=INT(A$3)), OR(B$3="Tất cả", 9=INT(B$3))), "09", "")</f>
        <v/>
      </c>
    </row>
    <row r="7">
      <c r="A7" s="2" t="inlineStr"/>
      <c r="B7" s="2" t="inlineStr"/>
      <c r="C7" s="3">
        <f>IF(AND(OR(A$3="Tất cả", 1=INT(A$3), 2=INT(A$3)), OR(B$3="Tất cả", 3=INT(B$3))), "12", "")</f>
        <v/>
      </c>
      <c r="D7" s="3">
        <f>IF(AND(OR(A$3="Tất cả", 1=INT(A$3), 3=INT(A$3)), OR(B$3="Tất cả", 4=INT(B$3))), "13", "")</f>
        <v/>
      </c>
      <c r="E7" s="3" t="inlineStr"/>
      <c r="F7" s="3" t="inlineStr"/>
      <c r="G7" s="3" t="inlineStr"/>
      <c r="H7" s="3">
        <f>IF(AND(OR(A$3="Tất cả", 1=INT(A$3), 7=INT(A$3)), OR(B$3="Tất cả", 8=INT(B$3))), "17", "")</f>
        <v/>
      </c>
      <c r="I7" s="3">
        <f>IF(AND(OR(A$3="Tất cả", 1=INT(A$3), 8=INT(A$3)), OR(B$3="Tất cả", 9=INT(B$3))), "18", "")</f>
        <v/>
      </c>
      <c r="J7" s="3" t="inlineStr"/>
    </row>
    <row r="8">
      <c r="A8" s="2" t="inlineStr"/>
      <c r="B8" s="2">
        <f>IF(AND(OR(A$3="Tất cả", 2=INT(A$3), 1=INT(A$3)), OR(B$3="Tất cả", 3=INT(B$3))), "21", "")</f>
        <v/>
      </c>
      <c r="C8" s="3">
        <f>IF(AND(OR(A$3="Tất cả", 2=INT(A$3), 2=INT(A$3)), OR(B$3="Tất cả", 4=INT(B$3))), "22", "")</f>
        <v/>
      </c>
      <c r="D8" s="3" t="inlineStr"/>
      <c r="E8" s="3" t="inlineStr"/>
      <c r="F8" s="3" t="inlineStr"/>
      <c r="G8" s="3">
        <f>IF(AND(OR(A$3="Tất cả", 2=INT(A$3), 6=INT(A$3)), OR(B$3="Tất cả", 8=INT(B$3))), "26", "")</f>
        <v/>
      </c>
      <c r="H8" s="3">
        <f>IF(AND(OR(A$3="Tất cả", 2=INT(A$3), 7=INT(A$3)), OR(B$3="Tất cả", 9=INT(B$3))), "27", "")</f>
        <v/>
      </c>
      <c r="I8" s="3" t="inlineStr"/>
      <c r="J8" s="3" t="inlineStr"/>
    </row>
    <row r="9">
      <c r="A9" s="2">
        <f>IF(AND(OR(A$3="Tất cả", 3=INT(A$3), 0=INT(A$3)), OR(B$3="Tất cả", 3=INT(B$3))), "30", "")</f>
        <v/>
      </c>
      <c r="B9" s="2">
        <f>IF(AND(OR(A$3="Tất cả", 3=INT(A$3), 1=INT(A$3)), OR(B$3="Tất cả", 4=INT(B$3))), "31", "")</f>
        <v/>
      </c>
      <c r="C9" s="3" t="inlineStr"/>
      <c r="D9" s="3" t="inlineStr"/>
      <c r="E9" s="3" t="inlineStr"/>
      <c r="F9" s="3">
        <f>IF(AND(OR(A$3="Tất cả", 3=INT(A$3), 5=INT(A$3)), OR(B$3="Tất cả", 8=INT(B$3))), "35", "")</f>
        <v/>
      </c>
      <c r="G9" s="3">
        <f>IF(AND(OR(A$3="Tất cả", 3=INT(A$3), 6=INT(A$3)), OR(B$3="Tất cả", 9=INT(B$3))), "36", "")</f>
        <v/>
      </c>
      <c r="H9" s="3" t="inlineStr"/>
      <c r="I9" s="3" t="inlineStr"/>
      <c r="J9" s="3" t="inlineStr"/>
    </row>
    <row r="10">
      <c r="A10" s="2">
        <f>IF(AND(OR(A$3="Tất cả", 4=INT(A$3), 0=INT(A$3)), OR(B$3="Tất cả", 4=INT(B$3))), "40", "")</f>
        <v/>
      </c>
      <c r="B10" s="2" t="inlineStr"/>
      <c r="C10" s="3" t="inlineStr"/>
      <c r="D10" s="3" t="inlineStr"/>
      <c r="E10" s="3">
        <f>IF(AND(OR(A$3="Tất cả", 4=INT(A$3), 4=INT(A$3)), OR(B$3="Tất cả", 8=INT(B$3))), "44", "")</f>
        <v/>
      </c>
      <c r="F10" s="3">
        <f>IF(AND(OR(A$3="Tất cả", 4=INT(A$3), 5=INT(A$3)), OR(B$3="Tất cả", 9=INT(B$3))), "45", "")</f>
        <v/>
      </c>
      <c r="G10" s="3" t="inlineStr"/>
      <c r="H10" s="3" t="inlineStr"/>
      <c r="I10" s="3" t="inlineStr"/>
      <c r="J10" s="3">
        <f>IF(AND(OR(A$3="Tất cả", 4=INT(A$3), 9=INT(A$3)), OR(B$3="Tất cả", 3=INT(B$3))), "49", "")</f>
        <v/>
      </c>
    </row>
    <row r="11">
      <c r="A11" s="2" t="inlineStr"/>
      <c r="B11" s="2" t="inlineStr"/>
      <c r="C11" s="3" t="inlineStr"/>
      <c r="D11" s="3">
        <f>IF(AND(OR(A$3="Tất cả", 5=INT(A$3), 3=INT(A$3)), OR(B$3="Tất cả", 8=INT(B$3))), "53", "")</f>
        <v/>
      </c>
      <c r="E11" s="3">
        <f>IF(AND(OR(A$3="Tất cả", 5=INT(A$3), 4=INT(A$3)), OR(B$3="Tất cả", 9=INT(B$3))), "54", "")</f>
        <v/>
      </c>
      <c r="F11" s="3" t="inlineStr"/>
      <c r="G11" s="3" t="inlineStr"/>
      <c r="H11" s="3" t="inlineStr"/>
      <c r="I11" s="3">
        <f>IF(AND(OR(A$3="Tất cả", 5=INT(A$3), 8=INT(A$3)), OR(B$3="Tất cả", 3=INT(B$3))), "58", "")</f>
        <v/>
      </c>
      <c r="J11" s="3">
        <f>IF(AND(OR(A$3="Tất cả", 5=INT(A$3), 9=INT(A$3)), OR(B$3="Tất cả", 4=INT(B$3))), "59", "")</f>
        <v/>
      </c>
    </row>
    <row r="12">
      <c r="A12" s="2" t="inlineStr"/>
      <c r="B12" s="2" t="inlineStr"/>
      <c r="C12" s="3">
        <f>IF(AND(OR(A$3="Tất cả", 6=INT(A$3), 2=INT(A$3)), OR(B$3="Tất cả", 8=INT(B$3))), "62", "")</f>
        <v/>
      </c>
      <c r="D12" s="3">
        <f>IF(AND(OR(A$3="Tất cả", 6=INT(A$3), 3=INT(A$3)), OR(B$3="Tất cả", 9=INT(B$3))), "63", "")</f>
        <v/>
      </c>
      <c r="E12" s="3" t="inlineStr"/>
      <c r="F12" s="3" t="inlineStr"/>
      <c r="G12" s="3" t="inlineStr"/>
      <c r="H12" s="3">
        <f>IF(AND(OR(A$3="Tất cả", 6=INT(A$3), 7=INT(A$3)), OR(B$3="Tất cả", 3=INT(B$3))), "67", "")</f>
        <v/>
      </c>
      <c r="I12" s="3">
        <f>IF(AND(OR(A$3="Tất cả", 6=INT(A$3), 8=INT(A$3)), OR(B$3="Tất cả", 4=INT(B$3))), "68", "")</f>
        <v/>
      </c>
      <c r="J12" s="3" t="inlineStr"/>
    </row>
    <row r="13">
      <c r="A13" s="2" t="inlineStr"/>
      <c r="B13" s="2">
        <f>IF(AND(OR(A$3="Tất cả", 7=INT(A$3), 1=INT(A$3)), OR(B$3="Tất cả", 8=INT(B$3))), "71", "")</f>
        <v/>
      </c>
      <c r="C13" s="3">
        <f>IF(AND(OR(A$3="Tất cả", 7=INT(A$3), 2=INT(A$3)), OR(B$3="Tất cả", 9=INT(B$3))), "72", "")</f>
        <v/>
      </c>
      <c r="D13" s="3" t="inlineStr"/>
      <c r="E13" s="3" t="inlineStr"/>
      <c r="F13" s="3" t="inlineStr"/>
      <c r="G13" s="3">
        <f>IF(AND(OR(A$3="Tất cả", 7=INT(A$3), 6=INT(A$3)), OR(B$3="Tất cả", 3=INT(B$3))), "76", "")</f>
        <v/>
      </c>
      <c r="H13" s="3">
        <f>IF(AND(OR(A$3="Tất cả", 7=INT(A$3), 7=INT(A$3)), OR(B$3="Tất cả", 4=INT(B$3))), "77", "")</f>
        <v/>
      </c>
      <c r="I13" s="3" t="inlineStr"/>
      <c r="J13" s="3" t="inlineStr"/>
    </row>
    <row r="14">
      <c r="A14" s="2">
        <f>IF(AND(OR(A$3="Tất cả", 8=INT(A$3), 0=INT(A$3)), OR(B$3="Tất cả", 8=INT(B$3))), "80", "")</f>
        <v/>
      </c>
      <c r="B14" s="2">
        <f>IF(AND(OR(A$3="Tất cả", 8=INT(A$3), 1=INT(A$3)), OR(B$3="Tất cả", 9=INT(B$3))), "81", "")</f>
        <v/>
      </c>
      <c r="C14" s="3" t="inlineStr"/>
      <c r="D14" s="3" t="inlineStr"/>
      <c r="E14" s="3" t="inlineStr"/>
      <c r="F14" s="3">
        <f>IF(AND(OR(A$3="Tất cả", 8=INT(A$3), 5=INT(A$3)), OR(B$3="Tất cả", 3=INT(B$3))), "85", "")</f>
        <v/>
      </c>
      <c r="G14" s="3">
        <f>IF(AND(OR(A$3="Tất cả", 8=INT(A$3), 6=INT(A$3)), OR(B$3="Tất cả", 4=INT(B$3))), "86", "")</f>
        <v/>
      </c>
      <c r="H14" s="3" t="inlineStr"/>
      <c r="I14" s="3" t="inlineStr"/>
      <c r="J14" s="3" t="inlineStr"/>
    </row>
    <row r="15">
      <c r="A15" s="2">
        <f>IF(AND(OR(A$3="Tất cả", 9=INT(A$3), 0=INT(A$3)), OR(B$3="Tất cả", 9=INT(B$3))), "90", "")</f>
        <v/>
      </c>
      <c r="B15" s="2" t="inlineStr"/>
      <c r="C15" s="3" t="inlineStr"/>
      <c r="D15" s="3" t="inlineStr"/>
      <c r="E15" s="3">
        <f>IF(AND(OR(A$3="Tất cả", 9=INT(A$3), 4=INT(A$3)), OR(B$3="Tất cả", 3=INT(B$3))), "94", "")</f>
        <v/>
      </c>
      <c r="F15" s="3">
        <f>IF(AND(OR(A$3="Tất cả", 9=INT(A$3), 5=INT(A$3)), OR(B$3="Tất cả", 4=INT(B$3))), "95", "")</f>
        <v/>
      </c>
      <c r="G15" s="3" t="inlineStr"/>
      <c r="H15" s="3" t="inlineStr"/>
      <c r="I15" s="3" t="inlineStr"/>
      <c r="J15" s="3">
        <f>IF(AND(OR(A$3="Tất cả", 9=INT(A$3), 9=INT(A$3)), OR(B$3="Tất cả", 8=INT(B$3))), "99", "")</f>
        <v/>
      </c>
    </row>
  </sheetData>
  <dataValidations count="2">
    <dataValidation sqref="A3" showDropDown="0" showInputMessage="0" showErrorMessage="0" allowBlank="1" type="list">
      <formula1>"Tất cả,0,1,2,3,4,5,6,7,8,9"</formula1>
    </dataValidation>
    <dataValidation sqref="B3" showDropDown="0" showInputMessage="0" showErrorMessage="0" allowBlank="1" type="list">
      <formula1>"Tất cả,0,1,2,3,4,5,6,7,8,9"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2026-08-19T05:06:34Z</dcterms:created>
  <dcterms:modified xsi:type="dcterms:W3CDTF">2026-08-19T05:06:34Z</dcterms:modified>
</cp:coreProperties>
</file>
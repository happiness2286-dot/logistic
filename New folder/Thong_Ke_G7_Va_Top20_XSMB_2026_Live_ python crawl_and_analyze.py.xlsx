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ONG BO\New Ha GCCK\Năm 2026\Dự Án AI_ Antigravity\Logic\"/>
    </mc:Choice>
  </mc:AlternateContent>
  <xr:revisionPtr revIDLastSave="0" documentId="13_ncr:1_{A2B1D60A-E681-4E00-A3D0-F5AE7C415223}" xr6:coauthVersionLast="47" xr6:coauthVersionMax="47" xr10:uidLastSave="{00000000-0000-0000-0000-000000000000}"/>
  <bookViews>
    <workbookView xWindow="-120" yWindow="-120" windowWidth="29040" windowHeight="15840" tabRatio="887" xr2:uid="{00000000-000D-0000-FFFF-FFFF00000000}"/>
  </bookViews>
  <sheets>
    <sheet name="LOC_COPY" sheetId="1" r:id="rId1"/>
    <sheet name="Du_Lieu_2026" sheetId="2" state="hidden" r:id="rId2"/>
    <sheet name="Top20_Dong_Thuan" sheetId="4" state="hidden" r:id="rId3"/>
    <sheet name="Thong_Ke_Theo_Thu" sheetId="5" r:id="rId4"/>
    <sheet name="Thong_Ke_G7_MultiWindow" sheetId="3" r:id="rId5"/>
    <sheet name="Thong_Ke_Nang_Cao_G7" sheetId="6" r:id="rId6"/>
    <sheet name="Lich_Su_Truc_Tiep_2026" sheetId="7" state="hidden" r:id="rId7"/>
    <sheet name="Thong_Ke_Dau_Duoi" sheetId="8" r:id="rId8"/>
    <sheet name="Lich_Su_Nuoi_Khung_3Ngay" sheetId="9" r:id="rId9"/>
    <sheet name="Top_3D_4D_Manh_Nhat" sheetId="10" r:id="rId10"/>
    <sheet name="Lich_Su_3D_4D_2026" sheetId="11" state="hidden" r:id="rId1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2" i="1" l="1"/>
  <c r="C102" i="1"/>
  <c r="D102" i="1" s="1"/>
  <c r="G101" i="1"/>
  <c r="C101" i="1"/>
  <c r="D101" i="1" s="1"/>
  <c r="G100" i="1"/>
  <c r="C100" i="1"/>
  <c r="D100" i="1" s="1"/>
  <c r="G99" i="1"/>
  <c r="C99" i="1"/>
  <c r="D99" i="1" s="1"/>
  <c r="G98" i="1"/>
  <c r="C98" i="1"/>
  <c r="D98" i="1" s="1"/>
  <c r="G97" i="1"/>
  <c r="C97" i="1"/>
  <c r="D97" i="1" s="1"/>
  <c r="G96" i="1"/>
  <c r="C96" i="1"/>
  <c r="D96" i="1" s="1"/>
  <c r="G95" i="1"/>
  <c r="C95" i="1"/>
  <c r="D95" i="1" s="1"/>
  <c r="G94" i="1"/>
  <c r="C94" i="1"/>
  <c r="D94" i="1" s="1"/>
  <c r="G93" i="1"/>
  <c r="C93" i="1"/>
  <c r="D93" i="1" s="1"/>
  <c r="G92" i="1"/>
  <c r="C92" i="1"/>
  <c r="D92" i="1" s="1"/>
  <c r="G91" i="1"/>
  <c r="C91" i="1"/>
  <c r="D91" i="1" s="1"/>
  <c r="G90" i="1"/>
  <c r="C90" i="1"/>
  <c r="D90" i="1" s="1"/>
  <c r="G89" i="1"/>
  <c r="C89" i="1"/>
  <c r="D89" i="1" s="1"/>
  <c r="G88" i="1"/>
  <c r="C88" i="1"/>
  <c r="D88" i="1" s="1"/>
  <c r="G87" i="1"/>
  <c r="C87" i="1"/>
  <c r="D87" i="1" s="1"/>
  <c r="G86" i="1"/>
  <c r="C86" i="1"/>
  <c r="D86" i="1" s="1"/>
  <c r="G85" i="1"/>
  <c r="C85" i="1"/>
  <c r="D85" i="1" s="1"/>
  <c r="G84" i="1"/>
  <c r="C84" i="1"/>
  <c r="D84" i="1" s="1"/>
  <c r="G83" i="1"/>
  <c r="C83" i="1"/>
  <c r="D83" i="1" s="1"/>
  <c r="G82" i="1"/>
  <c r="C82" i="1"/>
  <c r="D82" i="1" s="1"/>
  <c r="G81" i="1"/>
  <c r="C81" i="1"/>
  <c r="E81" i="1" s="1"/>
  <c r="F81" i="1" s="1"/>
  <c r="G80" i="1"/>
  <c r="C80" i="1"/>
  <c r="E80" i="1" s="1"/>
  <c r="F80" i="1" s="1"/>
  <c r="G79" i="1"/>
  <c r="C79" i="1"/>
  <c r="E79" i="1" s="1"/>
  <c r="F79" i="1" s="1"/>
  <c r="G78" i="1"/>
  <c r="C78" i="1"/>
  <c r="E78" i="1" s="1"/>
  <c r="F78" i="1" s="1"/>
  <c r="G77" i="1"/>
  <c r="C77" i="1"/>
  <c r="E77" i="1" s="1"/>
  <c r="F77" i="1" s="1"/>
  <c r="G76" i="1"/>
  <c r="C76" i="1"/>
  <c r="E76" i="1" s="1"/>
  <c r="F76" i="1" s="1"/>
  <c r="G75" i="1"/>
  <c r="C75" i="1"/>
  <c r="E75" i="1" s="1"/>
  <c r="F75" i="1" s="1"/>
  <c r="G74" i="1"/>
  <c r="C74" i="1"/>
  <c r="E74" i="1" s="1"/>
  <c r="F74" i="1" s="1"/>
  <c r="G73" i="1"/>
  <c r="C73" i="1"/>
  <c r="E73" i="1" s="1"/>
  <c r="F73" i="1" s="1"/>
  <c r="G72" i="1"/>
  <c r="C72" i="1"/>
  <c r="E72" i="1" s="1"/>
  <c r="F72" i="1" s="1"/>
  <c r="G71" i="1"/>
  <c r="C71" i="1"/>
  <c r="E71" i="1" s="1"/>
  <c r="F71" i="1" s="1"/>
  <c r="G70" i="1"/>
  <c r="C70" i="1"/>
  <c r="E70" i="1" s="1"/>
  <c r="F70" i="1" s="1"/>
  <c r="G69" i="1"/>
  <c r="C69" i="1"/>
  <c r="E69" i="1" s="1"/>
  <c r="F69" i="1" s="1"/>
  <c r="G68" i="1"/>
  <c r="C68" i="1"/>
  <c r="E68" i="1" s="1"/>
  <c r="F68" i="1" s="1"/>
  <c r="G67" i="1"/>
  <c r="C67" i="1"/>
  <c r="E67" i="1" s="1"/>
  <c r="F67" i="1" s="1"/>
  <c r="G66" i="1"/>
  <c r="C66" i="1"/>
  <c r="E66" i="1" s="1"/>
  <c r="F66" i="1" s="1"/>
  <c r="G65" i="1"/>
  <c r="C65" i="1"/>
  <c r="E65" i="1" s="1"/>
  <c r="F65" i="1" s="1"/>
  <c r="G64" i="1"/>
  <c r="C64" i="1"/>
  <c r="E64" i="1" s="1"/>
  <c r="F64" i="1" s="1"/>
  <c r="G63" i="1"/>
  <c r="C63" i="1"/>
  <c r="E63" i="1" s="1"/>
  <c r="F63" i="1" s="1"/>
  <c r="G62" i="1"/>
  <c r="C62" i="1"/>
  <c r="E62" i="1" s="1"/>
  <c r="F62" i="1" s="1"/>
  <c r="G61" i="1"/>
  <c r="C61" i="1"/>
  <c r="E61" i="1" s="1"/>
  <c r="F61" i="1" s="1"/>
  <c r="G60" i="1"/>
  <c r="C60" i="1"/>
  <c r="E60" i="1" s="1"/>
  <c r="F60" i="1" s="1"/>
  <c r="G59" i="1"/>
  <c r="C59" i="1"/>
  <c r="E59" i="1" s="1"/>
  <c r="F59" i="1" s="1"/>
  <c r="G58" i="1"/>
  <c r="C58" i="1"/>
  <c r="E58" i="1" s="1"/>
  <c r="F58" i="1" s="1"/>
  <c r="G57" i="1"/>
  <c r="C57" i="1"/>
  <c r="E57" i="1" s="1"/>
  <c r="F57" i="1" s="1"/>
  <c r="G56" i="1"/>
  <c r="C56" i="1"/>
  <c r="E56" i="1" s="1"/>
  <c r="F56" i="1" s="1"/>
  <c r="G55" i="1"/>
  <c r="C55" i="1"/>
  <c r="E55" i="1" s="1"/>
  <c r="F55" i="1" s="1"/>
  <c r="G54" i="1"/>
  <c r="C54" i="1"/>
  <c r="E54" i="1" s="1"/>
  <c r="F54" i="1" s="1"/>
  <c r="G53" i="1"/>
  <c r="C53" i="1"/>
  <c r="E53" i="1" s="1"/>
  <c r="F53" i="1" s="1"/>
  <c r="G52" i="1"/>
  <c r="C52" i="1"/>
  <c r="E52" i="1" s="1"/>
  <c r="F52" i="1" s="1"/>
  <c r="G51" i="1"/>
  <c r="C51" i="1"/>
  <c r="E51" i="1" s="1"/>
  <c r="F51" i="1" s="1"/>
  <c r="G50" i="1"/>
  <c r="C50" i="1"/>
  <c r="E50" i="1" s="1"/>
  <c r="F50" i="1" s="1"/>
  <c r="G49" i="1"/>
  <c r="C49" i="1"/>
  <c r="E49" i="1" s="1"/>
  <c r="F49" i="1" s="1"/>
  <c r="G48" i="1"/>
  <c r="C48" i="1"/>
  <c r="E48" i="1" s="1"/>
  <c r="F48" i="1" s="1"/>
  <c r="G47" i="1"/>
  <c r="C47" i="1"/>
  <c r="E47" i="1" s="1"/>
  <c r="F47" i="1" s="1"/>
  <c r="G46" i="1"/>
  <c r="C46" i="1"/>
  <c r="E46" i="1" s="1"/>
  <c r="F46" i="1" s="1"/>
  <c r="G45" i="1"/>
  <c r="C45" i="1"/>
  <c r="E45" i="1" s="1"/>
  <c r="F45" i="1" s="1"/>
  <c r="G44" i="1"/>
  <c r="C44" i="1"/>
  <c r="E44" i="1" s="1"/>
  <c r="F44" i="1" s="1"/>
  <c r="G43" i="1"/>
  <c r="C43" i="1"/>
  <c r="E43" i="1" s="1"/>
  <c r="F43" i="1" s="1"/>
  <c r="G42" i="1"/>
  <c r="C42" i="1"/>
  <c r="E42" i="1" s="1"/>
  <c r="F42" i="1" s="1"/>
  <c r="G41" i="1"/>
  <c r="C41" i="1"/>
  <c r="E41" i="1" s="1"/>
  <c r="G40" i="1"/>
  <c r="C40" i="1"/>
  <c r="E40" i="1" s="1"/>
  <c r="G39" i="1"/>
  <c r="C39" i="1"/>
  <c r="E39" i="1" s="1"/>
  <c r="G38" i="1"/>
  <c r="C38" i="1"/>
  <c r="E38" i="1" s="1"/>
  <c r="G37" i="1"/>
  <c r="C37" i="1"/>
  <c r="E37" i="1" s="1"/>
  <c r="G36" i="1"/>
  <c r="C36" i="1"/>
  <c r="E36" i="1" s="1"/>
  <c r="G35" i="1"/>
  <c r="C35" i="1"/>
  <c r="E35" i="1" s="1"/>
  <c r="G34" i="1"/>
  <c r="C34" i="1"/>
  <c r="E34" i="1" s="1"/>
  <c r="G33" i="1"/>
  <c r="C33" i="1"/>
  <c r="E33" i="1" s="1"/>
  <c r="G32" i="1"/>
  <c r="C32" i="1"/>
  <c r="E32" i="1" s="1"/>
  <c r="G31" i="1"/>
  <c r="C31" i="1"/>
  <c r="E31" i="1" s="1"/>
  <c r="G30" i="1"/>
  <c r="C30" i="1"/>
  <c r="E30" i="1" s="1"/>
  <c r="G29" i="1"/>
  <c r="C29" i="1"/>
  <c r="E29" i="1" s="1"/>
  <c r="G28" i="1"/>
  <c r="C28" i="1"/>
  <c r="E28" i="1" s="1"/>
  <c r="G27" i="1"/>
  <c r="C27" i="1"/>
  <c r="E27" i="1" s="1"/>
  <c r="F27" i="1" s="1"/>
  <c r="G26" i="1"/>
  <c r="C26" i="1"/>
  <c r="D26" i="1" s="1"/>
  <c r="G25" i="1"/>
  <c r="C25" i="1"/>
  <c r="D25" i="1" s="1"/>
  <c r="G24" i="1"/>
  <c r="C24" i="1"/>
  <c r="D24" i="1" s="1"/>
  <c r="G23" i="1"/>
  <c r="C23" i="1"/>
  <c r="D23" i="1" s="1"/>
  <c r="G22" i="1"/>
  <c r="C22" i="1"/>
  <c r="D22" i="1" s="1"/>
  <c r="G21" i="1"/>
  <c r="C21" i="1"/>
  <c r="D21" i="1" s="1"/>
  <c r="G20" i="1"/>
  <c r="C20" i="1"/>
  <c r="D20" i="1" s="1"/>
  <c r="G19" i="1"/>
  <c r="C19" i="1"/>
  <c r="D19" i="1" s="1"/>
  <c r="G18" i="1"/>
  <c r="C18" i="1"/>
  <c r="D18" i="1" s="1"/>
  <c r="G17" i="1"/>
  <c r="C17" i="1"/>
  <c r="D17" i="1" s="1"/>
  <c r="G16" i="1"/>
  <c r="C16" i="1"/>
  <c r="D16" i="1" s="1"/>
  <c r="G15" i="1"/>
  <c r="C15" i="1"/>
  <c r="D15" i="1" s="1"/>
  <c r="G14" i="1"/>
  <c r="C14" i="1"/>
  <c r="D14" i="1" s="1"/>
  <c r="G13" i="1"/>
  <c r="C13" i="1"/>
  <c r="D13" i="1" s="1"/>
  <c r="G12" i="1"/>
  <c r="C12" i="1"/>
  <c r="D12" i="1" s="1"/>
  <c r="G11" i="1"/>
  <c r="C11" i="1"/>
  <c r="D11" i="1" s="1"/>
  <c r="G10" i="1"/>
  <c r="C10" i="1"/>
  <c r="D10" i="1" s="1"/>
  <c r="G9" i="1"/>
  <c r="C9" i="1"/>
  <c r="D9" i="1" s="1"/>
  <c r="G8" i="1"/>
  <c r="C8" i="1"/>
  <c r="D8" i="1" s="1"/>
  <c r="G7" i="1"/>
  <c r="C7" i="1"/>
  <c r="D7" i="1" s="1"/>
  <c r="G6" i="1"/>
  <c r="C6" i="1"/>
  <c r="D6" i="1" s="1"/>
  <c r="G5" i="1"/>
  <c r="C5" i="1"/>
  <c r="D5" i="1" s="1"/>
  <c r="G4" i="1"/>
  <c r="C4" i="1"/>
  <c r="D4" i="1" s="1"/>
  <c r="G3" i="1"/>
  <c r="C3" i="1"/>
  <c r="D3" i="1" s="1"/>
  <c r="J2" i="1"/>
  <c r="I2" i="1"/>
  <c r="D81" i="1" l="1"/>
  <c r="H81" i="1" s="1"/>
  <c r="D49" i="1"/>
  <c r="H49" i="1" s="1"/>
  <c r="D33" i="1"/>
  <c r="H33" i="1" s="1"/>
  <c r="D65" i="1"/>
  <c r="H65" i="1" s="1"/>
  <c r="D41" i="1"/>
  <c r="D57" i="1"/>
  <c r="D73" i="1"/>
  <c r="H73" i="1" s="1"/>
  <c r="D29" i="1"/>
  <c r="H29" i="1" s="1"/>
  <c r="D37" i="1"/>
  <c r="D45" i="1"/>
  <c r="H45" i="1" s="1"/>
  <c r="D53" i="1"/>
  <c r="D61" i="1"/>
  <c r="H61" i="1" s="1"/>
  <c r="D69" i="1"/>
  <c r="H69" i="1" s="1"/>
  <c r="D77" i="1"/>
  <c r="H77" i="1" s="1"/>
  <c r="D31" i="1"/>
  <c r="H31" i="1" s="1"/>
  <c r="D35" i="1"/>
  <c r="H35" i="1" s="1"/>
  <c r="D39" i="1"/>
  <c r="D43" i="1"/>
  <c r="H43" i="1" s="1"/>
  <c r="D47" i="1"/>
  <c r="D51" i="1"/>
  <c r="D55" i="1"/>
  <c r="D59" i="1"/>
  <c r="H59" i="1" s="1"/>
  <c r="D63" i="1"/>
  <c r="H63" i="1" s="1"/>
  <c r="D67" i="1"/>
  <c r="H67" i="1" s="1"/>
  <c r="D71" i="1"/>
  <c r="H71" i="1" s="1"/>
  <c r="D75" i="1"/>
  <c r="H75" i="1" s="1"/>
  <c r="D79" i="1"/>
  <c r="H79" i="1" s="1"/>
  <c r="D28" i="1"/>
  <c r="H28" i="1" s="1"/>
  <c r="D30" i="1"/>
  <c r="H30" i="1" s="1"/>
  <c r="D32" i="1"/>
  <c r="H32" i="1" s="1"/>
  <c r="D34" i="1"/>
  <c r="H34" i="1" s="1"/>
  <c r="D36" i="1"/>
  <c r="H36" i="1" s="1"/>
  <c r="H37" i="1"/>
  <c r="D38" i="1"/>
  <c r="H38" i="1" s="1"/>
  <c r="H39" i="1"/>
  <c r="D40" i="1"/>
  <c r="H40" i="1" s="1"/>
  <c r="H41" i="1"/>
  <c r="D42" i="1"/>
  <c r="D44" i="1"/>
  <c r="H44" i="1" s="1"/>
  <c r="D46" i="1"/>
  <c r="H46" i="1" s="1"/>
  <c r="D48" i="1"/>
  <c r="H48" i="1" s="1"/>
  <c r="D50" i="1"/>
  <c r="H50" i="1" s="1"/>
  <c r="D52" i="1"/>
  <c r="H52" i="1" s="1"/>
  <c r="D54" i="1"/>
  <c r="D56" i="1"/>
  <c r="D58" i="1"/>
  <c r="H58" i="1" s="1"/>
  <c r="D60" i="1"/>
  <c r="D62" i="1"/>
  <c r="H62" i="1" s="1"/>
  <c r="D64" i="1"/>
  <c r="H64" i="1" s="1"/>
  <c r="D66" i="1"/>
  <c r="H66" i="1" s="1"/>
  <c r="D68" i="1"/>
  <c r="H68" i="1" s="1"/>
  <c r="D70" i="1"/>
  <c r="H70" i="1" s="1"/>
  <c r="D72" i="1"/>
  <c r="H72" i="1" s="1"/>
  <c r="D74" i="1"/>
  <c r="H74" i="1" s="1"/>
  <c r="D76" i="1"/>
  <c r="H76" i="1" s="1"/>
  <c r="D78" i="1"/>
  <c r="H78" i="1" s="1"/>
  <c r="D80" i="1"/>
  <c r="H80" i="1" s="1"/>
  <c r="E3" i="1"/>
  <c r="F3" i="1" s="1"/>
  <c r="E4" i="1"/>
  <c r="F4" i="1" s="1"/>
  <c r="E5" i="1"/>
  <c r="F5" i="1" s="1"/>
  <c r="E7" i="1"/>
  <c r="F7" i="1" s="1"/>
  <c r="E8" i="1"/>
  <c r="F8" i="1" s="1"/>
  <c r="E10" i="1"/>
  <c r="F10" i="1" s="1"/>
  <c r="E12" i="1"/>
  <c r="F12" i="1" s="1"/>
  <c r="E13" i="1"/>
  <c r="F13" i="1" s="1"/>
  <c r="E14" i="1"/>
  <c r="F14" i="1" s="1"/>
  <c r="E15" i="1"/>
  <c r="F15" i="1" s="1"/>
  <c r="E18" i="1"/>
  <c r="F18" i="1" s="1"/>
  <c r="E20" i="1"/>
  <c r="F20" i="1" s="1"/>
  <c r="E22" i="1"/>
  <c r="F22" i="1" s="1"/>
  <c r="E23" i="1"/>
  <c r="F23" i="1" s="1"/>
  <c r="E24" i="1"/>
  <c r="F24" i="1" s="1"/>
  <c r="E26" i="1"/>
  <c r="F26" i="1" s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H42" i="1"/>
  <c r="H47" i="1"/>
  <c r="H51" i="1"/>
  <c r="H53" i="1"/>
  <c r="H54" i="1"/>
  <c r="H55" i="1"/>
  <c r="E6" i="1"/>
  <c r="F6" i="1" s="1"/>
  <c r="E9" i="1"/>
  <c r="F9" i="1" s="1"/>
  <c r="E11" i="1"/>
  <c r="F11" i="1" s="1"/>
  <c r="E16" i="1"/>
  <c r="F16" i="1" s="1"/>
  <c r="E17" i="1"/>
  <c r="F17" i="1" s="1"/>
  <c r="E19" i="1"/>
  <c r="F19" i="1" s="1"/>
  <c r="E21" i="1"/>
  <c r="F21" i="1" s="1"/>
  <c r="E25" i="1"/>
  <c r="F25" i="1" s="1"/>
  <c r="D27" i="1"/>
  <c r="H56" i="1"/>
  <c r="H57" i="1"/>
  <c r="H60" i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H26" i="1" l="1"/>
  <c r="H25" i="1"/>
  <c r="H24" i="1"/>
  <c r="H23" i="1"/>
  <c r="H22" i="1"/>
  <c r="H21" i="1"/>
  <c r="H20" i="1"/>
  <c r="H18" i="1"/>
  <c r="H17" i="1"/>
  <c r="H16" i="1"/>
  <c r="H15" i="1"/>
  <c r="H13" i="1"/>
  <c r="H11" i="1"/>
  <c r="H9" i="1"/>
  <c r="H7" i="1"/>
  <c r="H5" i="1"/>
  <c r="H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27" i="1"/>
  <c r="H19" i="1"/>
  <c r="H14" i="1"/>
  <c r="H12" i="1"/>
  <c r="H10" i="1"/>
  <c r="H8" i="1"/>
  <c r="H6" i="1"/>
  <c r="H4" i="1"/>
  <c r="J47" i="1" l="1"/>
  <c r="J55" i="1"/>
  <c r="J54" i="1"/>
  <c r="J43" i="1"/>
  <c r="J51" i="1"/>
  <c r="I80" i="1"/>
  <c r="I6" i="1"/>
  <c r="J6" i="1"/>
  <c r="I10" i="1"/>
  <c r="J10" i="1"/>
  <c r="I14" i="1"/>
  <c r="J14" i="1"/>
  <c r="J44" i="1"/>
  <c r="J52" i="1"/>
  <c r="I44" i="1"/>
  <c r="I48" i="1"/>
  <c r="I52" i="1"/>
  <c r="J57" i="1"/>
  <c r="J65" i="1"/>
  <c r="J73" i="1"/>
  <c r="I27" i="1"/>
  <c r="I56" i="1"/>
  <c r="J64" i="1"/>
  <c r="J72" i="1"/>
  <c r="J80" i="1"/>
  <c r="I60" i="1"/>
  <c r="I64" i="1"/>
  <c r="I68" i="1"/>
  <c r="I72" i="1"/>
  <c r="I76" i="1"/>
  <c r="I82" i="1"/>
  <c r="J82" i="1"/>
  <c r="I84" i="1"/>
  <c r="J84" i="1"/>
  <c r="I86" i="1"/>
  <c r="J86" i="1"/>
  <c r="I88" i="1"/>
  <c r="J88" i="1"/>
  <c r="I90" i="1"/>
  <c r="J90" i="1"/>
  <c r="I92" i="1"/>
  <c r="J92" i="1"/>
  <c r="I94" i="1"/>
  <c r="J94" i="1"/>
  <c r="I96" i="1"/>
  <c r="J96" i="1"/>
  <c r="I98" i="1"/>
  <c r="J98" i="1"/>
  <c r="I100" i="1"/>
  <c r="J100" i="1"/>
  <c r="I102" i="1"/>
  <c r="J102" i="1"/>
  <c r="I5" i="1"/>
  <c r="J5" i="1"/>
  <c r="I9" i="1"/>
  <c r="J9" i="1"/>
  <c r="I13" i="1"/>
  <c r="J13" i="1"/>
  <c r="I16" i="1"/>
  <c r="J16" i="1"/>
  <c r="I18" i="1"/>
  <c r="J18" i="1"/>
  <c r="I21" i="1"/>
  <c r="J21" i="1"/>
  <c r="I23" i="1"/>
  <c r="J23" i="1"/>
  <c r="I25" i="1"/>
  <c r="J25" i="1"/>
  <c r="J45" i="1"/>
  <c r="J53" i="1"/>
  <c r="I45" i="1"/>
  <c r="I49" i="1"/>
  <c r="I53" i="1"/>
  <c r="J59" i="1"/>
  <c r="J67" i="1"/>
  <c r="J75" i="1"/>
  <c r="I57" i="1"/>
  <c r="I61" i="1"/>
  <c r="I65" i="1"/>
  <c r="I69" i="1"/>
  <c r="I73" i="1"/>
  <c r="I77" i="1"/>
  <c r="J42" i="1"/>
  <c r="I4" i="1"/>
  <c r="J4" i="1"/>
  <c r="I8" i="1"/>
  <c r="J8" i="1"/>
  <c r="I12" i="1"/>
  <c r="J12" i="1"/>
  <c r="I19" i="1"/>
  <c r="J19" i="1"/>
  <c r="J48" i="1"/>
  <c r="I42" i="1"/>
  <c r="I46" i="1"/>
  <c r="I50" i="1"/>
  <c r="I54" i="1"/>
  <c r="J61" i="1"/>
  <c r="J69" i="1"/>
  <c r="J77" i="1"/>
  <c r="J27" i="1"/>
  <c r="J60" i="1"/>
  <c r="J68" i="1"/>
  <c r="J76" i="1"/>
  <c r="I58" i="1"/>
  <c r="I62" i="1"/>
  <c r="I66" i="1"/>
  <c r="I70" i="1"/>
  <c r="I74" i="1"/>
  <c r="I78" i="1"/>
  <c r="I81" i="1"/>
  <c r="I83" i="1"/>
  <c r="J83" i="1"/>
  <c r="I85" i="1"/>
  <c r="J85" i="1"/>
  <c r="I87" i="1"/>
  <c r="J87" i="1"/>
  <c r="I89" i="1"/>
  <c r="J89" i="1"/>
  <c r="I91" i="1"/>
  <c r="J91" i="1"/>
  <c r="I93" i="1"/>
  <c r="J93" i="1"/>
  <c r="I95" i="1"/>
  <c r="J95" i="1"/>
  <c r="I97" i="1"/>
  <c r="J97" i="1"/>
  <c r="I99" i="1"/>
  <c r="J99" i="1"/>
  <c r="I101" i="1"/>
  <c r="J101" i="1"/>
  <c r="I3" i="1"/>
  <c r="J3" i="1"/>
  <c r="I28" i="1"/>
  <c r="I30" i="1"/>
  <c r="I32" i="1"/>
  <c r="I34" i="1"/>
  <c r="I36" i="1"/>
  <c r="I38" i="1"/>
  <c r="I40" i="1"/>
  <c r="I29" i="1"/>
  <c r="I31" i="1"/>
  <c r="I33" i="1"/>
  <c r="I35" i="1"/>
  <c r="I37" i="1"/>
  <c r="I39" i="1"/>
  <c r="I41" i="1"/>
  <c r="J29" i="1"/>
  <c r="J31" i="1"/>
  <c r="J33" i="1"/>
  <c r="J35" i="1"/>
  <c r="J37" i="1"/>
  <c r="J39" i="1"/>
  <c r="J41" i="1"/>
  <c r="J28" i="1"/>
  <c r="J30" i="1"/>
  <c r="J32" i="1"/>
  <c r="J34" i="1"/>
  <c r="J36" i="1"/>
  <c r="J38" i="1"/>
  <c r="J40" i="1"/>
  <c r="J56" i="1"/>
  <c r="J58" i="1"/>
  <c r="J62" i="1"/>
  <c r="J66" i="1"/>
  <c r="J70" i="1"/>
  <c r="J74" i="1"/>
  <c r="J78" i="1"/>
  <c r="J81" i="1"/>
  <c r="I7" i="1"/>
  <c r="J7" i="1"/>
  <c r="I11" i="1"/>
  <c r="J11" i="1"/>
  <c r="I15" i="1"/>
  <c r="J15" i="1"/>
  <c r="I17" i="1"/>
  <c r="J17" i="1"/>
  <c r="I20" i="1"/>
  <c r="J20" i="1"/>
  <c r="I22" i="1"/>
  <c r="J22" i="1"/>
  <c r="I24" i="1"/>
  <c r="J24" i="1"/>
  <c r="I26" i="1"/>
  <c r="J26" i="1"/>
  <c r="J49" i="1"/>
  <c r="I43" i="1"/>
  <c r="I47" i="1"/>
  <c r="I51" i="1"/>
  <c r="I55" i="1"/>
  <c r="J63" i="1"/>
  <c r="J71" i="1"/>
  <c r="J79" i="1"/>
  <c r="I59" i="1"/>
  <c r="I63" i="1"/>
  <c r="I67" i="1"/>
  <c r="I71" i="1"/>
  <c r="I75" i="1"/>
  <c r="I79" i="1"/>
  <c r="J50" i="1"/>
  <c r="J46" i="1"/>
</calcChain>
</file>

<file path=xl/sharedStrings.xml><?xml version="1.0" encoding="utf-8"?>
<sst xmlns="http://schemas.openxmlformats.org/spreadsheetml/2006/main" count="12010" uniqueCount="2623">
  <si>
    <t>STT</t>
  </si>
  <si>
    <t>Số 2D</t>
  </si>
  <si>
    <t>Tổng</t>
  </si>
  <si>
    <t>Trùng Tổng Chọn (C2)</t>
  </si>
  <si>
    <t>Trùng G7</t>
  </si>
  <si>
    <t>Nguồn G7</t>
  </si>
  <si>
    <t>Trùng Chạm Chọn (G2)</t>
  </si>
  <si>
    <t>Điểm 2D Matrix</t>
  </si>
  <si>
    <t>Dàn Nguồn Top 20</t>
  </si>
  <si>
    <t>Dàn Nổi Bật Top 10</t>
  </si>
  <si>
    <t>ĐIỀU KHIỂN:</t>
  </si>
  <si>
    <t>LỌC TỔNG (C2):</t>
  </si>
  <si>
    <t>(Nhập các Tổng, VD: 1267)</t>
  </si>
  <si>
    <t>LỌC CHẠM (G2):</t>
  </si>
  <si>
    <t>(Nhập các Chạm, VD: 2358)</t>
  </si>
  <si>
    <t>COPY DÀN NỔI BẬT: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</si>
  <si>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</si>
  <si>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</si>
  <si>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</si>
  <si>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</si>
  <si>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</si>
  <si>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</si>
  <si>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</si>
  <si>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</si>
  <si>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</si>
  <si>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</si>
  <si>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</si>
  <si>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</si>
  <si>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</si>
  <si>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</si>
  <si>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</si>
  <si>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</si>
  <si>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</si>
  <si>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</si>
  <si>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</si>
  <si>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</si>
  <si>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</si>
  <si>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</si>
  <si>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</si>
  <si>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</si>
  <si>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</si>
  <si>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</si>
  <si>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</si>
  <si>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</si>
  <si>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</si>
  <si>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</si>
  <si>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</si>
  <si>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</si>
  <si>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</si>
  <si>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</si>
  <si>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</si>
  <si>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</si>
  <si>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</si>
  <si>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</si>
  <si>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</si>
  <si>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</si>
  <si>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</si>
  <si>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</si>
  <si>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</si>
  <si>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</si>
  <si>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</si>
  <si>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</si>
  <si>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</si>
  <si>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</si>
  <si>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</si>
  <si>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</si>
  <si>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</si>
  <si>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</si>
  <si>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</si>
  <si>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</si>
  <si>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</si>
  <si>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</si>
  <si>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</si>
  <si>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</si>
  <si>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</si>
  <si>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</si>
  <si>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</si>
  <si>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</si>
  <si>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</si>
  <si>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</si>
  <si>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</si>
  <si>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</si>
  <si>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</si>
  <si>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</si>
  <si>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</si>
  <si>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</si>
  <si>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</si>
  <si>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</si>
  <si>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</si>
  <si>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</si>
  <si>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</si>
  <si>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</si>
  <si>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</si>
  <si>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</si>
  <si>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</si>
  <si>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</si>
  <si>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</si>
  <si>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</si>
  <si>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</si>
  <si>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</si>
  <si>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</si>
  <si>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</si>
  <si>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</si>
  <si>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</si>
  <si>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</si>
  <si>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</si>
  <si>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</si>
  <si>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</si>
  <si>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</si>
  <si>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</si>
  <si>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</si>
  <si>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</si>
  <si>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</si>
  <si>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</si>
  <si>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</si>
  <si>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</si>
  <si>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Ngày Quay</t>
  </si>
  <si>
    <t>Giải Đặc Biệt (5 số)</t>
  </si>
  <si>
    <t>Số Đề (2 số cuối)</t>
  </si>
  <si>
    <t>G7.1</t>
  </si>
  <si>
    <t>Tổng/Bóng G7.1</t>
  </si>
  <si>
    <t>Trúng Đề Hôm Sau (G7.1)</t>
  </si>
  <si>
    <t>G7.2</t>
  </si>
  <si>
    <t>Tổng/Bóng G7.2</t>
  </si>
  <si>
    <t>Trúng Đề Hôm Sau (G7.2)</t>
  </si>
  <si>
    <t>G7.3</t>
  </si>
  <si>
    <t>Tổng/Bóng G7.3</t>
  </si>
  <si>
    <t>Trúng Đề Hôm Sau (G7.3)</t>
  </si>
  <si>
    <t>G7.4</t>
  </si>
  <si>
    <t>Tổng/Bóng G7.4</t>
  </si>
  <si>
    <t>Trúng Đề Hôm Sau (G7.4)</t>
  </si>
  <si>
    <t>Thứ năm ngày 01-01-2026</t>
  </si>
  <si>
    <t>57068</t>
  </si>
  <si>
    <t>T0-B5</t>
  </si>
  <si>
    <t>Không</t>
  </si>
  <si>
    <t>T7-B2</t>
  </si>
  <si>
    <t>Trúng</t>
  </si>
  <si>
    <t>T5-B0</t>
  </si>
  <si>
    <t>T3-B8</t>
  </si>
  <si>
    <t>Thứ sáu ngày 02-01-2026</t>
  </si>
  <si>
    <t>45748</t>
  </si>
  <si>
    <t>T1-B6</t>
  </si>
  <si>
    <t>T6-B1</t>
  </si>
  <si>
    <t>T4-B9</t>
  </si>
  <si>
    <t>Thứ bảy ngày 03-01-2026</t>
  </si>
  <si>
    <t>00949</t>
  </si>
  <si>
    <t>T2-B7</t>
  </si>
  <si>
    <t>Chủ nhật ngày 04-01-2026</t>
  </si>
  <si>
    <t>72397</t>
  </si>
  <si>
    <t>Thứ hai ngày 05-01-2026</t>
  </si>
  <si>
    <t>70505</t>
  </si>
  <si>
    <t>T9-B4</t>
  </si>
  <si>
    <t>Thứ ba ngày 06-01-2026</t>
  </si>
  <si>
    <t>78447</t>
  </si>
  <si>
    <t>Thứ tư ngày 07-01-2026</t>
  </si>
  <si>
    <t>14389</t>
  </si>
  <si>
    <t>Thứ năm ngày 08-01-2026</t>
  </si>
  <si>
    <t>40162</t>
  </si>
  <si>
    <t>Thứ sáu ngày 09-01-2026</t>
  </si>
  <si>
    <t>39523</t>
  </si>
  <si>
    <t>Thứ bảy ngày 10-01-2026</t>
  </si>
  <si>
    <t>67793</t>
  </si>
  <si>
    <t>Chủ nhật ngày 11-01-2026</t>
  </si>
  <si>
    <t>82438</t>
  </si>
  <si>
    <t>Thứ hai ngày 12-01-2026</t>
  </si>
  <si>
    <t>31894</t>
  </si>
  <si>
    <t>Thứ ba ngày 13-01-2026</t>
  </si>
  <si>
    <t>28027</t>
  </si>
  <si>
    <t>Thứ tư ngày 14-01-2026</t>
  </si>
  <si>
    <t>02817</t>
  </si>
  <si>
    <t>T8-B3</t>
  </si>
  <si>
    <t>Thứ năm ngày 15-01-2026</t>
  </si>
  <si>
    <t>84522</t>
  </si>
  <si>
    <t>Thứ sáu ngày 16-01-2026</t>
  </si>
  <si>
    <t>90128</t>
  </si>
  <si>
    <t>Thứ bảy ngày 17-01-2026</t>
  </si>
  <si>
    <t>09824</t>
  </si>
  <si>
    <t>Chủ nhật ngày 18-01-2026</t>
  </si>
  <si>
    <t>17151</t>
  </si>
  <si>
    <t>Thứ hai ngày 19-01-2026</t>
  </si>
  <si>
    <t>88286</t>
  </si>
  <si>
    <t>Thứ ba ngày 20-01-2026</t>
  </si>
  <si>
    <t>56878</t>
  </si>
  <si>
    <t>Thứ tư ngày 21-01-2026</t>
  </si>
  <si>
    <t>06186</t>
  </si>
  <si>
    <t>Thứ năm ngày 22-01-2026</t>
  </si>
  <si>
    <t>84063</t>
  </si>
  <si>
    <t>Thứ sáu ngày 23-01-2026</t>
  </si>
  <si>
    <t>57022</t>
  </si>
  <si>
    <t>Thứ bảy ngày 24-01-2026</t>
  </si>
  <si>
    <t>52062</t>
  </si>
  <si>
    <t>Chủ nhật ngày 25-01-2026</t>
  </si>
  <si>
    <t>08230</t>
  </si>
  <si>
    <t>Thứ hai ngày 26-01-2026</t>
  </si>
  <si>
    <t>00974</t>
  </si>
  <si>
    <t>Thứ ba ngày 27-01-2026</t>
  </si>
  <si>
    <t>39380</t>
  </si>
  <si>
    <t>Thứ tư ngày 28-01-2026</t>
  </si>
  <si>
    <t>24121</t>
  </si>
  <si>
    <t>Thứ năm ngày 29-01-2026</t>
  </si>
  <si>
    <t>38814</t>
  </si>
  <si>
    <t>Thứ sáu ngày 30-01-2026</t>
  </si>
  <si>
    <t>32845</t>
  </si>
  <si>
    <t>Thứ bảy ngày 31-01-2026</t>
  </si>
  <si>
    <t>42754</t>
  </si>
  <si>
    <t>Chủ nhật ngày 01-02-2026</t>
  </si>
  <si>
    <t>01377</t>
  </si>
  <si>
    <t>Thứ hai ngày 02-02-2026</t>
  </si>
  <si>
    <t>73461</t>
  </si>
  <si>
    <t>Thứ ba ngày 03-02-2026</t>
  </si>
  <si>
    <t>97648</t>
  </si>
  <si>
    <t>Thứ tư ngày 04-02-2026</t>
  </si>
  <si>
    <t>06517</t>
  </si>
  <si>
    <t>Thứ năm ngày 05-02-2026</t>
  </si>
  <si>
    <t>10268</t>
  </si>
  <si>
    <t>Thứ sáu ngày 06-02-2026</t>
  </si>
  <si>
    <t>06133</t>
  </si>
  <si>
    <t>Thứ bảy ngày 07-02-2026</t>
  </si>
  <si>
    <t>38385</t>
  </si>
  <si>
    <t>Chủ nhật ngày 08-02-2026</t>
  </si>
  <si>
    <t>57977</t>
  </si>
  <si>
    <t>Thứ hai ngày 09-02-2026</t>
  </si>
  <si>
    <t>05901</t>
  </si>
  <si>
    <t>Thứ ba ngày 10-02-2026</t>
  </si>
  <si>
    <t>65390</t>
  </si>
  <si>
    <t>Thứ tư ngày 11-02-2026</t>
  </si>
  <si>
    <t>20692</t>
  </si>
  <si>
    <t>Thứ năm ngày 12-02-2026</t>
  </si>
  <si>
    <t>81475</t>
  </si>
  <si>
    <t>Thứ sáu ngày 13-02-2026</t>
  </si>
  <si>
    <t>93177</t>
  </si>
  <si>
    <t>Thứ bảy ngày 14-02-2026</t>
  </si>
  <si>
    <t>90630</t>
  </si>
  <si>
    <t>Chủ nhật ngày 15-02-2026</t>
  </si>
  <si>
    <t>22601</t>
  </si>
  <si>
    <t>Thứ sáu ngày 20-02-2026</t>
  </si>
  <si>
    <t>36481</t>
  </si>
  <si>
    <t>Thứ bảy ngày 21-02-2026</t>
  </si>
  <si>
    <t>44413</t>
  </si>
  <si>
    <t>Chủ nhật ngày 22-02-2026</t>
  </si>
  <si>
    <t>64512</t>
  </si>
  <si>
    <t>Thứ hai ngày 23-02-2026</t>
  </si>
  <si>
    <t>67655</t>
  </si>
  <si>
    <t>Thứ ba ngày 24-02-2026</t>
  </si>
  <si>
    <t>65037</t>
  </si>
  <si>
    <t>Thứ tư ngày 25-02-2026</t>
  </si>
  <si>
    <t>48153</t>
  </si>
  <si>
    <t>Thứ năm ngày 26-02-2026</t>
  </si>
  <si>
    <t>86408</t>
  </si>
  <si>
    <t>Thứ sáu ngày 27-02-2026</t>
  </si>
  <si>
    <t>13283</t>
  </si>
  <si>
    <t>Thứ bảy ngày 28-02-2026</t>
  </si>
  <si>
    <t>47891</t>
  </si>
  <si>
    <t>Chủ nhật ngày 01-03-2026</t>
  </si>
  <si>
    <t>90148</t>
  </si>
  <si>
    <t>Thứ hai ngày 02-03-2026</t>
  </si>
  <si>
    <t>75257</t>
  </si>
  <si>
    <t>Thứ ba ngày 03-03-2026</t>
  </si>
  <si>
    <t>70078</t>
  </si>
  <si>
    <t>Thứ tư ngày 04-03-2026</t>
  </si>
  <si>
    <t>10619</t>
  </si>
  <si>
    <t>Thứ năm ngày 05-03-2026</t>
  </si>
  <si>
    <t>16659</t>
  </si>
  <si>
    <t>Thứ sáu ngày 06-03-2026</t>
  </si>
  <si>
    <t>38249</t>
  </si>
  <si>
    <t>Thứ bảy ngày 07-03-2026</t>
  </si>
  <si>
    <t>51951</t>
  </si>
  <si>
    <t>Chủ nhật ngày 08-03-2026</t>
  </si>
  <si>
    <t>81336</t>
  </si>
  <si>
    <t>Thứ hai ngày 09-03-2026</t>
  </si>
  <si>
    <t>90580</t>
  </si>
  <si>
    <t>Thứ ba ngày 10-03-2026</t>
  </si>
  <si>
    <t>22342</t>
  </si>
  <si>
    <t>Thứ tư ngày 11-03-2026</t>
  </si>
  <si>
    <t>30368</t>
  </si>
  <si>
    <t>Thứ năm ngày 12-03-2026</t>
  </si>
  <si>
    <t>72124</t>
  </si>
  <si>
    <t>Thứ sáu ngày 13-03-2026</t>
  </si>
  <si>
    <t>86759</t>
  </si>
  <si>
    <t>Thứ bảy ngày 14-03-2026</t>
  </si>
  <si>
    <t>56848</t>
  </si>
  <si>
    <t>Chủ nhật ngày 15-03-2026</t>
  </si>
  <si>
    <t>01770</t>
  </si>
  <si>
    <t>Thứ hai ngày 16-03-2026</t>
  </si>
  <si>
    <t>77552</t>
  </si>
  <si>
    <t>Thứ ba ngày 17-03-2026</t>
  </si>
  <si>
    <t>07969</t>
  </si>
  <si>
    <t>Thứ tư ngày 18-03-2026</t>
  </si>
  <si>
    <t>25287</t>
  </si>
  <si>
    <t>Thứ năm ngày 19-03-2026</t>
  </si>
  <si>
    <t>75495</t>
  </si>
  <si>
    <t>Thứ sáu ngày 20-03-2026</t>
  </si>
  <si>
    <t>81124</t>
  </si>
  <si>
    <t>Thứ bảy ngày 21-03-2026</t>
  </si>
  <si>
    <t>88594</t>
  </si>
  <si>
    <t>Chủ nhật ngày 22-03-2026</t>
  </si>
  <si>
    <t>58646</t>
  </si>
  <si>
    <t>Thứ hai ngày 23-03-2026</t>
  </si>
  <si>
    <t>77514</t>
  </si>
  <si>
    <t>Thứ ba ngày 24-03-2026</t>
  </si>
  <si>
    <t>03829</t>
  </si>
  <si>
    <t>Thứ tư ngày 25-03-2026</t>
  </si>
  <si>
    <t>53988</t>
  </si>
  <si>
    <t>Thứ năm ngày 26-03-2026</t>
  </si>
  <si>
    <t>44693</t>
  </si>
  <si>
    <t>Thứ sáu ngày 27-03-2026</t>
  </si>
  <si>
    <t>61332</t>
  </si>
  <si>
    <t>Thứ bảy ngày 28-03-2026</t>
  </si>
  <si>
    <t>96422</t>
  </si>
  <si>
    <t>Chủ nhật ngày 29-03-2026</t>
  </si>
  <si>
    <t>37188</t>
  </si>
  <si>
    <t>Thứ hai ngày 30-03-2026</t>
  </si>
  <si>
    <t>64464</t>
  </si>
  <si>
    <t>Thứ ba ngày 31-03-2026</t>
  </si>
  <si>
    <t>11591</t>
  </si>
  <si>
    <t>Thứ tư ngày 01-04-2026</t>
  </si>
  <si>
    <t>31666</t>
  </si>
  <si>
    <t>Thứ năm ngày 02-04-2026</t>
  </si>
  <si>
    <t>91267</t>
  </si>
  <si>
    <t>Thứ sáu ngày 03-04-2026</t>
  </si>
  <si>
    <t>12944</t>
  </si>
  <si>
    <t>Thứ bảy ngày 04-04-2026</t>
  </si>
  <si>
    <t>29737</t>
  </si>
  <si>
    <t>Chủ nhật ngày 05-04-2026</t>
  </si>
  <si>
    <t>02855</t>
  </si>
  <si>
    <t>Thứ hai ngày 06-04-2026</t>
  </si>
  <si>
    <t>76406</t>
  </si>
  <si>
    <t>Thứ ba ngày 07-04-2026</t>
  </si>
  <si>
    <t>02382</t>
  </si>
  <si>
    <t>Thứ tư ngày 08-04-2026</t>
  </si>
  <si>
    <t>27450</t>
  </si>
  <si>
    <t>Thứ năm ngày 09-04-2026</t>
  </si>
  <si>
    <t>45625</t>
  </si>
  <si>
    <t>Thứ sáu ngày 10-04-2026</t>
  </si>
  <si>
    <t>46120</t>
  </si>
  <si>
    <t>Thứ bảy ngày 11-04-2026</t>
  </si>
  <si>
    <t>24204</t>
  </si>
  <si>
    <t>Chủ nhật ngày 12-04-2026</t>
  </si>
  <si>
    <t>12000</t>
  </si>
  <si>
    <t>Thứ hai ngày 13-04-2026</t>
  </si>
  <si>
    <t>22738</t>
  </si>
  <si>
    <t>Thứ ba ngày 14-04-2026</t>
  </si>
  <si>
    <t>92763</t>
  </si>
  <si>
    <t>Thứ tư ngày 15-04-2026</t>
  </si>
  <si>
    <t>03714</t>
  </si>
  <si>
    <t>Thứ năm ngày 16-04-2026</t>
  </si>
  <si>
    <t>35035</t>
  </si>
  <si>
    <t>Thứ sáu ngày 17-04-2026</t>
  </si>
  <si>
    <t>38455</t>
  </si>
  <si>
    <t>Thứ bảy ngày 18-04-2026</t>
  </si>
  <si>
    <t>17243</t>
  </si>
  <si>
    <t>Chủ nhật ngày 19-04-2026</t>
  </si>
  <si>
    <t>93725</t>
  </si>
  <si>
    <t>Thứ hai ngày 20-04-2026</t>
  </si>
  <si>
    <t>74197</t>
  </si>
  <si>
    <t>Thứ ba ngày 21-04-2026</t>
  </si>
  <si>
    <t>48076</t>
  </si>
  <si>
    <t>Thứ tư ngày 22-04-2026</t>
  </si>
  <si>
    <t>36948</t>
  </si>
  <si>
    <t>Thứ năm ngày 23-04-2026</t>
  </si>
  <si>
    <t>66239</t>
  </si>
  <si>
    <t>Thứ sáu ngày 24-04-2026</t>
  </si>
  <si>
    <t>09876</t>
  </si>
  <si>
    <t>Thứ bảy ngày 25-04-2026</t>
  </si>
  <si>
    <t>08717</t>
  </si>
  <si>
    <t>Chủ nhật ngày 26-04-2026</t>
  </si>
  <si>
    <t>38228</t>
  </si>
  <si>
    <t>Thứ hai ngày 27-04-2026</t>
  </si>
  <si>
    <t>10059</t>
  </si>
  <si>
    <t>Thứ ba ngày 28-04-2026</t>
  </si>
  <si>
    <t>45254</t>
  </si>
  <si>
    <t>Thứ tư ngày 29-04-2026</t>
  </si>
  <si>
    <t>86569</t>
  </si>
  <si>
    <t>Thứ năm ngày 30-04-2026</t>
  </si>
  <si>
    <t>82075</t>
  </si>
  <si>
    <t>Thứ sáu ngày 01-05-2026</t>
  </si>
  <si>
    <t>96637</t>
  </si>
  <si>
    <t>Thứ bảy ngày 02-05-2026</t>
  </si>
  <si>
    <t>16132</t>
  </si>
  <si>
    <t>Chủ nhật ngày 03-05-2026</t>
  </si>
  <si>
    <t>32964</t>
  </si>
  <si>
    <t>Thứ hai ngày 04-05-2026</t>
  </si>
  <si>
    <t>11251</t>
  </si>
  <si>
    <t>Thứ ba ngày 05-05-2026</t>
  </si>
  <si>
    <t>22512</t>
  </si>
  <si>
    <t>Thứ tư ngày 06-05-2026</t>
  </si>
  <si>
    <t>80241</t>
  </si>
  <si>
    <t>Thứ năm ngày 07-05-2026</t>
  </si>
  <si>
    <t>14540</t>
  </si>
  <si>
    <t>Thứ sáu ngày 08-05-2026</t>
  </si>
  <si>
    <t>29147</t>
  </si>
  <si>
    <t>Thứ bảy ngày 09-05-2026</t>
  </si>
  <si>
    <t>26192</t>
  </si>
  <si>
    <t>Chủ nhật ngày 10-05-2026</t>
  </si>
  <si>
    <t>76223</t>
  </si>
  <si>
    <t>Thứ hai ngày 11-05-2026</t>
  </si>
  <si>
    <t>52117</t>
  </si>
  <si>
    <t>Thứ ba ngày 12-05-2026</t>
  </si>
  <si>
    <t>52233</t>
  </si>
  <si>
    <t>Thứ tư ngày 13-05-2026</t>
  </si>
  <si>
    <t>64138</t>
  </si>
  <si>
    <t>Thứ năm ngày 14-05-2026</t>
  </si>
  <si>
    <t>76669</t>
  </si>
  <si>
    <t>Thứ sáu ngày 15-05-2026</t>
  </si>
  <si>
    <t>67294</t>
  </si>
  <si>
    <t>Thứ bảy ngày 16-05-2026</t>
  </si>
  <si>
    <t>19404</t>
  </si>
  <si>
    <t>Chủ nhật ngày 17-05-2026</t>
  </si>
  <si>
    <t>96684</t>
  </si>
  <si>
    <t>Thứ hai ngày 18-05-2026</t>
  </si>
  <si>
    <t>55361</t>
  </si>
  <si>
    <t>Thứ ba ngày 19-05-2026</t>
  </si>
  <si>
    <t>81754</t>
  </si>
  <si>
    <t>Thứ tư ngày 20-05-2026</t>
  </si>
  <si>
    <t>88568</t>
  </si>
  <si>
    <t>Thứ năm ngày 21-05-2026</t>
  </si>
  <si>
    <t>72685</t>
  </si>
  <si>
    <t>Thứ sáu ngày 22-05-2026</t>
  </si>
  <si>
    <t>72939</t>
  </si>
  <si>
    <t>Thứ bảy ngày 23-05-2026</t>
  </si>
  <si>
    <t>38021</t>
  </si>
  <si>
    <t>Chủ nhật ngày 24-05-2026</t>
  </si>
  <si>
    <t>20104</t>
  </si>
  <si>
    <t>Thứ hai ngày 25-05-2026</t>
  </si>
  <si>
    <t>97281</t>
  </si>
  <si>
    <t>Thứ ba ngày 26-05-2026</t>
  </si>
  <si>
    <t>49111</t>
  </si>
  <si>
    <t>Thứ tư ngày 27-05-2026</t>
  </si>
  <si>
    <t>61513</t>
  </si>
  <si>
    <t>Thứ năm ngày 28-05-2026</t>
  </si>
  <si>
    <t>00250</t>
  </si>
  <si>
    <t>Thứ sáu ngày 29-05-2026</t>
  </si>
  <si>
    <t>77954</t>
  </si>
  <si>
    <t>Thứ bảy ngày 30-05-2026</t>
  </si>
  <si>
    <t>17743</t>
  </si>
  <si>
    <t>Chủ nhật ngày 31-05-2026</t>
  </si>
  <si>
    <t>24042</t>
  </si>
  <si>
    <t>Thứ hai ngày 01-06-2026</t>
  </si>
  <si>
    <t>90353</t>
  </si>
  <si>
    <t>Thứ ba ngày 02-06-2026</t>
  </si>
  <si>
    <t>73823</t>
  </si>
  <si>
    <t>Thứ tư ngày 03-06-2026</t>
  </si>
  <si>
    <t>02636</t>
  </si>
  <si>
    <t>Thứ năm ngày 04-06-2026</t>
  </si>
  <si>
    <t>05583</t>
  </si>
  <si>
    <t>Thứ sáu ngày 05-06-2026</t>
  </si>
  <si>
    <t>74978</t>
  </si>
  <si>
    <t>Thứ bảy ngày 06-06-2026</t>
  </si>
  <si>
    <t>33465</t>
  </si>
  <si>
    <t>Chủ nhật ngày 07-06-2026</t>
  </si>
  <si>
    <t>15393</t>
  </si>
  <si>
    <t>Thứ hai ngày 08-06-2026</t>
  </si>
  <si>
    <t>53505</t>
  </si>
  <si>
    <t>Thứ ba ngày 09-06-2026</t>
  </si>
  <si>
    <t>07251</t>
  </si>
  <si>
    <t>Thứ tư ngày 10-06-2026</t>
  </si>
  <si>
    <t>04308</t>
  </si>
  <si>
    <t>Thứ năm ngày 11-06-2026</t>
  </si>
  <si>
    <t>99983</t>
  </si>
  <si>
    <t>Thứ sáu ngày 12-06-2026</t>
  </si>
  <si>
    <t>24889</t>
  </si>
  <si>
    <t>Thứ bảy ngày 13-06-2026</t>
  </si>
  <si>
    <t>60014</t>
  </si>
  <si>
    <t>Chủ nhật ngày 14-06-2026</t>
  </si>
  <si>
    <t>63000</t>
  </si>
  <si>
    <t>Thứ hai ngày 15-06-2026</t>
  </si>
  <si>
    <t>71680</t>
  </si>
  <si>
    <t>Thứ ba ngày 16-06-2026</t>
  </si>
  <si>
    <t>80384</t>
  </si>
  <si>
    <t>Thứ tư ngày 17-06-2026</t>
  </si>
  <si>
    <t>71203</t>
  </si>
  <si>
    <t>Thứ năm ngày 18-06-2026</t>
  </si>
  <si>
    <t>15032</t>
  </si>
  <si>
    <t>Thứ sáu ngày 19-06-2026</t>
  </si>
  <si>
    <t>63155</t>
  </si>
  <si>
    <t>Thứ bảy ngày 20-06-2026</t>
  </si>
  <si>
    <t>54860</t>
  </si>
  <si>
    <t>Chủ nhật ngày 21-06-2026</t>
  </si>
  <si>
    <t>28083</t>
  </si>
  <si>
    <t>Thứ hai ngày 22-06-2026</t>
  </si>
  <si>
    <t>62136</t>
  </si>
  <si>
    <t>Thứ ba ngày 23-06-2026</t>
  </si>
  <si>
    <t>50437</t>
  </si>
  <si>
    <t>Thứ tư ngày 24-06-2026</t>
  </si>
  <si>
    <t>52751</t>
  </si>
  <si>
    <t>Thứ năm ngày 25-06-2026</t>
  </si>
  <si>
    <t>01816</t>
  </si>
  <si>
    <t>Thứ sáu ngày 26-06-2026</t>
  </si>
  <si>
    <t>54804</t>
  </si>
  <si>
    <t>Thứ bảy ngày 27-06-2026</t>
  </si>
  <si>
    <t>09253</t>
  </si>
  <si>
    <t>Chủ nhật ngày 28-06-2026</t>
  </si>
  <si>
    <t>12452</t>
  </si>
  <si>
    <t>Thứ hai ngày 29-06-2026</t>
  </si>
  <si>
    <t>37642</t>
  </si>
  <si>
    <t>Thứ ba ngày 30-06-2026</t>
  </si>
  <si>
    <t>60468</t>
  </si>
  <si>
    <t>Thứ tư ngày 01-07-2026</t>
  </si>
  <si>
    <t>31854</t>
  </si>
  <si>
    <t>Thứ năm ngày 02-07-2026</t>
  </si>
  <si>
    <t>51139</t>
  </si>
  <si>
    <t>Thứ sáu ngày 03-07-2026</t>
  </si>
  <si>
    <t>18165</t>
  </si>
  <si>
    <t>Thứ bảy ngày 04-07-2026</t>
  </si>
  <si>
    <t>14887</t>
  </si>
  <si>
    <t>Chủ nhật ngày 05-07-2026</t>
  </si>
  <si>
    <t>66771</t>
  </si>
  <si>
    <t>Thứ hai ngày 06-07-2026</t>
  </si>
  <si>
    <t>43497</t>
  </si>
  <si>
    <t>Thứ ba ngày 07-07-2026</t>
  </si>
  <si>
    <t>92579</t>
  </si>
  <si>
    <t>Thứ tư ngày 08-07-2026</t>
  </si>
  <si>
    <t>95089</t>
  </si>
  <si>
    <t>Thứ năm ngày 09-07-2026</t>
  </si>
  <si>
    <t>69185</t>
  </si>
  <si>
    <t>Thứ sáu ngày 10-07-2026</t>
  </si>
  <si>
    <t>72767</t>
  </si>
  <si>
    <t>Thứ bảy ngày 11-07-2026</t>
  </si>
  <si>
    <t>09401</t>
  </si>
  <si>
    <t>Chủ nhật ngày 12-07-2026</t>
  </si>
  <si>
    <t>10494</t>
  </si>
  <si>
    <t>Thứ hai ngày 13-07-2026</t>
  </si>
  <si>
    <t>74299</t>
  </si>
  <si>
    <t>Thứ ba ngày 14-07-2026</t>
  </si>
  <si>
    <t>59147</t>
  </si>
  <si>
    <t>Thứ tư ngày 15-07-2026</t>
  </si>
  <si>
    <t>36119</t>
  </si>
  <si>
    <t>Thứ năm ngày 16-07-2026</t>
  </si>
  <si>
    <t>96763</t>
  </si>
  <si>
    <t>Thứ sáu ngày 17-07-2026</t>
  </si>
  <si>
    <t>45739</t>
  </si>
  <si>
    <t>Thứ bảy ngày 18-07-2026</t>
  </si>
  <si>
    <t>26890</t>
  </si>
  <si>
    <t>Chủ nhật ngày 19-07-2026</t>
  </si>
  <si>
    <t>46438</t>
  </si>
  <si>
    <t>Thứ hai ngày 20-07-2026</t>
  </si>
  <si>
    <t>39128</t>
  </si>
  <si>
    <t>Thứ ba ngày 21-07-2026</t>
  </si>
  <si>
    <t>73070</t>
  </si>
  <si>
    <t>Thứ tư ngày 22-07-2026</t>
  </si>
  <si>
    <t>92154</t>
  </si>
  <si>
    <t>Thứ năm ngày 23-07-2026</t>
  </si>
  <si>
    <t>78754</t>
  </si>
  <si>
    <t>Thứ sáu ngày 24-07-2026</t>
  </si>
  <si>
    <t>94738</t>
  </si>
  <si>
    <t>Thứ bảy ngày 25-07-2026</t>
  </si>
  <si>
    <t>89228</t>
  </si>
  <si>
    <t>Chủ nhật ngày 26-07-2026</t>
  </si>
  <si>
    <t>42916</t>
  </si>
  <si>
    <t>Thứ hai ngày 27-07-2026</t>
  </si>
  <si>
    <t>54796</t>
  </si>
  <si>
    <t>Thứ ba ngày 28-07-2026</t>
  </si>
  <si>
    <t>65000</t>
  </si>
  <si>
    <t>Thứ tư ngày 29-07-2026</t>
  </si>
  <si>
    <t>39983</t>
  </si>
  <si>
    <t>Thứ năm ngày 30-07-2026</t>
  </si>
  <si>
    <t>50834</t>
  </si>
  <si>
    <t>Thứ sáu ngày 31-07-2026</t>
  </si>
  <si>
    <t>41710</t>
  </si>
  <si>
    <t>Thứ bảy ngày 01-08-2026</t>
  </si>
  <si>
    <t>44823</t>
  </si>
  <si>
    <t>Chủ nhật ngày 02-08-2026</t>
  </si>
  <si>
    <t>11909</t>
  </si>
  <si>
    <t>Thứ hai ngày 03-08-2026</t>
  </si>
  <si>
    <t>79247</t>
  </si>
  <si>
    <t>Thứ ba ngày 04-08-2026</t>
  </si>
  <si>
    <t>51125</t>
  </si>
  <si>
    <t>Thứ tư ngày 05-08-2026</t>
  </si>
  <si>
    <t>59760</t>
  </si>
  <si>
    <t>Thứ năm ngày 06-08-2026</t>
  </si>
  <si>
    <t>26167</t>
  </si>
  <si>
    <t>Thứ sáu ngày 07-08-2026</t>
  </si>
  <si>
    <t>16479</t>
  </si>
  <si>
    <t>Thứ bảy ngày 08-08-2026</t>
  </si>
  <si>
    <t>04922</t>
  </si>
  <si>
    <t>Chủ nhật ngày 09-08-2026</t>
  </si>
  <si>
    <t>12221</t>
  </si>
  <si>
    <t>Thứ hai ngày 10-08-2026</t>
  </si>
  <si>
    <t>92957</t>
  </si>
  <si>
    <t>Thứ ba ngày 11-08-2026</t>
  </si>
  <si>
    <t>92191</t>
  </si>
  <si>
    <t>Thứ tư ngày 12-08-2026</t>
  </si>
  <si>
    <t>82326</t>
  </si>
  <si>
    <t>Thứ năm ngày 13-08-2026</t>
  </si>
  <si>
    <t>79344</t>
  </si>
  <si>
    <t>Thứ sáu ngày 14-08-2026</t>
  </si>
  <si>
    <t>80018</t>
  </si>
  <si>
    <t>Thứ bảy ngày 15-08-2026</t>
  </si>
  <si>
    <t>80278</t>
  </si>
  <si>
    <t>N/A</t>
  </si>
  <si>
    <t>Cửa Sổ / Mô Hình</t>
  </si>
  <si>
    <t>Tỷ Lệ Trúng 2026</t>
  </si>
  <si>
    <t>Số Lần Trúng</t>
  </si>
  <si>
    <t>Đánh Giá Chiến Thuật</t>
  </si>
  <si>
    <t>🎯 KHUNG NUÔI 1 NGÀY (Trúng Ngay)</t>
  </si>
  <si>
    <t>44.09%</t>
  </si>
  <si>
    <t>97 / 220 ngày</t>
  </si>
  <si>
    <t>Chơi Ngày Nào Biết Ngày Đó</t>
  </si>
  <si>
    <t>🔥 KHUNG NUÔI 2 NGÀY (Nối Tiếp)</t>
  </si>
  <si>
    <t>71.36%</t>
  </si>
  <si>
    <t>157 / 220 ngày</t>
  </si>
  <si>
    <t>Vốn An Toàn - Tỷ Lệ Trúng &gt; 72%</t>
  </si>
  <si>
    <t>🚀 KHUNG NUÔI 3 NGÀY (Max Khung)</t>
  </si>
  <si>
    <t>87.27%</t>
  </si>
  <si>
    <t>192 / 220 ngày</t>
  </si>
  <si>
    <t>Tối Ưu Cực Đại - Tỷ Lệ Trúng Gần 88%</t>
  </si>
  <si>
    <t>Tuần 32 (Tuần Trước)</t>
  </si>
  <si>
    <t>Top 1: G7_2</t>
  </si>
  <si>
    <t>Top 2: G7_3</t>
  </si>
  <si>
    <t>Top 3: G7_1 (Loại G7_4)</t>
  </si>
  <si>
    <t>Khung 30 Ngày Gần Nhất</t>
  </si>
  <si>
    <t>Top 1: G7_4 (26.7%)</t>
  </si>
  <si>
    <t>Top 2: G7_1 (20.0%)</t>
  </si>
  <si>
    <t>Top 3: G7_2 (20.0%) | Loại: G7_3</t>
  </si>
  <si>
    <t>Khung 60 Ngày Gần Nhất</t>
  </si>
  <si>
    <t>Top 1: G7_3 (20.0%)</t>
  </si>
  <si>
    <t>Top 2: G7_2 (18.3%)</t>
  </si>
  <si>
    <t>Top 3: G7_1 (16.7%) | Loại: G7_4</t>
  </si>
  <si>
    <t>Khung 90 Ngày Gần Nhất</t>
  </si>
  <si>
    <t>Top 1: G7_2 (21.1%)</t>
  </si>
  <si>
    <t>Top 2: G7_3 (16.7%)</t>
  </si>
  <si>
    <t>Top 3: G7_4 (15.6%) | Loại: G7_1</t>
  </si>
  <si>
    <t>Thứ Hạng</t>
  </si>
  <si>
    <t>Con Số</t>
  </si>
  <si>
    <t>Thuộc Tổng</t>
  </si>
  <si>
    <t>Chạm G7 Hợp Lệ</t>
  </si>
  <si>
    <t>TS 30 Ngày</t>
  </si>
  <si>
    <t>TS 60 Ngày</t>
  </si>
  <si>
    <t>TS 90 Ngày</t>
  </si>
  <si>
    <t>Nhịp Gan (ngày)</t>
  </si>
  <si>
    <t>Đánh Giá Nhịp</t>
  </si>
  <si>
    <t>Điểm Đồng Thuận Super-Score</t>
  </si>
  <si>
    <t>Top 01</t>
  </si>
  <si>
    <t>Có</t>
  </si>
  <si>
    <t>Nhịp Đẹp</t>
  </si>
  <si>
    <t>Top 02</t>
  </si>
  <si>
    <t>Top 03</t>
  </si>
  <si>
    <t>Top 04</t>
  </si>
  <si>
    <t>Top 05</t>
  </si>
  <si>
    <t>Top 06</t>
  </si>
  <si>
    <t>Top 07</t>
  </si>
  <si>
    <t>Top 08</t>
  </si>
  <si>
    <t>Top 09</t>
  </si>
  <si>
    <t>Top 10</t>
  </si>
  <si>
    <t>Top 11</t>
  </si>
  <si>
    <t>Gan Dài</t>
  </si>
  <si>
    <t>Top 12</t>
  </si>
  <si>
    <t>Top 13</t>
  </si>
  <si>
    <t>Top 14</t>
  </si>
  <si>
    <t>Top 15</t>
  </si>
  <si>
    <t>Top 16</t>
  </si>
  <si>
    <t>Top 17</t>
  </si>
  <si>
    <t>Top 18</t>
  </si>
  <si>
    <t>Top 19</t>
  </si>
  <si>
    <t>Top 20</t>
  </si>
  <si>
    <t>Thứ Trong Tuần</t>
  </si>
  <si>
    <t>Số Ngày Phân Tích</t>
  </si>
  <si>
    <t>G7.1 Trực Diện</t>
  </si>
  <si>
    <t>G7.1 Bóng</t>
  </si>
  <si>
    <t>G7.1 Tổng Trúng</t>
  </si>
  <si>
    <t>G7.2 Trực Diện</t>
  </si>
  <si>
    <t>G7.2 Bóng</t>
  </si>
  <si>
    <t>G7.2 Tổng Trúng</t>
  </si>
  <si>
    <t>G7.3 Trực Diện</t>
  </si>
  <si>
    <t>G7.3 Bóng</t>
  </si>
  <si>
    <t>G7.3 Tổng Trúng</t>
  </si>
  <si>
    <t>G7.4 Trực Diện</t>
  </si>
  <si>
    <t>G7.4 Bóng</t>
  </si>
  <si>
    <t>G7.4 Tổng Trúng</t>
  </si>
  <si>
    <t>Tỷ lệ ăn Chạm G7 gốc (%)</t>
  </si>
  <si>
    <t>Tỷ lệ ăn khi ép [Chạm Chính B9 x Tổng/Bóng G7] (%)</t>
  </si>
  <si>
    <t>Số lượng con số bình quân sau khi hạ dàn</t>
  </si>
  <si>
    <t>Đánh giá vị trí G7 &amp; Cặp Lộn tối ưu theo Thứ</t>
  </si>
  <si>
    <t>Thứ Hai</t>
  </si>
  <si>
    <t>31 ngày</t>
  </si>
  <si>
    <t>2 lần (6.5%)</t>
  </si>
  <si>
    <t>4 lần (12.9%)</t>
  </si>
  <si>
    <t>6 lần (19.4%)</t>
  </si>
  <si>
    <t>1 lần (3.2%)</t>
  </si>
  <si>
    <t>3 lần (9.7%)</t>
  </si>
  <si>
    <t>8 lần (25.8%)</t>
  </si>
  <si>
    <t>24 lần (77.4%)</t>
  </si>
  <si>
    <t>10 lần (32.3%)</t>
  </si>
  <si>
    <t>39.6 con</t>
  </si>
  <si>
    <t>Ưu tiên G7.3 (Top 1) | Cặp Lộn Tối Ưu: 47-74, 78-87</t>
  </si>
  <si>
    <t>Thứ Ba</t>
  </si>
  <si>
    <t>0 lần (0.0%)</t>
  </si>
  <si>
    <t>5 lần (16.1%)</t>
  </si>
  <si>
    <t>7 lần (22.6%)</t>
  </si>
  <si>
    <t>12 lần (38.7%)</t>
  </si>
  <si>
    <t>38.0 con</t>
  </si>
  <si>
    <t>Ưu tiên G7.2 (Top 1) | Cặp Lộn Tối Ưu: 68-86, 89-98</t>
  </si>
  <si>
    <t>Thứ Tư</t>
  </si>
  <si>
    <t>31 lần (100.0%)</t>
  </si>
  <si>
    <t>38.5 con</t>
  </si>
  <si>
    <t>Ưu tiên G7.1 (Top 1) | Cặp Lộn Tối Ưu: 39-93, 36-63</t>
  </si>
  <si>
    <t>Thứ Năm</t>
  </si>
  <si>
    <t>32 ngày</t>
  </si>
  <si>
    <t>2 lần (6.2%)</t>
  </si>
  <si>
    <t>8 lần (25.0%)</t>
  </si>
  <si>
    <t>10 lần (31.2%)</t>
  </si>
  <si>
    <t>1 lần (3.1%)</t>
  </si>
  <si>
    <t>3 lần (9.4%)</t>
  </si>
  <si>
    <t>11 lần (34.4%)</t>
  </si>
  <si>
    <t>4 lần (12.5%)</t>
  </si>
  <si>
    <t>26 lần (81.2%)</t>
  </si>
  <si>
    <t>12 lần (37.5%)</t>
  </si>
  <si>
    <t>40.2 con</t>
  </si>
  <si>
    <t>Ưu tiên G7.3 (Top 1) | Cặp Lộn Tối Ưu: 23-32, 45-54</t>
  </si>
  <si>
    <t>Thứ Sáu</t>
  </si>
  <si>
    <t>33 ngày</t>
  </si>
  <si>
    <t>3 lần (9.1%)</t>
  </si>
  <si>
    <t>6 lần (18.2%)</t>
  </si>
  <si>
    <t>9 lần (27.3%)</t>
  </si>
  <si>
    <t>1 lần (3.0%)</t>
  </si>
  <si>
    <t>7 lần (21.2%)</t>
  </si>
  <si>
    <t>28 lần (84.8%)</t>
  </si>
  <si>
    <t>11 lần (33.3%)</t>
  </si>
  <si>
    <t>35.9 con</t>
  </si>
  <si>
    <t>Ưu tiên G7.3 (Top 1) | Cặp Lộn Tối Ưu: 49-94, 22-77</t>
  </si>
  <si>
    <t>Thứ Bảy</t>
  </si>
  <si>
    <t>5 lần (15.6%)</t>
  </si>
  <si>
    <t>6 lần (18.8%)</t>
  </si>
  <si>
    <t>7 lần (21.9%)</t>
  </si>
  <si>
    <t>28 lần (87.5%)</t>
  </si>
  <si>
    <t>37.2 con</t>
  </si>
  <si>
    <t>Ưu tiên G7.2 (Top 1) | Cặp Lộn Tối Ưu: 38-83, 77-22</t>
  </si>
  <si>
    <t>Chủ Nhật</t>
  </si>
  <si>
    <t>27 lần (84.4%)</t>
  </si>
  <si>
    <t>9 lần (28.1%)</t>
  </si>
  <si>
    <t>37.7 con</t>
  </si>
  <si>
    <t>Ưu tiên G7.2 (Top 1) | Cặp Lộn Tối Ưu: 05-50, 47-74</t>
  </si>
  <si>
    <t>TỔNG CỘNG 2026</t>
  </si>
  <si>
    <t>222 ngày</t>
  </si>
  <si>
    <t>14 lần (6.3%)</t>
  </si>
  <si>
    <t>22 lần (9.9%)</t>
  </si>
  <si>
    <t>36 lần (16.2%)</t>
  </si>
  <si>
    <t>15 lần (6.8%)</t>
  </si>
  <si>
    <t>23 lần (10.4%)</t>
  </si>
  <si>
    <t>38 lần (17.1%)</t>
  </si>
  <si>
    <t>18 lần (8.1%)</t>
  </si>
  <si>
    <t>27 lần (12.2%)</t>
  </si>
  <si>
    <t>45 lần (20.3%)</t>
  </si>
  <si>
    <t>11 lần (5.0%)</t>
  </si>
  <si>
    <t>33 lần (14.9%)</t>
  </si>
  <si>
    <t>188 lần (84.7%)</t>
  </si>
  <si>
    <t>70 lần (31.5%)</t>
  </si>
  <si>
    <t>38.1 con</t>
  </si>
  <si>
    <t>G7.3 nổ mạnh nhất (20.3%), Ép Chạm B9 hạ dàn xuống TB 38.1 con</t>
  </si>
  <si>
    <t>Tập Chạm G7</t>
  </si>
  <si>
    <t>Tổng/Bóng G7</t>
  </si>
  <si>
    <t>Tổng/Bóng Cầu Ghép Góc</t>
  </si>
  <si>
    <t>Dàn Giao Thoa (Chạm x Tổng)</t>
  </si>
  <si>
    <t>Số Đề Hôm Sau</t>
  </si>
  <si>
    <t>Kết Quả Chạm G7</t>
  </si>
  <si>
    <t>Kết Quả Cầu Ghép Góc</t>
  </si>
  <si>
    <t>Kết Quả Dàn Giao Thoa</t>
  </si>
  <si>
    <t>BẢNG 1</t>
  </si>
  <si>
    <t>TỔNG QUAN 4 THUẬT TOÁN G7 NÂNG CAO 2026</t>
  </si>
  <si>
    <t>---</t>
  </si>
  <si>
    <t>Mô Tả &amp; Kích Thước Dàn</t>
  </si>
  <si>
    <t>Tỷ Lệ Trúng (%)</t>
  </si>
  <si>
    <t>Đánh Giá Khuyên Dùng</t>
  </si>
  <si>
    <t>TT 1</t>
  </si>
  <si>
    <t>Thuật toán 1: Tổng Trực diện vs Tổng Bóng G7</t>
  </si>
  <si>
    <t>G7.1-G7.4</t>
  </si>
  <si>
    <t>20 con / vị trí G7 (G7.3 Top 1)</t>
  </si>
  <si>
    <t>45 / 222 lần (G7.3)</t>
  </si>
  <si>
    <t>20.3%</t>
  </si>
  <si>
    <t>Bóng (42.3%) áp đảo Trực diện (26.1%). Ưu tiên G7.3 &amp; G7.2</t>
  </si>
  <si>
    <t>TT 2</t>
  </si>
  <si>
    <t>Thuật toán 2: Màng Lọc Chạm G7 (Độ Phủ Cao)</t>
  </si>
  <si>
    <t>~50-60 con (6-7 chữ số chạm)</t>
  </si>
  <si>
    <t>188 / 222 ngày</t>
  </si>
  <si>
    <t>84.7%</t>
  </si>
  <si>
    <t>Độ phủ 84.7%. Màng lọc bắt buộc để hạ dàn nguyên liệu</t>
  </si>
  <si>
    <t>TT 3</t>
  </si>
  <si>
    <t>Thuật toán 3: Cầu Ghép Góc (Đầu G7.1 + Đuôi G7.4)</t>
  </si>
  <si>
    <t>G7.1[0]</t>
  </si>
  <si>
    <t>G7.4[1]</t>
  </si>
  <si>
    <t>20 con (2 bộ Tổng/Bóng)</t>
  </si>
  <si>
    <t>48 / 222 ngày</t>
  </si>
  <si>
    <t>21.6%</t>
  </si>
  <si>
    <t>Cầu độc lập hiệu quả cao, nổ mạnh Thứ Hai &amp; Thứ Bảy (~29%)</t>
  </si>
  <si>
    <t>TT 4</t>
  </si>
  <si>
    <t>Thuật toán 4: Dàn Giao Thoa Ép Cầu [Chạm x Tổng]</t>
  </si>
  <si>
    <t>~48 con (Giao giữa Chạm G7 &amp; Tổng G7)</t>
  </si>
  <si>
    <t>95 / 222 ngày</t>
  </si>
  <si>
    <t>42.8%</t>
  </si>
  <si>
    <t>Ép dàn cực đỉnh (~48 con) giữ tỷ lệ ăn 42.8%, nổ 56.2% Thứ Năm</t>
  </si>
  <si>
    <t>BẢNG 2</t>
  </si>
  <si>
    <t>NHẬT KÝ KIỂM CHỨNG TỰ ĐỘNG THỰC TẾ 2026</t>
  </si>
  <si>
    <t>Thứ năm ngày 01-01-2026 (Thứ Năm)</t>
  </si>
  <si>
    <t>125679</t>
  </si>
  <si>
    <t>T0, T2, T3, T5, T7, T8</t>
  </si>
  <si>
    <t>50 con</t>
  </si>
  <si>
    <t>KHÔNG</t>
  </si>
  <si>
    <t>Thứ sáu ngày 02-01-2026 (Thứ Sáu)</t>
  </si>
  <si>
    <t>23489</t>
  </si>
  <si>
    <t>T1, T4, T6, T9</t>
  </si>
  <si>
    <t>31 con</t>
  </si>
  <si>
    <t>TRÚNG</t>
  </si>
  <si>
    <t>Thứ bảy ngày 03-01-2026 (Thứ Bảy)</t>
  </si>
  <si>
    <t>234689</t>
  </si>
  <si>
    <t>T0, T1, T2, T5, T6, T7</t>
  </si>
  <si>
    <t>47 con</t>
  </si>
  <si>
    <t>Chủ nhật ngày 04-01-2026 (Chủ Nhật)</t>
  </si>
  <si>
    <t>2345678</t>
  </si>
  <si>
    <t>T2, T4, T7, T9</t>
  </si>
  <si>
    <t>37 con</t>
  </si>
  <si>
    <t>Thứ hai ngày 05-01-2026 (Thứ Hai)</t>
  </si>
  <si>
    <t>234567</t>
  </si>
  <si>
    <t>T1, T2, T4, T6, T7, T9</t>
  </si>
  <si>
    <t>Thứ ba ngày 06-01-2026 (Thứ Ba)</t>
  </si>
  <si>
    <t>01256</t>
  </si>
  <si>
    <t>T0, T1, T3, T5, T6, T8</t>
  </si>
  <si>
    <t>44 con</t>
  </si>
  <si>
    <t>Thứ tư ngày 07-01-2026 (Thứ Tư)</t>
  </si>
  <si>
    <t>2345679</t>
  </si>
  <si>
    <t>55 con</t>
  </si>
  <si>
    <t>Thứ năm ngày 08-01-2026 (Thứ Năm)</t>
  </si>
  <si>
    <t>123458</t>
  </si>
  <si>
    <t>T0, T1, T4, T5, T6, T9</t>
  </si>
  <si>
    <t>Thứ sáu ngày 09-01-2026 (Thứ Sáu)</t>
  </si>
  <si>
    <t>245678</t>
  </si>
  <si>
    <t>51 con</t>
  </si>
  <si>
    <t>Thứ bảy ngày 10-01-2026 (Thứ Bảy)</t>
  </si>
  <si>
    <t>013457</t>
  </si>
  <si>
    <t>T0, T2, T4, T5, T7, T9</t>
  </si>
  <si>
    <t>Chủ nhật ngày 11-01-2026 (Chủ Nhật)</t>
  </si>
  <si>
    <t>0134579</t>
  </si>
  <si>
    <t>Thứ hai ngày 12-01-2026 (Thứ Hai)</t>
  </si>
  <si>
    <t>01234</t>
  </si>
  <si>
    <t>45 con</t>
  </si>
  <si>
    <t>Thứ ba ngày 13-01-2026 (Thứ Ba)</t>
  </si>
  <si>
    <t>124568</t>
  </si>
  <si>
    <t>Thứ tư ngày 14-01-2026 (Thứ Tư)</t>
  </si>
  <si>
    <t>1259</t>
  </si>
  <si>
    <t>T0, T1, T2, T3, T5, T6, T7, T8</t>
  </si>
  <si>
    <t>Thứ năm ngày 15-01-2026 (Thứ Năm)</t>
  </si>
  <si>
    <t>01247</t>
  </si>
  <si>
    <t>T0, T3, T5, T8</t>
  </si>
  <si>
    <t>32 con</t>
  </si>
  <si>
    <t>Thứ sáu ngày 16-01-2026 (Thứ Sáu)</t>
  </si>
  <si>
    <t>03479</t>
  </si>
  <si>
    <t>T1, T3, T4, T6, T8, T9</t>
  </si>
  <si>
    <t>Thứ bảy ngày 17-01-2026 (Thứ Bảy)</t>
  </si>
  <si>
    <t>34567</t>
  </si>
  <si>
    <t>T0, T1, T2, T4, T5, T6, T7, T9</t>
  </si>
  <si>
    <t>60 con</t>
  </si>
  <si>
    <t>Chủ nhật ngày 18-01-2026 (Chủ Nhật)</t>
  </si>
  <si>
    <t>124569</t>
  </si>
  <si>
    <t>T2, T3, T7, T8</t>
  </si>
  <si>
    <t>34 con</t>
  </si>
  <si>
    <t>Thứ hai ngày 19-01-2026 (Thứ Hai)</t>
  </si>
  <si>
    <t>23459</t>
  </si>
  <si>
    <t>46 con</t>
  </si>
  <si>
    <t>Thứ ba ngày 20-01-2026 (Thứ Ba)</t>
  </si>
  <si>
    <t>0125689</t>
  </si>
  <si>
    <t>T0, T1, T3, T4, T5, T6, T8, T9</t>
  </si>
  <si>
    <t>73 con</t>
  </si>
  <si>
    <t>Thứ tư ngày 21-01-2026 (Thứ Tư)</t>
  </si>
  <si>
    <t>023469</t>
  </si>
  <si>
    <t>Thứ năm ngày 22-01-2026 (Thứ Năm)</t>
  </si>
  <si>
    <t>34569</t>
  </si>
  <si>
    <t>Thứ sáu ngày 23-01-2026 (Thứ Sáu)</t>
  </si>
  <si>
    <t>016789</t>
  </si>
  <si>
    <t>Thứ bảy ngày 24-01-2026 (Thứ Bảy)</t>
  </si>
  <si>
    <t>134589</t>
  </si>
  <si>
    <t>T1, T2, T6, T7</t>
  </si>
  <si>
    <t>33 con</t>
  </si>
  <si>
    <t>Chủ nhật ngày 25-01-2026 (Chủ Nhật)</t>
  </si>
  <si>
    <t>36789</t>
  </si>
  <si>
    <t>29 con</t>
  </si>
  <si>
    <t>Thứ hai ngày 26-01-2026 (Thứ Hai)</t>
  </si>
  <si>
    <t>35678</t>
  </si>
  <si>
    <t>43 con</t>
  </si>
  <si>
    <t>Thứ ba ngày 27-01-2026 (Thứ Ba)</t>
  </si>
  <si>
    <t>0126</t>
  </si>
  <si>
    <t>25 con</t>
  </si>
  <si>
    <t>Thứ tư ngày 28-01-2026 (Thứ Tư)</t>
  </si>
  <si>
    <t>12467</t>
  </si>
  <si>
    <t>Thứ năm ngày 29-01-2026 (Thứ Năm)</t>
  </si>
  <si>
    <t>0123678</t>
  </si>
  <si>
    <t>Thứ sáu ngày 30-01-2026 (Thứ Sáu)</t>
  </si>
  <si>
    <t>012358</t>
  </si>
  <si>
    <t>T0, T3, T4, T5, T8, T9</t>
  </si>
  <si>
    <t>49 con</t>
  </si>
  <si>
    <t>Thứ bảy ngày 31-01-2026 (Thứ Bảy)</t>
  </si>
  <si>
    <t>14567</t>
  </si>
  <si>
    <t>Chủ nhật ngày 01-02-2026 (Chủ Nhật)</t>
  </si>
  <si>
    <t>034578</t>
  </si>
  <si>
    <t>Thứ hai ngày 02-02-2026 (Thứ Hai)</t>
  </si>
  <si>
    <t>023467</t>
  </si>
  <si>
    <t>Thứ ba ngày 03-02-2026 (Thứ Ba)</t>
  </si>
  <si>
    <t>146789</t>
  </si>
  <si>
    <t>T0, T2, T3, T4, T5, T7, T8, T9</t>
  </si>
  <si>
    <t>65 con</t>
  </si>
  <si>
    <t>Thứ tư ngày 04-02-2026 (Thứ Tư)</t>
  </si>
  <si>
    <t>03568</t>
  </si>
  <si>
    <t>T1, T3, T6, T8</t>
  </si>
  <si>
    <t>24 con</t>
  </si>
  <si>
    <t>Thứ năm ngày 05-02-2026 (Thứ Năm)</t>
  </si>
  <si>
    <t>3578</t>
  </si>
  <si>
    <t>Thứ sáu ngày 06-02-2026 (Thứ Sáu)</t>
  </si>
  <si>
    <t>01568</t>
  </si>
  <si>
    <t>48 con</t>
  </si>
  <si>
    <t>Thứ bảy ngày 07-02-2026 (Thứ Bảy)</t>
  </si>
  <si>
    <t>13479</t>
  </si>
  <si>
    <t>T2, T3, T4, T7, T8, T9</t>
  </si>
  <si>
    <t>Chủ nhật ngày 08-02-2026 (Chủ Nhật)</t>
  </si>
  <si>
    <t>034568</t>
  </si>
  <si>
    <t>Thứ hai ngày 09-02-2026 (Thứ Hai)</t>
  </si>
  <si>
    <t>124567</t>
  </si>
  <si>
    <t>Thứ ba ngày 10-02-2026 (Thứ Ba)</t>
  </si>
  <si>
    <t>14569</t>
  </si>
  <si>
    <t>Thứ tư ngày 11-02-2026 (Thứ Tư)</t>
  </si>
  <si>
    <t>234789</t>
  </si>
  <si>
    <t>Thứ năm ngày 12-02-2026 (Thứ Năm)</t>
  </si>
  <si>
    <t>59 con</t>
  </si>
  <si>
    <t>Thứ sáu ngày 13-02-2026 (Thứ Sáu)</t>
  </si>
  <si>
    <t>01379</t>
  </si>
  <si>
    <t>Thứ bảy ngày 14-02-2026 (Thứ Bảy)</t>
  </si>
  <si>
    <t>01689</t>
  </si>
  <si>
    <t>Chủ nhật ngày 15-02-2026 (Chủ Nhật)</t>
  </si>
  <si>
    <t>034579</t>
  </si>
  <si>
    <t>T1, T2, T3, T4, T6, T7, T8, T9</t>
  </si>
  <si>
    <t>66 con</t>
  </si>
  <si>
    <t>Thứ sáu ngày 20-02-2026 (Thứ Sáu)</t>
  </si>
  <si>
    <t>01245789</t>
  </si>
  <si>
    <t>56 con</t>
  </si>
  <si>
    <t>Thứ bảy ngày 21-02-2026 (Thứ Bảy)</t>
  </si>
  <si>
    <t>01469</t>
  </si>
  <si>
    <t>T0, T4, T5, T9</t>
  </si>
  <si>
    <t>27 con</t>
  </si>
  <si>
    <t>Chủ nhật ngày 22-02-2026 (Chủ Nhật)</t>
  </si>
  <si>
    <t>0389</t>
  </si>
  <si>
    <t>Thứ hai ngày 23-02-2026 (Thứ Hai)</t>
  </si>
  <si>
    <t>03457</t>
  </si>
  <si>
    <t>Thứ ba ngày 24-02-2026 (Thứ Ba)</t>
  </si>
  <si>
    <t>54 con</t>
  </si>
  <si>
    <t>Thứ tư ngày 25-02-2026 (Thứ Tư)</t>
  </si>
  <si>
    <t>0134678</t>
  </si>
  <si>
    <t>Thứ năm ngày 26-02-2026 (Thứ Năm)</t>
  </si>
  <si>
    <t>014569</t>
  </si>
  <si>
    <t>Thứ sáu ngày 27-02-2026 (Thứ Sáu)</t>
  </si>
  <si>
    <t>1234579</t>
  </si>
  <si>
    <t>Thứ bảy ngày 28-02-2026 (Thứ Bảy)</t>
  </si>
  <si>
    <t>0256789</t>
  </si>
  <si>
    <t>Chủ nhật ngày 01-03-2026 (Chủ Nhật)</t>
  </si>
  <si>
    <t>023679</t>
  </si>
  <si>
    <t>Thứ hai ngày 02-03-2026 (Thứ Hai)</t>
  </si>
  <si>
    <t>0145689</t>
  </si>
  <si>
    <t>52 con</t>
  </si>
  <si>
    <t>Thứ ba ngày 03-03-2026 (Thứ Ba)</t>
  </si>
  <si>
    <t>123679</t>
  </si>
  <si>
    <t>Thứ tư ngày 04-03-2026 (Thứ Tư)</t>
  </si>
  <si>
    <t>0123569</t>
  </si>
  <si>
    <t>Thứ năm ngày 05-03-2026 (Thứ Năm)</t>
  </si>
  <si>
    <t>Thứ sáu ngày 06-03-2026 (Thứ Sáu)</t>
  </si>
  <si>
    <t>014578</t>
  </si>
  <si>
    <t>Thứ bảy ngày 07-03-2026 (Thứ Bảy)</t>
  </si>
  <si>
    <t>123468</t>
  </si>
  <si>
    <t>69 con</t>
  </si>
  <si>
    <t>Chủ nhật ngày 08-03-2026 (Chủ Nhật)</t>
  </si>
  <si>
    <t>247</t>
  </si>
  <si>
    <t>16 con</t>
  </si>
  <si>
    <t>Thứ hai ngày 09-03-2026 (Thứ Hai)</t>
  </si>
  <si>
    <t>02356</t>
  </si>
  <si>
    <t>T1, T2, T3, T6, T7, T8</t>
  </si>
  <si>
    <t>Thứ ba ngày 10-03-2026 (Thứ Ba)</t>
  </si>
  <si>
    <t>135789</t>
  </si>
  <si>
    <t>Thứ tư ngày 11-03-2026 (Thứ Tư)</t>
  </si>
  <si>
    <t>013479</t>
  </si>
  <si>
    <t>67 con</t>
  </si>
  <si>
    <t>Thứ năm ngày 12-03-2026 (Thứ Năm)</t>
  </si>
  <si>
    <t>045689</t>
  </si>
  <si>
    <t>Thứ sáu ngày 13-03-2026 (Thứ Sáu)</t>
  </si>
  <si>
    <t>015689</t>
  </si>
  <si>
    <t>Thứ bảy ngày 14-03-2026 (Thứ Bảy)</t>
  </si>
  <si>
    <t>38 con</t>
  </si>
  <si>
    <t>Chủ nhật ngày 15-03-2026 (Chủ Nhật)</t>
  </si>
  <si>
    <t>34678</t>
  </si>
  <si>
    <t>61 con</t>
  </si>
  <si>
    <t>Thứ hai ngày 16-03-2026 (Thứ Hai)</t>
  </si>
  <si>
    <t>02345789</t>
  </si>
  <si>
    <t>Thứ ba ngày 17-03-2026 (Thứ Ba)</t>
  </si>
  <si>
    <t>023579</t>
  </si>
  <si>
    <t>30 con</t>
  </si>
  <si>
    <t>Thứ tư ngày 18-03-2026 (Thứ Tư)</t>
  </si>
  <si>
    <t>01235679</t>
  </si>
  <si>
    <t>Thứ năm ngày 19-03-2026 (Thứ Năm)</t>
  </si>
  <si>
    <t>012456</t>
  </si>
  <si>
    <t>Thứ sáu ngày 20-03-2026 (Thứ Sáu)</t>
  </si>
  <si>
    <t>0234578</t>
  </si>
  <si>
    <t>Thứ bảy ngày 21-03-2026 (Thứ Bảy)</t>
  </si>
  <si>
    <t>0234569</t>
  </si>
  <si>
    <t>74 con</t>
  </si>
  <si>
    <t>Chủ nhật ngày 22-03-2026 (Chủ Nhật)</t>
  </si>
  <si>
    <t>0123489</t>
  </si>
  <si>
    <t>53 con</t>
  </si>
  <si>
    <t>Thứ hai ngày 23-03-2026 (Thứ Hai)</t>
  </si>
  <si>
    <t>2489</t>
  </si>
  <si>
    <t>Thứ ba ngày 24-03-2026 (Thứ Ba)</t>
  </si>
  <si>
    <t>04679</t>
  </si>
  <si>
    <t>Thứ tư ngày 25-03-2026 (Thứ Tư)</t>
  </si>
  <si>
    <t>024579</t>
  </si>
  <si>
    <t>Thứ năm ngày 26-03-2026 (Thứ Năm)</t>
  </si>
  <si>
    <t>124589</t>
  </si>
  <si>
    <t>Thứ sáu ngày 27-03-2026 (Thứ Sáu)</t>
  </si>
  <si>
    <t>01456</t>
  </si>
  <si>
    <t>Thứ bảy ngày 28-03-2026 (Thứ Bảy)</t>
  </si>
  <si>
    <t>Chủ nhật ngày 29-03-2026 (Chủ Nhật)</t>
  </si>
  <si>
    <t>01368</t>
  </si>
  <si>
    <t>Thứ hai ngày 30-03-2026 (Thứ Hai)</t>
  </si>
  <si>
    <t>Thứ ba ngày 31-03-2026 (Thứ Ba)</t>
  </si>
  <si>
    <t>012378</t>
  </si>
  <si>
    <t>Thứ tư ngày 01-04-2026 (Thứ Tư)</t>
  </si>
  <si>
    <t>0123567</t>
  </si>
  <si>
    <t>T0, T2, T5, T7</t>
  </si>
  <si>
    <t>36 con</t>
  </si>
  <si>
    <t>Thứ năm ngày 02-04-2026 (Thứ Năm)</t>
  </si>
  <si>
    <t>03459</t>
  </si>
  <si>
    <t>28 con</t>
  </si>
  <si>
    <t>Thứ sáu ngày 03-04-2026 (Thứ Sáu)</t>
  </si>
  <si>
    <t>1245689</t>
  </si>
  <si>
    <t>Thứ bảy ngày 04-04-2026 (Thứ Bảy)</t>
  </si>
  <si>
    <t>014589</t>
  </si>
  <si>
    <t>Chủ nhật ngày 05-04-2026 (Chủ Nhật)</t>
  </si>
  <si>
    <t>1346789</t>
  </si>
  <si>
    <t>Thứ hai ngày 06-04-2026 (Thứ Hai)</t>
  </si>
  <si>
    <t>123569</t>
  </si>
  <si>
    <t>Thứ ba ngày 07-04-2026 (Thứ Ba)</t>
  </si>
  <si>
    <t>012578</t>
  </si>
  <si>
    <t>Thứ tư ngày 08-04-2026 (Thứ Tư)</t>
  </si>
  <si>
    <t>02469</t>
  </si>
  <si>
    <t>Thứ năm ngày 09-04-2026 (Thứ Năm)</t>
  </si>
  <si>
    <t>123478</t>
  </si>
  <si>
    <t>Thứ sáu ngày 10-04-2026 (Thứ Sáu)</t>
  </si>
  <si>
    <t>023479</t>
  </si>
  <si>
    <t>Thứ bảy ngày 11-04-2026 (Thứ Bảy)</t>
  </si>
  <si>
    <t>015678</t>
  </si>
  <si>
    <t>Chủ nhật ngày 12-04-2026 (Chủ Nhật)</t>
  </si>
  <si>
    <t>256789</t>
  </si>
  <si>
    <t>Thứ hai ngày 13-04-2026 (Thứ Hai)</t>
  </si>
  <si>
    <t>0129</t>
  </si>
  <si>
    <t>Thứ ba ngày 14-04-2026 (Thứ Ba)</t>
  </si>
  <si>
    <t>123567</t>
  </si>
  <si>
    <t>Thứ tư ngày 15-04-2026 (Thứ Tư)</t>
  </si>
  <si>
    <t>35689</t>
  </si>
  <si>
    <t>Thứ năm ngày 16-04-2026 (Thứ Năm)</t>
  </si>
  <si>
    <t>136789</t>
  </si>
  <si>
    <t>Thứ sáu ngày 17-04-2026 (Thứ Sáu)</t>
  </si>
  <si>
    <t>01237</t>
  </si>
  <si>
    <t>T3, T4, T8, T9</t>
  </si>
  <si>
    <t>Thứ bảy ngày 18-04-2026 (Thứ Bảy)</t>
  </si>
  <si>
    <t>34579</t>
  </si>
  <si>
    <t>Chủ nhật ngày 19-04-2026 (Chủ Nhật)</t>
  </si>
  <si>
    <t>012678</t>
  </si>
  <si>
    <t>Thứ hai ngày 20-04-2026 (Thứ Hai)</t>
  </si>
  <si>
    <t>034679</t>
  </si>
  <si>
    <t>Thứ ba ngày 21-04-2026 (Thứ Ba)</t>
  </si>
  <si>
    <t>012359</t>
  </si>
  <si>
    <t>T4, T9</t>
  </si>
  <si>
    <t>17 con</t>
  </si>
  <si>
    <t>Thứ tư ngày 22-04-2026 (Thứ Tư)</t>
  </si>
  <si>
    <t>245679</t>
  </si>
  <si>
    <t>68 con</t>
  </si>
  <si>
    <t>Thứ năm ngày 23-04-2026 (Thứ Năm)</t>
  </si>
  <si>
    <t>235679</t>
  </si>
  <si>
    <t>Thứ sáu ngày 24-04-2026 (Thứ Sáu)</t>
  </si>
  <si>
    <t>01458</t>
  </si>
  <si>
    <t>Thứ bảy ngày 25-04-2026 (Thứ Bảy)</t>
  </si>
  <si>
    <t>23579</t>
  </si>
  <si>
    <t>Chủ nhật ngày 26-04-2026 (Chủ Nhật)</t>
  </si>
  <si>
    <t>035678</t>
  </si>
  <si>
    <t>Thứ hai ngày 27-04-2026 (Thứ Hai)</t>
  </si>
  <si>
    <t>1234678</t>
  </si>
  <si>
    <t>Thứ ba ngày 28-04-2026 (Thứ Ba)</t>
  </si>
  <si>
    <t>Thứ tư ngày 29-04-2026 (Thứ Tư)</t>
  </si>
  <si>
    <t>1246789</t>
  </si>
  <si>
    <t>Thứ năm ngày 30-04-2026 (Thứ Năm)</t>
  </si>
  <si>
    <t>0134789</t>
  </si>
  <si>
    <t>72 con</t>
  </si>
  <si>
    <t>Thứ sáu ngày 01-05-2026 (Thứ Sáu)</t>
  </si>
  <si>
    <t>346789</t>
  </si>
  <si>
    <t>Thứ bảy ngày 02-05-2026 (Thứ Bảy)</t>
  </si>
  <si>
    <t>124678</t>
  </si>
  <si>
    <t>Chủ nhật ngày 03-05-2026 (Chủ Nhật)</t>
  </si>
  <si>
    <t>245689</t>
  </si>
  <si>
    <t>Thứ hai ngày 04-05-2026 (Thứ Hai)</t>
  </si>
  <si>
    <t>135679</t>
  </si>
  <si>
    <t>Thứ ba ngày 05-05-2026 (Thứ Ba)</t>
  </si>
  <si>
    <t>Thứ tư ngày 06-05-2026 (Thứ Tư)</t>
  </si>
  <si>
    <t>02569</t>
  </si>
  <si>
    <t>58 con</t>
  </si>
  <si>
    <t>Thứ năm ngày 07-05-2026 (Thứ Năm)</t>
  </si>
  <si>
    <t>Thứ sáu ngày 08-05-2026 (Thứ Sáu)</t>
  </si>
  <si>
    <t>24569</t>
  </si>
  <si>
    <t>Thứ bảy ngày 09-05-2026 (Thứ Bảy)</t>
  </si>
  <si>
    <t>Chủ nhật ngày 10-05-2026 (Chủ Nhật)</t>
  </si>
  <si>
    <t>012357</t>
  </si>
  <si>
    <t>Thứ hai ngày 11-05-2026 (Thứ Hai)</t>
  </si>
  <si>
    <t>014568</t>
  </si>
  <si>
    <t>Thứ ba ngày 12-05-2026 (Thứ Ba)</t>
  </si>
  <si>
    <t>123578</t>
  </si>
  <si>
    <t>Thứ tư ngày 13-05-2026 (Thứ Tư)</t>
  </si>
  <si>
    <t>Thứ năm ngày 14-05-2026 (Thứ Năm)</t>
  </si>
  <si>
    <t>023468</t>
  </si>
  <si>
    <t>Thứ sáu ngày 15-05-2026 (Thứ Sáu)</t>
  </si>
  <si>
    <t>Thứ bảy ngày 16-05-2026 (Thứ Bảy)</t>
  </si>
  <si>
    <t>01468</t>
  </si>
  <si>
    <t>Chủ nhật ngày 17-05-2026 (Chủ Nhật)</t>
  </si>
  <si>
    <t>Thứ hai ngày 18-05-2026 (Thứ Hai)</t>
  </si>
  <si>
    <t>014579</t>
  </si>
  <si>
    <t>Thứ ba ngày 19-05-2026 (Thứ Ba)</t>
  </si>
  <si>
    <t>12678</t>
  </si>
  <si>
    <t>40 con</t>
  </si>
  <si>
    <t>Thứ tư ngày 20-05-2026 (Thứ Tư)</t>
  </si>
  <si>
    <t>012459</t>
  </si>
  <si>
    <t>Thứ năm ngày 21-05-2026 (Thứ Năm)</t>
  </si>
  <si>
    <t>345789</t>
  </si>
  <si>
    <t>35 con</t>
  </si>
  <si>
    <t>Thứ sáu ngày 22-05-2026 (Thứ Sáu)</t>
  </si>
  <si>
    <t>Thứ bảy ngày 23-05-2026 (Thứ Bảy)</t>
  </si>
  <si>
    <t>234568</t>
  </si>
  <si>
    <t>Chủ nhật ngày 24-05-2026 (Chủ Nhật)</t>
  </si>
  <si>
    <t>025689</t>
  </si>
  <si>
    <t>Thứ hai ngày 25-05-2026 (Thứ Hai)</t>
  </si>
  <si>
    <t>034689</t>
  </si>
  <si>
    <t>Thứ ba ngày 26-05-2026 (Thứ Ba)</t>
  </si>
  <si>
    <t>1234789</t>
  </si>
  <si>
    <t>71 con</t>
  </si>
  <si>
    <t>Thứ tư ngày 27-05-2026 (Thứ Tư)</t>
  </si>
  <si>
    <t>Thứ năm ngày 28-05-2026 (Thứ Năm)</t>
  </si>
  <si>
    <t>01569</t>
  </si>
  <si>
    <t>Thứ sáu ngày 29-05-2026 (Thứ Sáu)</t>
  </si>
  <si>
    <t>13678</t>
  </si>
  <si>
    <t>Thứ bảy ngày 30-05-2026 (Thứ Bảy)</t>
  </si>
  <si>
    <t>Chủ nhật ngày 31-05-2026 (Chủ Nhật)</t>
  </si>
  <si>
    <t>134789</t>
  </si>
  <si>
    <t>Thứ hai ngày 01-06-2026 (Thứ Hai)</t>
  </si>
  <si>
    <t>012467</t>
  </si>
  <si>
    <t>Thứ ba ngày 02-06-2026 (Thứ Ba)</t>
  </si>
  <si>
    <t>235789</t>
  </si>
  <si>
    <t>Thứ tư ngày 03-06-2026 (Thứ Tư)</t>
  </si>
  <si>
    <t>0234579</t>
  </si>
  <si>
    <t>Thứ năm ngày 04-06-2026 (Thứ Năm)</t>
  </si>
  <si>
    <t>0123568</t>
  </si>
  <si>
    <t>Thứ sáu ngày 05-06-2026 (Thứ Sáu)</t>
  </si>
  <si>
    <t>Thứ bảy ngày 06-06-2026 (Thứ Bảy)</t>
  </si>
  <si>
    <t>23569</t>
  </si>
  <si>
    <t>Chủ nhật ngày 07-06-2026 (Chủ Nhật)</t>
  </si>
  <si>
    <t>01459</t>
  </si>
  <si>
    <t>Thứ hai ngày 08-06-2026 (Thứ Hai)</t>
  </si>
  <si>
    <t>012367</t>
  </si>
  <si>
    <t>Thứ ba ngày 09-06-2026 (Thứ Ba)</t>
  </si>
  <si>
    <t>01479</t>
  </si>
  <si>
    <t>Thứ tư ngày 10-06-2026 (Thứ Tư)</t>
  </si>
  <si>
    <t>Thứ năm ngày 11-06-2026 (Thứ Năm)</t>
  </si>
  <si>
    <t>024569</t>
  </si>
  <si>
    <t>Thứ sáu ngày 12-06-2026 (Thứ Sáu)</t>
  </si>
  <si>
    <t>246789</t>
  </si>
  <si>
    <t>Thứ bảy ngày 13-06-2026 (Thứ Bảy)</t>
  </si>
  <si>
    <t>0123479</t>
  </si>
  <si>
    <t>Chủ nhật ngày 14-06-2026 (Chủ Nhật)</t>
  </si>
  <si>
    <t>34689</t>
  </si>
  <si>
    <t>Thứ hai ngày 15-06-2026 (Thứ Hai)</t>
  </si>
  <si>
    <t>02678</t>
  </si>
  <si>
    <t>Thứ ba ngày 16-06-2026 (Thứ Ba)</t>
  </si>
  <si>
    <t>01579</t>
  </si>
  <si>
    <t>Thứ tư ngày 17-06-2026 (Thứ Tư)</t>
  </si>
  <si>
    <t>12679</t>
  </si>
  <si>
    <t>Thứ năm ngày 18-06-2026 (Thứ Năm)</t>
  </si>
  <si>
    <t>Thứ sáu ngày 19-06-2026 (Thứ Sáu)</t>
  </si>
  <si>
    <t>03456</t>
  </si>
  <si>
    <t>Thứ bảy ngày 20-06-2026 (Thứ Bảy)</t>
  </si>
  <si>
    <t>56789</t>
  </si>
  <si>
    <t>Chủ nhật ngày 21-06-2026 (Chủ Nhật)</t>
  </si>
  <si>
    <t>Thứ hai ngày 22-06-2026 (Thứ Hai)</t>
  </si>
  <si>
    <t>234579</t>
  </si>
  <si>
    <t>Thứ ba ngày 23-06-2026 (Thứ Ba)</t>
  </si>
  <si>
    <t>23689</t>
  </si>
  <si>
    <t>Thứ tư ngày 24-06-2026 (Thứ Tư)</t>
  </si>
  <si>
    <t>Thứ năm ngày 25-06-2026 (Thứ Năm)</t>
  </si>
  <si>
    <t>Thứ sáu ngày 26-06-2026 (Thứ Sáu)</t>
  </si>
  <si>
    <t>023457</t>
  </si>
  <si>
    <t>Thứ bảy ngày 27-06-2026 (Thứ Bảy)</t>
  </si>
  <si>
    <t>145689</t>
  </si>
  <si>
    <t>Chủ nhật ngày 28-06-2026 (Chủ Nhật)</t>
  </si>
  <si>
    <t>134568</t>
  </si>
  <si>
    <t>Thứ hai ngày 29-06-2026 (Thứ Hai)</t>
  </si>
  <si>
    <t>034789</t>
  </si>
  <si>
    <t>Thứ ba ngày 30-06-2026 (Thứ Ba)</t>
  </si>
  <si>
    <t>012379</t>
  </si>
  <si>
    <t>Thứ tư ngày 01-07-2026 (Thứ Tư)</t>
  </si>
  <si>
    <t>0135789</t>
  </si>
  <si>
    <t>Thứ năm ngày 02-07-2026 (Thứ Năm)</t>
  </si>
  <si>
    <t>035789</t>
  </si>
  <si>
    <t>Thứ sáu ngày 03-07-2026 (Thứ Sáu)</t>
  </si>
  <si>
    <t>0123689</t>
  </si>
  <si>
    <t>Thứ bảy ngày 04-07-2026 (Thứ Bảy)</t>
  </si>
  <si>
    <t>1345789</t>
  </si>
  <si>
    <t>Chủ nhật ngày 05-07-2026 (Chủ Nhật)</t>
  </si>
  <si>
    <t>035689</t>
  </si>
  <si>
    <t>Thứ hai ngày 06-07-2026 (Thứ Hai)</t>
  </si>
  <si>
    <t>023589</t>
  </si>
  <si>
    <t>Thứ ba ngày 07-07-2026 (Thứ Ba)</t>
  </si>
  <si>
    <t>0124568</t>
  </si>
  <si>
    <t>Thứ tư ngày 08-07-2026 (Thứ Tư)</t>
  </si>
  <si>
    <t>01289</t>
  </si>
  <si>
    <t>Thứ năm ngày 09-07-2026 (Thứ Năm)</t>
  </si>
  <si>
    <t>013456</t>
  </si>
  <si>
    <t>Thứ sáu ngày 10-07-2026 (Thứ Sáu)</t>
  </si>
  <si>
    <t>0123679</t>
  </si>
  <si>
    <t>Thứ bảy ngày 11-07-2026 (Thứ Bảy)</t>
  </si>
  <si>
    <t>02367</t>
  </si>
  <si>
    <t>Chủ nhật ngày 12-07-2026 (Chủ Nhật)</t>
  </si>
  <si>
    <t>Thứ hai ngày 13-07-2026 (Thứ Hai)</t>
  </si>
  <si>
    <t>05679</t>
  </si>
  <si>
    <t>Thứ ba ngày 14-07-2026 (Thứ Ba)</t>
  </si>
  <si>
    <t>0356789</t>
  </si>
  <si>
    <t>Thứ tư ngày 15-07-2026 (Thứ Tư)</t>
  </si>
  <si>
    <t>70 con</t>
  </si>
  <si>
    <t>Thứ năm ngày 16-07-2026 (Thứ Năm)</t>
  </si>
  <si>
    <t>014689</t>
  </si>
  <si>
    <t>Thứ sáu ngày 17-07-2026 (Thứ Sáu)</t>
  </si>
  <si>
    <t>013467</t>
  </si>
  <si>
    <t>Thứ bảy ngày 18-07-2026 (Thứ Bảy)</t>
  </si>
  <si>
    <t>Chủ nhật ngày 19-07-2026 (Chủ Nhật)</t>
  </si>
  <si>
    <t>125678</t>
  </si>
  <si>
    <t>Thứ hai ngày 20-07-2026 (Thứ Hai)</t>
  </si>
  <si>
    <t>0134689</t>
  </si>
  <si>
    <t>Thứ ba ngày 21-07-2026 (Thứ Ba)</t>
  </si>
  <si>
    <t>Thứ tư ngày 22-07-2026 (Thứ Tư)</t>
  </si>
  <si>
    <t>Thứ năm ngày 23-07-2026 (Thứ Năm)</t>
  </si>
  <si>
    <t>35679</t>
  </si>
  <si>
    <t>Thứ sáu ngày 24-07-2026 (Thứ Sáu)</t>
  </si>
  <si>
    <t>024568</t>
  </si>
  <si>
    <t>Thứ bảy ngày 25-07-2026 (Thứ Bảy)</t>
  </si>
  <si>
    <t>023569</t>
  </si>
  <si>
    <t>Chủ nhật ngày 26-07-2026 (Chủ Nhật)</t>
  </si>
  <si>
    <t>023567</t>
  </si>
  <si>
    <t>Thứ hai ngày 27-07-2026 (Thứ Hai)</t>
  </si>
  <si>
    <t>25789</t>
  </si>
  <si>
    <t>Thứ ba ngày 28-07-2026 (Thứ Ba)</t>
  </si>
  <si>
    <t>Thứ tư ngày 29-07-2026 (Thứ Tư)</t>
  </si>
  <si>
    <t>134578</t>
  </si>
  <si>
    <t>Thứ năm ngày 30-07-2026 (Thứ Năm)</t>
  </si>
  <si>
    <t>023689</t>
  </si>
  <si>
    <t>Thứ sáu ngày 31-07-2026 (Thứ Sáu)</t>
  </si>
  <si>
    <t>0134589</t>
  </si>
  <si>
    <t>Thứ bảy ngày 01-08-2026 (Thứ Bảy)</t>
  </si>
  <si>
    <t>Chủ nhật ngày 02-08-2026 (Chủ Nhật)</t>
  </si>
  <si>
    <t>0124589</t>
  </si>
  <si>
    <t>Thứ hai ngày 03-08-2026 (Thứ Hai)</t>
  </si>
  <si>
    <t>Thứ ba ngày 04-08-2026 (Thứ Ba)</t>
  </si>
  <si>
    <t>2478</t>
  </si>
  <si>
    <t>41 con</t>
  </si>
  <si>
    <t>Thứ tư ngày 05-08-2026 (Thứ Tư)</t>
  </si>
  <si>
    <t>Thứ năm ngày 06-08-2026 (Thứ Năm)</t>
  </si>
  <si>
    <t>Thứ sáu ngày 07-08-2026 (Thứ Sáu)</t>
  </si>
  <si>
    <t>01478</t>
  </si>
  <si>
    <t>Thứ bảy ngày 08-08-2026 (Thứ Bảy)</t>
  </si>
  <si>
    <t>05789</t>
  </si>
  <si>
    <t>Chủ nhật ngày 09-08-2026 (Chủ Nhật)</t>
  </si>
  <si>
    <t>1279</t>
  </si>
  <si>
    <t>Thứ hai ngày 10-08-2026 (Thứ Hai)</t>
  </si>
  <si>
    <t>0245689</t>
  </si>
  <si>
    <t>Thứ ba ngày 11-08-2026 (Thứ Ba)</t>
  </si>
  <si>
    <t>0249</t>
  </si>
  <si>
    <t>Thứ tư ngày 12-08-2026 (Thứ Tư)</t>
  </si>
  <si>
    <t>012479</t>
  </si>
  <si>
    <t>Thứ năm ngày 13-08-2026 (Thứ Năm)</t>
  </si>
  <si>
    <t>123469</t>
  </si>
  <si>
    <t>Thứ sáu ngày 14-08-2026 (Thứ Sáu)</t>
  </si>
  <si>
    <t>Giải Đặc Biệt</t>
  </si>
  <si>
    <t>Số Đề (2 số)</t>
  </si>
  <si>
    <t>Đầu Đề</t>
  </si>
  <si>
    <t>Đuôi Đề</t>
  </si>
  <si>
    <t>Dàn Số Dự Đoán (G7 Top 1-3)</t>
  </si>
  <si>
    <t>Kết Quả Dự Đoán</t>
  </si>
  <si>
    <t>TỔNG KẾT 2026</t>
  </si>
  <si>
    <t>Tổng: 222 Ngày</t>
  </si>
  <si>
    <t>Trúng K1: 98 Ngày (44.14%)</t>
  </si>
  <si>
    <t>Trúng K2: 157 Ngày (71.36%)</t>
  </si>
  <si>
    <t>Trúng K3: 192 Ngày (87.27%)</t>
  </si>
  <si>
    <t>Dàn 40 Con Số Từ G7 Top 1-3 Ngày Trước</t>
  </si>
  <si>
    <t>7</t>
  </si>
  <si>
    <t>8</t>
  </si>
  <si>
    <t>00, 02, 04, 05, 07, 09, 11, 13, 14, 16, 18, 19, 20, 22, 23, 25, 27, 28, 31, 32, 34, 36, 37, 39, 40, 41, 43, 45, 46, 48, 50, 52, 54, 55, 57, 59, 61, 63, 64, 66, 68, 69, 70, 72, 73, 75, 77, 78, 81, 82, 84, 86, 87, 89, 90, 91, 93, 95, 96, 98</t>
  </si>
  <si>
    <t>TRÚNG 🎯</t>
  </si>
  <si>
    <t>1</t>
  </si>
  <si>
    <t>00, 03, 05, 08, 12, 14, 17, 19, 21, 23, 26, 28, 30, 32, 35, 37, 41, 44, 46, 49, 50, 53, 55, 58, 62, 64, 67, 69, 71, 73, 76, 78, 80, 82, 85, 87, 91, 94, 96, 99</t>
  </si>
  <si>
    <t>TRƯỢT ❌</t>
  </si>
  <si>
    <t>4</t>
  </si>
  <si>
    <t>01, 03, 06, 08, 10, 12, 15, 17, 21, 24, 26, 29, 30, 33, 35, 38, 42, 44, 47, 49, 51, 53, 56, 58, 60, 62, 65, 67, 71, 74, 76, 79, 80, 83, 85, 88, 92, 94, 97, 99</t>
  </si>
  <si>
    <t>2</t>
  </si>
  <si>
    <t>6</t>
  </si>
  <si>
    <t>01, 04, 06, 09, 10, 13, 15, 18, 22, 24, 27, 29, 31, 33, 36, 38, 40, 42, 45, 47, 51, 54, 56, 59, 60, 63, 65, 68, 72, 74, 77, 79, 81, 83, 86, 88, 90, 92, 95, 97</t>
  </si>
  <si>
    <t>9</t>
  </si>
  <si>
    <t>02, 04, 07, 09, 11, 13, 16, 18, 20, 22, 25, 27, 31, 34, 36, 39, 40, 43, 45, 48, 52, 54, 57, 59, 61, 63, 66, 68, 70, 72, 75, 77, 81, 84, 86, 89, 90, 93, 95, 98</t>
  </si>
  <si>
    <t>5</t>
  </si>
  <si>
    <t>01, 03, 04, 06, 08, 09, 10, 12, 13, 15, 17, 18, 21, 22, 24, 26, 27, 29, 30, 31, 33, 35, 36, 38, 40, 42, 44, 45, 47, 49, 51, 53, 54, 56, 58, 59, 60, 62, 63, 65, 67, 68, 71, 72, 74, 76, 77, 79, 80, 81, 83, 85, 86, 88, 90, 92, 94, 95, 97, 99</t>
  </si>
  <si>
    <t>00, 03, 04, 05, 08, 09, 12, 13, 14, 17, 18, 19, 21, 22, 23, 26, 27, 28, 30, 31, 32, 35, 36, 37, 40, 41, 44, 45, 46, 49, 50, 53, 54, 55, 58, 59, 62, 63, 64, 67, 68, 69, 71, 72, 73, 76, 77, 78, 80, 81, 82, 85, 86, 87, 90, 91, 94, 95, 96, 99</t>
  </si>
  <si>
    <t>0</t>
  </si>
  <si>
    <t>00, 02, 03, 05, 07, 08, 11, 12, 14, 16, 17, 19, 20, 21, 23, 25, 26, 28, 30, 32, 34, 35, 37, 39, 41, 43, 44, 46, 48, 49, 50, 52, 53, 55, 57, 58, 61, 62, 64, 66, 67, 69, 70, 71, 73, 75, 76, 78, 80, 82, 84, 85, 87, 89, 91, 93, 94, 96, 98, 99</t>
  </si>
  <si>
    <t>01, 02, 03, 06, 07, 08, 10, 11, 12, 15, 16, 17, 20, 21, 24, 25, 26, 29, 30, 33, 34, 35, 38, 39, 42, 43, 44, 47, 48, 49, 51, 52, 53, 56, 57, 58, 60, 61, 62, 65, 66, 67, 70, 71, 74, 75, 76, 79, 80, 83, 84, 85, 88, 89, 92, 93, 94, 97, 98, 99</t>
  </si>
  <si>
    <t>3</t>
  </si>
  <si>
    <t>00, 01, 04, 05, 06, 09, 10, 13, 14, 15, 18, 19, 22, 23, 24, 27, 28, 29, 31, 32, 33, 36, 37, 38, 40, 41, 42, 45, 46, 47, 50, 51, 54, 55, 56, 59, 60, 63, 64, 65, 68, 69, 72, 73, 74, 77, 78, 79, 81, 82, 83, 86, 87, 88, 90, 91, 92, 95, 96, 97</t>
  </si>
  <si>
    <t>02, 07, 11, 16, 20, 25, 34, 39, 43, 48, 52, 57, 61, 66, 70, 75, 84, 89, 93, 98</t>
  </si>
  <si>
    <t>00, 01, 05, 06, 10, 14, 15, 19, 23, 24, 28, 29, 32, 33, 37, 38, 41, 42, 46, 47, 50, 51, 55, 56, 60, 64, 65, 69, 73, 74, 78, 79, 82, 83, 87, 88, 91, 92, 96, 97</t>
  </si>
  <si>
    <t>00, 02, 05, 07, 11, 14, 16, 19, 20, 23, 25, 28, 32, 34, 37, 39, 41, 43, 46, 48, 50, 52, 55, 57, 61, 64, 66, 69, 70, 73, 75, 78, 82, 84, 87, 89, 91, 93, 96, 98</t>
  </si>
  <si>
    <t>02, 03, 04, 07, 08, 09, 11, 12, 13, 16, 17, 18, 20, 21, 22, 25, 26, 27, 30, 31, 34, 35, 36, 39, 40, 43, 44, 45, 48, 49, 52, 53, 54, 57, 58, 59, 61, 62, 63, 66, 67, 68, 70, 71, 72, 75, 76, 77, 80, 81, 84, 85, 86, 89, 90, 93, 94, 95, 98, 99</t>
  </si>
  <si>
    <t>00, 04, 05, 09, 13, 14, 18, 19, 22, 23, 27, 28, 31, 32, 36, 37, 40, 41, 45, 46, 50, 54, 55, 59, 63, 64, 68, 69, 72, 73, 77, 78, 81, 82, 86, 87, 90, 91, 95, 96</t>
  </si>
  <si>
    <t>02, 03, 07, 08, 11, 12, 16, 17, 20, 21, 25, 26, 30, 34, 35, 39, 43, 44, 48, 49, 52, 53, 57, 58, 61, 62, 66, 67, 70, 71, 75, 76, 80, 84, 85, 89, 93, 94, 98, 99</t>
  </si>
  <si>
    <t>00, 01, 03, 05, 06, 08, 10, 12, 14, 15, 17, 19, 21, 23, 24, 26, 28, 29, 30, 32, 33, 35, 37, 38, 41, 42, 44, 46, 47, 49, 50, 51, 53, 55, 56, 58, 60, 62, 64, 65, 67, 69, 71, 73, 74, 76, 78, 79, 80, 82, 83, 85, 87, 88, 91, 92, 94, 96, 97, 99</t>
  </si>
  <si>
    <t>01, 02, 04, 06, 07, 09, 10, 11, 13, 15, 16, 18, 20, 22, 24, 25, 27, 29, 31, 33, 34, 36, 38, 39, 40, 42, 43, 45, 47, 48, 51, 52, 54, 56, 57, 59, 60, 61, 63, 65, 66, 68, 70, 72, 74, 75, 77, 79, 81, 83, 84, 86, 88, 89, 90, 92, 93, 95, 97, 98</t>
  </si>
  <si>
    <t>03, 04, 08, 09, 12, 13, 17, 18, 21, 22, 26, 27, 30, 31, 35, 36, 40, 44, 45, 49, 53, 54, 58, 59, 62, 63, 67, 68, 71, 72, 76, 77, 80, 81, 85, 86, 90, 94, 95, 99</t>
  </si>
  <si>
    <t>03, 08, 12, 17, 21, 26, 30, 35, 44, 49, 53, 58, 62, 67, 71, 76, 80, 85, 94, 99</t>
  </si>
  <si>
    <t>01, 02, 06, 07, 10, 11, 15, 16, 20, 24, 25, 29, 33, 34, 38, 39, 42, 43, 47, 48, 51, 52, 56, 57, 60, 61, 65, 66, 70, 74, 75, 79, 83, 84, 88, 89, 92, 93, 97, 98</t>
  </si>
  <si>
    <t>00, 01, 02, 05, 06, 07, 10, 11, 14, 15, 16, 19, 20, 23, 24, 25, 28, 29, 32, 33, 34, 37, 38, 39, 41, 42, 43, 46, 47, 48, 50, 51, 52, 55, 56, 57, 60, 61, 64, 65, 66, 69, 70, 73, 74, 75, 78, 79, 82, 83, 84, 87, 88, 89, 91, 92, 93, 96, 97, 98</t>
  </si>
  <si>
    <t>04, 09, 13, 18, 22, 27, 31, 36, 40, 45, 54, 59, 63, 68, 72, 77, 81, 86, 90, 95</t>
  </si>
  <si>
    <t>00, 05, 14, 19, 23, 28, 32, 37, 41, 46, 50, 55, 64, 69, 73, 78, 82, 87, 91, 96</t>
  </si>
  <si>
    <t>01, 06, 10, 15, 24, 29, 33, 38, 42, 47, 51, 56, 60, 65, 74, 79, 83, 88, 92, 97</t>
  </si>
  <si>
    <t>Hạng Mục Báo Cáo</t>
  </si>
  <si>
    <t>Chi Tiết Kế Thừa &amp; Dự Đoán</t>
  </si>
  <si>
    <t>--- DỰ ĐOÁN ĐẦU / ĐUÔI VÀ DÀN SỐ CHO NGÀY TỚI ---</t>
  </si>
  <si>
    <t>Top 3 Đầu Tiềm Năng</t>
  </si>
  <si>
    <t>Đầu 5, Đầu 4, Đầu 9</t>
  </si>
  <si>
    <t>Top 3 Đuôi Tiềm Năng</t>
  </si>
  <si>
    <t>Đuôi 7, Đuôi 8, Đuôi 9</t>
  </si>
  <si>
    <t>Dàn 20 Con Số Dự Đoán Đồng Thuận Super-Score</t>
  </si>
  <si>
    <t>57, 83, 79, 16, 47, 60, 38, 10, 34, 25, 39, 70, 65, 89, 51, 42, 84, 01, 52, 97</t>
  </si>
  <si>
    <t>--- TẦN SUẤT ĐẦU NĂM 2026 ---</t>
  </si>
  <si>
    <t>Đầu 5</t>
  </si>
  <si>
    <t>28 lần</t>
  </si>
  <si>
    <t>Đầu 6</t>
  </si>
  <si>
    <t>25 lần</t>
  </si>
  <si>
    <t>Đầu 8</t>
  </si>
  <si>
    <t>Đầu 2</t>
  </si>
  <si>
    <t>Đầu 3</t>
  </si>
  <si>
    <t>Đầu 4</t>
  </si>
  <si>
    <t>22 lần</t>
  </si>
  <si>
    <t>Đầu 9</t>
  </si>
  <si>
    <t>20 lần</t>
  </si>
  <si>
    <t>Đầu 1</t>
  </si>
  <si>
    <t>19 lần</t>
  </si>
  <si>
    <t>Đầu 0</t>
  </si>
  <si>
    <t>17 lần</t>
  </si>
  <si>
    <t>Đầu 7</t>
  </si>
  <si>
    <t>--- TẦN SUẤT ĐUÔI NĂM 2026 ---</t>
  </si>
  <si>
    <t>Đuôi 4</t>
  </si>
  <si>
    <t>30 lần</t>
  </si>
  <si>
    <t>Đuôi 8</t>
  </si>
  <si>
    <t>Đuôi 7</t>
  </si>
  <si>
    <t>26 lần</t>
  </si>
  <si>
    <t>Đuôi 3</t>
  </si>
  <si>
    <t>Đuôi 9</t>
  </si>
  <si>
    <t>Đuôi 1</t>
  </si>
  <si>
    <t>21 lần</t>
  </si>
  <si>
    <t>Đuôi 5</t>
  </si>
  <si>
    <t>Đuôi 2</t>
  </si>
  <si>
    <t>Đuôi 0</t>
  </si>
  <si>
    <t>Đuôi 6</t>
  </si>
  <si>
    <t>14 lần</t>
  </si>
  <si>
    <t>Ngày Bắt Đầu Khung</t>
  </si>
  <si>
    <t>N1 (Ngày 1)</t>
  </si>
  <si>
    <t>N2 (Ngày 2)</t>
  </si>
  <si>
    <t>N3 (Ngày 3)</t>
  </si>
  <si>
    <t>Kết Quả Khung 3 Ngày</t>
  </si>
  <si>
    <t>Dàn Số Dự Đoán Khung</t>
  </si>
  <si>
    <t>TỔNG KẾT KHUNG 3 NGÀY</t>
  </si>
  <si>
    <t>Tổng Khung: 220 Khung</t>
  </si>
  <si>
    <t>Trúng N1: 97 Khung</t>
  </si>
  <si>
    <t>Trúng N2: 60 Khung</t>
  </si>
  <si>
    <t>Trúng N3: 35 Khung</t>
  </si>
  <si>
    <t>TỔNG TRÚNG: 192 Khung (87.27%)</t>
  </si>
  <si>
    <t>Trượt Khung: 28 Khung (12.73%)</t>
  </si>
  <si>
    <t>44 (Trúng N1)</t>
  </si>
  <si>
    <t>18 (Trượt)</t>
  </si>
  <si>
    <t>78 (Trượt)</t>
  </si>
  <si>
    <t>TRÚNG N1 🎯</t>
  </si>
  <si>
    <t>26 (Trượt)</t>
  </si>
  <si>
    <t>44 (Trượt)</t>
  </si>
  <si>
    <t>18 (Trúng N3)</t>
  </si>
  <si>
    <t>TRÚNG N3 🎯</t>
  </si>
  <si>
    <t>91 (Trượt)</t>
  </si>
  <si>
    <t>TRƯỢT KHUNG ❌</t>
  </si>
  <si>
    <t>57 (Trượt)</t>
  </si>
  <si>
    <t>26 (Trúng N3)</t>
  </si>
  <si>
    <t>21 (Trúng N1)</t>
  </si>
  <si>
    <t>91 (Trúng N3)</t>
  </si>
  <si>
    <t>22 (Trúng N1)</t>
  </si>
  <si>
    <t>21 (Trúng N2)</t>
  </si>
  <si>
    <t>79 (Trượt)</t>
  </si>
  <si>
    <t>22 (Trúng N2)</t>
  </si>
  <si>
    <t>21 (Trúng N3)</t>
  </si>
  <si>
    <t>TRÚNG N2 🎯</t>
  </si>
  <si>
    <t>67 (Trượt)</t>
  </si>
  <si>
    <t>22 (Trúng N3)</t>
  </si>
  <si>
    <t>60 (Trượt)</t>
  </si>
  <si>
    <t>67 (Trúng N2)</t>
  </si>
  <si>
    <t>25 (Trượt)</t>
  </si>
  <si>
    <t>60 (Trúng N2)</t>
  </si>
  <si>
    <t>47 (Trượt)</t>
  </si>
  <si>
    <t>25 (Trúng N2)</t>
  </si>
  <si>
    <t>09 (Trượt)</t>
  </si>
  <si>
    <t>47 (Trúng N2)</t>
  </si>
  <si>
    <t>25 (Trúng N3)</t>
  </si>
  <si>
    <t>23 (Trượt)</t>
  </si>
  <si>
    <t>09 (Trúng N2)</t>
  </si>
  <si>
    <t>47 (Trúng N3)</t>
  </si>
  <si>
    <t>10 (Trúng N1)</t>
  </si>
  <si>
    <t>23 (Trúng N2)</t>
  </si>
  <si>
    <t>09 (Trúng N3)</t>
  </si>
  <si>
    <t>34 (Trúng N1)</t>
  </si>
  <si>
    <t>10 (Trượt)</t>
  </si>
  <si>
    <t>83 (Trúng N1)</t>
  </si>
  <si>
    <t>34 (Trượt)</t>
  </si>
  <si>
    <t>10 (Trúng N3)</t>
  </si>
  <si>
    <t>00 (Trúng N1)</t>
  </si>
  <si>
    <t>83 (Trúng N2)</t>
  </si>
  <si>
    <t>96 (Trúng N1)</t>
  </si>
  <si>
    <t>00 (Trúng N2)</t>
  </si>
  <si>
    <t>83 (Trượt)</t>
  </si>
  <si>
    <t>16 (Trúng N1)</t>
  </si>
  <si>
    <t>96 (Trúng N2)</t>
  </si>
  <si>
    <t>00 (Trúng N3)</t>
  </si>
  <si>
    <t>28 (Trượt)</t>
  </si>
  <si>
    <t>16 (Trượt)</t>
  </si>
  <si>
    <t>96 (Trượt)</t>
  </si>
  <si>
    <t>38 (Trượt)</t>
  </si>
  <si>
    <t>16 (Trúng N3)</t>
  </si>
  <si>
    <t>54 (Trúng N1)</t>
  </si>
  <si>
    <t>28 (Trúng N3)</t>
  </si>
  <si>
    <t>54 (Trượt)</t>
  </si>
  <si>
    <t>38 (Trúng N3)</t>
  </si>
  <si>
    <t>70 (Trúng N1)</t>
  </si>
  <si>
    <t>70 (Trúng N2)</t>
  </si>
  <si>
    <t>54 (Trúng N3)</t>
  </si>
  <si>
    <t>28 (Trúng N2)</t>
  </si>
  <si>
    <t>70 (Trượt)</t>
  </si>
  <si>
    <t>90 (Trúng N1)</t>
  </si>
  <si>
    <t>38 (Trúng N2)</t>
  </si>
  <si>
    <t>39 (Trúng N1)</t>
  </si>
  <si>
    <t>90 (Trượt)</t>
  </si>
  <si>
    <t>63 (Trúng N1)</t>
  </si>
  <si>
    <t>39 (Trượt)</t>
  </si>
  <si>
    <t>90 (Trúng N3)</t>
  </si>
  <si>
    <t>19 (Trúng N1)</t>
  </si>
  <si>
    <t>63 (Trúng N2)</t>
  </si>
  <si>
    <t>39 (Trúng N3)</t>
  </si>
  <si>
    <t>47 (Trúng N1)</t>
  </si>
  <si>
    <t>19 (Trúng N2)</t>
  </si>
  <si>
    <t>63 (Trượt)</t>
  </si>
  <si>
    <t>99 (Trượt)</t>
  </si>
  <si>
    <t>19 (Trúng N3)</t>
  </si>
  <si>
    <t>94 (Trúng N1)</t>
  </si>
  <si>
    <t>99 (Trúng N2)</t>
  </si>
  <si>
    <t>01 (Trượt)</t>
  </si>
  <si>
    <t>94 (Trượt)</t>
  </si>
  <si>
    <t>85 (Trượt)</t>
  </si>
  <si>
    <t>01 (Trúng N3)</t>
  </si>
  <si>
    <t>89 (Trượt)</t>
  </si>
  <si>
    <t>85 (Trúng N2)</t>
  </si>
  <si>
    <t>67 (Trúng N3)</t>
  </si>
  <si>
    <t>89 (Trúng N2)</t>
  </si>
  <si>
    <t>85 (Trúng N3)</t>
  </si>
  <si>
    <t>97 (Trượt)</t>
  </si>
  <si>
    <t>71 (Trượt)</t>
  </si>
  <si>
    <t>87 (Trượt)</t>
  </si>
  <si>
    <t>97 (Trúng N3)</t>
  </si>
  <si>
    <t>65 (Trúng N1)</t>
  </si>
  <si>
    <t>87 (Trúng N2)</t>
  </si>
  <si>
    <t>65 (Trượt)</t>
  </si>
  <si>
    <t>87 (Trúng N3)</t>
  </si>
  <si>
    <t>65 (Trúng N3)</t>
  </si>
  <si>
    <t>68 (Trượt)</t>
  </si>
  <si>
    <t>42 (Trượt)</t>
  </si>
  <si>
    <t>52 (Trúng N1)</t>
  </si>
  <si>
    <t>68 (Trúng N3)</t>
  </si>
  <si>
    <t>53 (Trượt)</t>
  </si>
  <si>
    <t>52 (Trúng N2)</t>
  </si>
  <si>
    <t>04 (Trúng N1)</t>
  </si>
  <si>
    <t>53 (Trúng N2)</t>
  </si>
  <si>
    <t>52 (Trượt)</t>
  </si>
  <si>
    <t>04 (Trúng N2)</t>
  </si>
  <si>
    <t>51 (Trúng N1)</t>
  </si>
  <si>
    <t>16 (Trúng N2)</t>
  </si>
  <si>
    <t>04 (Trượt)</t>
  </si>
  <si>
    <t>37 (Trúng N1)</t>
  </si>
  <si>
    <t>51 (Trúng N2)</t>
  </si>
  <si>
    <t>36 (Trượt)</t>
  </si>
  <si>
    <t>37 (Trượt)</t>
  </si>
  <si>
    <t>51 (Trúng N3)</t>
  </si>
  <si>
    <t>37 (Trúng N3)</t>
  </si>
  <si>
    <t>55 (Trúng N1)</t>
  </si>
  <si>
    <t>83 (Trúng N3)</t>
  </si>
  <si>
    <t>32 (Trượt)</t>
  </si>
  <si>
    <t>55 (Trượt)</t>
  </si>
  <si>
    <t>03 (Trượt)</t>
  </si>
  <si>
    <t>32 (Trúng N2)</t>
  </si>
  <si>
    <t>55 (Trúng N3)</t>
  </si>
  <si>
    <t>84 (Trượt)</t>
  </si>
  <si>
    <t>03 (Trúng N2)</t>
  </si>
  <si>
    <t>80 (Trúng N1)</t>
  </si>
  <si>
    <t>84 (Trúng N2)</t>
  </si>
  <si>
    <t>03 (Trúng N3)</t>
  </si>
  <si>
    <t>00 (Trượt)</t>
  </si>
  <si>
    <t>80 (Trúng N2)</t>
  </si>
  <si>
    <t>84 (Trúng N3)</t>
  </si>
  <si>
    <t>14 (Trượt)</t>
  </si>
  <si>
    <t>80 (Trúng N3)</t>
  </si>
  <si>
    <t>89 (Trúng N1)</t>
  </si>
  <si>
    <t>14 (Trúng N3)</t>
  </si>
  <si>
    <t>08 (Trượt)</t>
  </si>
  <si>
    <t>51 (Trượt)</t>
  </si>
  <si>
    <t>08 (Trúng N2)</t>
  </si>
  <si>
    <t>05 (Trúng N1)</t>
  </si>
  <si>
    <t>93 (Trượt)</t>
  </si>
  <si>
    <t>05 (Trúng N2)</t>
  </si>
  <si>
    <t>93 (Trúng N2)</t>
  </si>
  <si>
    <t>05 (Trượt)</t>
  </si>
  <si>
    <t>65 (Trúng N2)</t>
  </si>
  <si>
    <t>93 (Trúng N3)</t>
  </si>
  <si>
    <t>36 (Trúng N1)</t>
  </si>
  <si>
    <t>78 (Trúng N3)</t>
  </si>
  <si>
    <t>36 (Trúng N3)</t>
  </si>
  <si>
    <t>42 (Trúng N1)</t>
  </si>
  <si>
    <t>23 (Trúng N3)</t>
  </si>
  <si>
    <t>43 (Trúng N1)</t>
  </si>
  <si>
    <t>53 (Trúng N3)</t>
  </si>
  <si>
    <t>43 (Trúng N2)</t>
  </si>
  <si>
    <t>42 (Trúng N3)</t>
  </si>
  <si>
    <t>50 (Trượt)</t>
  </si>
  <si>
    <t>54 (Trúng N2)</t>
  </si>
  <si>
    <t>43 (Trúng N3)</t>
  </si>
  <si>
    <t>13 (Trượt)</t>
  </si>
  <si>
    <t>50 (Trúng N2)</t>
  </si>
  <si>
    <t>11 (Trúng N1)</t>
  </si>
  <si>
    <t>13 (Trúng N2)</t>
  </si>
  <si>
    <t>81 (Trượt)</t>
  </si>
  <si>
    <t>11 (Trượt)</t>
  </si>
  <si>
    <t>81 (Trúng N2)</t>
  </si>
  <si>
    <t>11 (Trúng N3)</t>
  </si>
  <si>
    <t>21 (Trượt)</t>
  </si>
  <si>
    <t>04 (Trúng N3)</t>
  </si>
  <si>
    <t>85 (Trúng N1)</t>
  </si>
  <si>
    <t>39 (Trúng N2)</t>
  </si>
  <si>
    <t>68 (Trúng N1)</t>
  </si>
  <si>
    <t>61 (Trượt)</t>
  </si>
  <si>
    <t>84 (Trúng N1)</t>
  </si>
  <si>
    <t>61 (Trúng N2)</t>
  </si>
  <si>
    <t>69 (Trượt)</t>
  </si>
  <si>
    <t>94 (Trúng N2)</t>
  </si>
  <si>
    <t>69 (Trúng N2)</t>
  </si>
  <si>
    <t>33 (Trượt)</t>
  </si>
  <si>
    <t>17 (Trúng N1)</t>
  </si>
  <si>
    <t>33 (Trúng N2)</t>
  </si>
  <si>
    <t>23 (Trúng N1)</t>
  </si>
  <si>
    <t>17 (Trượt)</t>
  </si>
  <si>
    <t>92 (Trúng N1)</t>
  </si>
  <si>
    <t>17 (Trúng N3)</t>
  </si>
  <si>
    <t>92 (Trúng N2)</t>
  </si>
  <si>
    <t>40 (Trúng N1)</t>
  </si>
  <si>
    <t>92 (Trúng N3)</t>
  </si>
  <si>
    <t>41 (Trúng N1)</t>
  </si>
  <si>
    <t>40 (Trúng N2)</t>
  </si>
  <si>
    <t>12 (Trượt)</t>
  </si>
  <si>
    <t>41 (Trúng N2)</t>
  </si>
  <si>
    <t>40 (Trúng N3)</t>
  </si>
  <si>
    <t>41 (Trượt)</t>
  </si>
  <si>
    <t>64 (Trúng N1)</t>
  </si>
  <si>
    <t>12 (Trúng N3)</t>
  </si>
  <si>
    <t>64 (Trượt)</t>
  </si>
  <si>
    <t>64 (Trúng N3)</t>
  </si>
  <si>
    <t>75 (Trượt)</t>
  </si>
  <si>
    <t>37 (Trúng N2)</t>
  </si>
  <si>
    <t>32 (Trúng N3)</t>
  </si>
  <si>
    <t>69 (Trúng N1)</t>
  </si>
  <si>
    <t>75 (Trúng N3)</t>
  </si>
  <si>
    <t>59 (Trúng N1)</t>
  </si>
  <si>
    <t>69 (Trúng N3)</t>
  </si>
  <si>
    <t>59 (Trúng N2)</t>
  </si>
  <si>
    <t>59 (Trượt)</t>
  </si>
  <si>
    <t>76 (Trúng N1)</t>
  </si>
  <si>
    <t>17 (Trúng N2)</t>
  </si>
  <si>
    <t>76 (Trượt)</t>
  </si>
  <si>
    <t>48 (Trượt)</t>
  </si>
  <si>
    <t>48 (Trúng N2)</t>
  </si>
  <si>
    <t>76 (Trúng N2)</t>
  </si>
  <si>
    <t>97 (Trúng N2)</t>
  </si>
  <si>
    <t>43 (Trượt)</t>
  </si>
  <si>
    <t>35 (Trượt)</t>
  </si>
  <si>
    <t>35 (Trúng N2)</t>
  </si>
  <si>
    <t>14 (Trúng N2)</t>
  </si>
  <si>
    <t>20 (Trượt)</t>
  </si>
  <si>
    <t>82 (Trúng N1)</t>
  </si>
  <si>
    <t>06 (Trượt)</t>
  </si>
  <si>
    <t>82 (Trúng N2)</t>
  </si>
  <si>
    <t>50 (Trúng N3)</t>
  </si>
  <si>
    <t>82 (Trượt)</t>
  </si>
  <si>
    <t>06 (Trúng N3)</t>
  </si>
  <si>
    <t>66 (Trúng N1)</t>
  </si>
  <si>
    <t>66 (Trúng N2)</t>
  </si>
  <si>
    <t>66 (Trượt)</t>
  </si>
  <si>
    <t>88 (Trượt)</t>
  </si>
  <si>
    <t>88 (Trúng N2)</t>
  </si>
  <si>
    <t>32 (Trúng N1)</t>
  </si>
  <si>
    <t>22 (Trượt)</t>
  </si>
  <si>
    <t>88 (Trúng N1)</t>
  </si>
  <si>
    <t>29 (Trúng N1)</t>
  </si>
  <si>
    <t>29 (Trúng N2)</t>
  </si>
  <si>
    <t>88 (Trúng N3)</t>
  </si>
  <si>
    <t>46 (Trượt)</t>
  </si>
  <si>
    <t>29 (Trúng N3)</t>
  </si>
  <si>
    <t>24 (Trúng N1)</t>
  </si>
  <si>
    <t>95 (Trượt)</t>
  </si>
  <si>
    <t>24 (Trượt)</t>
  </si>
  <si>
    <t>94 (Trúng N3)</t>
  </si>
  <si>
    <t>95 (Trúng N2)</t>
  </si>
  <si>
    <t>59 (Trúng N3)</t>
  </si>
  <si>
    <t>24 (Trúng N3)</t>
  </si>
  <si>
    <t>80 (Trượt)</t>
  </si>
  <si>
    <t>42 (Trúng N2)</t>
  </si>
  <si>
    <t>49 (Trúng N1)</t>
  </si>
  <si>
    <t>49 (Trúng N2)</t>
  </si>
  <si>
    <t>19 (Trượt)</t>
  </si>
  <si>
    <t>49 (Trúng N3)</t>
  </si>
  <si>
    <t>78 (Trúng N2)</t>
  </si>
  <si>
    <t>57 (Trúng N3)</t>
  </si>
  <si>
    <t>91 (Trúng N2)</t>
  </si>
  <si>
    <t>08 (Trúng N1)</t>
  </si>
  <si>
    <t>55 (Trúng N2)</t>
  </si>
  <si>
    <t>13 (Trúng N1)</t>
  </si>
  <si>
    <t>01 (Trúng N1)</t>
  </si>
  <si>
    <t>13 (Trúng N3)</t>
  </si>
  <si>
    <t>30 (Trượt)</t>
  </si>
  <si>
    <t>01 (Trúng N2)</t>
  </si>
  <si>
    <t>81 (Trúng N3)</t>
  </si>
  <si>
    <t>77 (Trúng N1)</t>
  </si>
  <si>
    <t>75 (Trúng N1)</t>
  </si>
  <si>
    <t>77 (Trượt)</t>
  </si>
  <si>
    <t>92 (Trượt)</t>
  </si>
  <si>
    <t>77 (Trúng N3)</t>
  </si>
  <si>
    <t>90 (Trúng N2)</t>
  </si>
  <si>
    <t>77 (Trúng N2)</t>
  </si>
  <si>
    <t>33 (Trúng N1)</t>
  </si>
  <si>
    <t>48 (Trúng N1)</t>
  </si>
  <si>
    <t>45 (Trúng N1)</t>
  </si>
  <si>
    <t>45 (Trượt)</t>
  </si>
  <si>
    <t>45 (Trúng N3)</t>
  </si>
  <si>
    <t>74 (Trúng N1)</t>
  </si>
  <si>
    <t>74 (Trúng N2)</t>
  </si>
  <si>
    <t>62 (Trượt)</t>
  </si>
  <si>
    <t>74 (Trượt)</t>
  </si>
  <si>
    <t>62 (Trúng N2)</t>
  </si>
  <si>
    <t>30 (Trúng N3)</t>
  </si>
  <si>
    <t>62 (Trúng N3)</t>
  </si>
  <si>
    <t>86 (Trúng N1)</t>
  </si>
  <si>
    <t>78 (Trúng N1)</t>
  </si>
  <si>
    <t>86 (Trượt)</t>
  </si>
  <si>
    <t>86 (Trúng N2)</t>
  </si>
  <si>
    <t>28 (Trúng N1)</t>
  </si>
  <si>
    <t>27 (Trúng N1)</t>
  </si>
  <si>
    <t>27 (Trúng N2)</t>
  </si>
  <si>
    <t>27 (Trúng N3)</t>
  </si>
  <si>
    <t>93 (Trúng N1)</t>
  </si>
  <si>
    <t>89 (Trúng N3)</t>
  </si>
  <si>
    <t>97 (Trúng N1)</t>
  </si>
  <si>
    <t>49 (Trượt)</t>
  </si>
  <si>
    <t>Loại Số</t>
  </si>
  <si>
    <t>Số Dự Đoán</t>
  </si>
  <si>
    <t>Càng Đầu</t>
  </si>
  <si>
    <t>Gốc 2D / 3D</t>
  </si>
  <si>
    <t>Điểm Đồng Thuận</t>
  </si>
  <si>
    <t>Phân Loại</t>
  </si>
  <si>
    <t>Khuyến Nghị</t>
  </si>
  <si>
    <t>🥇 TOP 20 BA CÀNG (3D) MẠNH NHẤT</t>
  </si>
  <si>
    <t>Ba Càng 3D</t>
  </si>
  <si>
    <t>MẠNH NHẤT</t>
  </si>
  <si>
    <t>Bắt nhịp hỏa lực 3D Top 20</t>
  </si>
  <si>
    <t>Ba Càng (3D)</t>
  </si>
  <si>
    <t>057</t>
  </si>
  <si>
    <t>Càng 0</t>
  </si>
  <si>
    <t>Đề 57</t>
  </si>
  <si>
    <t>MẠNH</t>
  </si>
  <si>
    <t>Ưu tiên dàn chính hỏa lực</t>
  </si>
  <si>
    <t>157</t>
  </si>
  <si>
    <t>Càng 1</t>
  </si>
  <si>
    <t>257</t>
  </si>
  <si>
    <t>Càng 2</t>
  </si>
  <si>
    <t>357</t>
  </si>
  <si>
    <t>Càng 3</t>
  </si>
  <si>
    <t>Khung lót bổ trợ</t>
  </si>
  <si>
    <t>457</t>
  </si>
  <si>
    <t>Càng 4</t>
  </si>
  <si>
    <t>083</t>
  </si>
  <si>
    <t>Đề 83</t>
  </si>
  <si>
    <t>TRUNG BÌNH</t>
  </si>
  <si>
    <t>183</t>
  </si>
  <si>
    <t>283</t>
  </si>
  <si>
    <t>383</t>
  </si>
  <si>
    <t>483</t>
  </si>
  <si>
    <t>079</t>
  </si>
  <si>
    <t>Đề 79</t>
  </si>
  <si>
    <t>DÀN LÓT</t>
  </si>
  <si>
    <t>016</t>
  </si>
  <si>
    <t>Đề 16</t>
  </si>
  <si>
    <t>047</t>
  </si>
  <si>
    <t>Đề 47</t>
  </si>
  <si>
    <t>060</t>
  </si>
  <si>
    <t>Đề 60</t>
  </si>
  <si>
    <t>179</t>
  </si>
  <si>
    <t>116</t>
  </si>
  <si>
    <t>147</t>
  </si>
  <si>
    <t>160</t>
  </si>
  <si>
    <t>279</t>
  </si>
  <si>
    <t>216</t>
  </si>
  <si>
    <t>⚡ TOP 20 BỐN CÀNG (4D) MẠNH NHẤT</t>
  </si>
  <si>
    <t>Bốn Càng 4D</t>
  </si>
  <si>
    <t>Bắt nhịp hỏa lực 4D Top 20</t>
  </si>
  <si>
    <t>Bốn Càng (4D)</t>
  </si>
  <si>
    <t>0057</t>
  </si>
  <si>
    <t>Ba Càng 057</t>
  </si>
  <si>
    <t>0157</t>
  </si>
  <si>
    <t>Ba Càng 157</t>
  </si>
  <si>
    <t>0257</t>
  </si>
  <si>
    <t>Ba Càng 257</t>
  </si>
  <si>
    <t>0357</t>
  </si>
  <si>
    <t>Ba Càng 357</t>
  </si>
  <si>
    <t>0457</t>
  </si>
  <si>
    <t>Ba Càng 457</t>
  </si>
  <si>
    <t>1057</t>
  </si>
  <si>
    <t>1157</t>
  </si>
  <si>
    <t>1257</t>
  </si>
  <si>
    <t>1357</t>
  </si>
  <si>
    <t>1457</t>
  </si>
  <si>
    <t>2057</t>
  </si>
  <si>
    <t>2157</t>
  </si>
  <si>
    <t>2257</t>
  </si>
  <si>
    <t>2357</t>
  </si>
  <si>
    <t>2457</t>
  </si>
  <si>
    <t>3057</t>
  </si>
  <si>
    <t>3157</t>
  </si>
  <si>
    <t>3257</t>
  </si>
  <si>
    <t>3357</t>
  </si>
  <si>
    <t>3457</t>
  </si>
  <si>
    <t>Thực Tế 3D (3 Càng)</t>
  </si>
  <si>
    <t>Thực Tế 4D (4 Càng)</t>
  </si>
  <si>
    <t>Dàn Top 20 3D Dự Đoán</t>
  </si>
  <si>
    <t>Kết Quả 3D Top 20</t>
  </si>
  <si>
    <t>Kết Quả 3D Matrix (200 số)</t>
  </si>
  <si>
    <t>Dàn Top 20 4D Dự Đoán</t>
  </si>
  <si>
    <t>Kết Quả 4D Top 20</t>
  </si>
  <si>
    <t>278</t>
  </si>
  <si>
    <t>0278</t>
  </si>
  <si>
    <t>091, 057, 028, 054, 018, 016, 023, 000, 009, 022, 191, 157, 128, 154, 118, 116, 123, 100, 109, 122</t>
  </si>
  <si>
    <t>9091, 9057, 9028, 9054, 9018, 9016, 9023, 9000, 9009, 9022, 2091, 2057, 2028, 2054, 2018, 2016, 2023, 2000, 2009, 2022</t>
  </si>
  <si>
    <t>018</t>
  </si>
  <si>
    <t>0018</t>
  </si>
  <si>
    <t>167, 121, 128, 191, 126, 144, 123, 196, 119, 185, 267, 221, 228, 291, 226, 244, 223, 296, 219, 285</t>
  </si>
  <si>
    <t>6167, 6121, 6128, 6191, 6126, 6144, 6123, 6196, 6119, 6185, 9167, 9121, 9128, 9191, 9126, 9144, 9123, 9196, 9119, 9185</t>
  </si>
  <si>
    <t>344</t>
  </si>
  <si>
    <t>9344</t>
  </si>
  <si>
    <t>179, 160, 167, 121, 147, 126, 110, 138, 183, 165, 279, 260, 267, 221, 247, 226, 210, 238, 283, 265</t>
  </si>
  <si>
    <t>9179, 9160, 9167, 9121, 9147, 9126, 9110, 9138, 9183, 9165, 6179, 6160, 6167, 6121, 6147, 6126, 6110, 6138, 6183, 6165</t>
  </si>
  <si>
    <t>326</t>
  </si>
  <si>
    <t>2326</t>
  </si>
  <si>
    <t>179, 160, 154, 122, 147, 109, 110, 138, 183, 190, 279, 260, 254, 222, 247, 209, 210, 238, 283, 290</t>
  </si>
  <si>
    <t>9179, 9160, 9154, 9122, 9147, 9109, 9110, 9138, 9183, 9190, 6179, 6160, 6154, 6122, 6147, 6109, 6110, 6138, 6183, 6190</t>
  </si>
  <si>
    <t>191</t>
  </si>
  <si>
    <t>2191</t>
  </si>
  <si>
    <t>154, 125, 122, 157, 116, 109, 134, 170, 139, 163, 254, 225, 222, 257, 216, 209, 234, 270, 239, 263</t>
  </si>
  <si>
    <t>9154, 9125, 9122, 9157, 9116, 9109, 9134, 9170, 9139, 9163, 6154, 6125, 6122, 6157, 6116, 6109, 6134, 6170, 6139, 6163</t>
  </si>
  <si>
    <t>957</t>
  </si>
  <si>
    <t>2957</t>
  </si>
  <si>
    <t>147, 160, 167, 154, 179, 109, 122, 121, 110, 138, 247, 260, 267, 254, 279, 209, 222, 221, 210, 238</t>
  </si>
  <si>
    <t>9147, 9160, 9167, 9154, 9179, 9109, 9122, 9121, 9110, 9138, 6147, 6160, 6167, 6154, 6179, 6109, 6122, 6121, 6110, 6138</t>
  </si>
  <si>
    <t>221</t>
  </si>
  <si>
    <t>2221</t>
  </si>
  <si>
    <t>167, 154, 123, 109, 128, 122, 100, 196, 194, 199, 267, 254, 223, 209, 228, 222, 200, 296, 294, 299</t>
  </si>
  <si>
    <t>9167, 9154, 9123, 9109, 9128, 9122, 9100, 9196, 9194, 9199, 6167, 6154, 6123, 6109, 6128, 6122, 6100, 6196, 6194, 6199</t>
  </si>
  <si>
    <t>922</t>
  </si>
  <si>
    <t>4922</t>
  </si>
  <si>
    <t>147, 167, 154, 109, 110, 160, 138, 179, 183, 190, 247, 267, 254, 209, 210, 260, 238, 279, 283, 290</t>
  </si>
  <si>
    <t>9147, 9167, 9154, 9109, 9110, 9160, 9138, 9179, 9183, 9190, 6147, 6167, 6154, 6109, 6110, 6160, 6138, 6179, 6183, 6190</t>
  </si>
  <si>
    <t>479</t>
  </si>
  <si>
    <t>6479</t>
  </si>
  <si>
    <t>054, 023, 067, 009, 028, 000, 090, 096, 085, 094, 154, 123, 167, 109, 128, 100, 190, 196, 185, 194</t>
  </si>
  <si>
    <t>9054, 9023, 9067, 9009, 9028, 9000, 9090, 9096, 9085, 9094, 6054, 6023, 6067, 6009, 6028, 6000, 6090, 6096, 6085, 6094</t>
  </si>
  <si>
    <t>167</t>
  </si>
  <si>
    <t>6167</t>
  </si>
  <si>
    <t>054, 009, 034, 025, 039, 016, 090, 070, 063, 089, 154, 109, 134, 125, 139, 116, 190, 170, 163, 189</t>
  </si>
  <si>
    <t>9054, 9009, 9034, 9025, 9039, 9016, 9090, 9070, 9063, 9089, 2054, 2009, 2034, 2025, 2039, 2016, 2090, 2070, 2063, 2089</t>
  </si>
  <si>
    <t>760</t>
  </si>
  <si>
    <t>9760</t>
  </si>
  <si>
    <t>023, 034, 028, 025, 039, 000, 096, 070, 019, 089, 123, 134, 128, 125, 139, 100, 196, 170, 119, 189</t>
  </si>
  <si>
    <t>9023, 9034, 9028, 9025, 9039, 9000, 9096, 9070, 9019, 9089, 2023, 2034, 2028, 2025, 2039, 2000, 2096, 2070, 2019, 2089</t>
  </si>
  <si>
    <t>125</t>
  </si>
  <si>
    <t>1125</t>
  </si>
  <si>
    <t>083, 047, 054, 010, 038, 009, 063, 090, 079, 001, 183, 147, 154, 110, 138, 109, 163, 190, 179, 101</t>
  </si>
  <si>
    <t>9083, 9047, 9054, 9010, 9038, 9009, 9063, 9090, 9079, 9001, 6083, 6047, 6054, 6010, 6038, 6009, 6063, 6090, 6079, 6001</t>
  </si>
  <si>
    <t>9247</t>
  </si>
  <si>
    <t>016, 000, 096, 034, 023, 028, 039, 099, 070, 019, 116, 100, 196, 134, 123, 128, 139, 199, 170, 119</t>
  </si>
  <si>
    <t>9016, 9000, 9096, 9034, 9023, 9028, 9039, 9099, 9070, 9019, 4016, 4000, 4096, 4034, 4023, 4028, 4039, 4099, 4070, 4019</t>
  </si>
  <si>
    <t>909</t>
  </si>
  <si>
    <t>1909</t>
  </si>
  <si>
    <t>083, 016, 038, 010, 034, 039, 047, 094, 099, 070, 183, 116, 138, 110, 134, 139, 147, 194, 199, 170</t>
  </si>
  <si>
    <t>9083, 9016, 9038, 9010, 9034, 9039, 9047, 9094, 9099, 9070, 4083, 4016, 4038, 4010, 4034, 4039, 4047, 4094, 4099, 4070</t>
  </si>
  <si>
    <t>823</t>
  </si>
  <si>
    <t>4823</t>
  </si>
  <si>
    <t>038, 083, 054, 010, 047, 090, 001, 063, 065, 051, 138, 183, 154, 110, 147, 190, 101, 163, 165, 151</t>
  </si>
  <si>
    <t>9038, 9083, 9054, 9010, 9047, 9090, 9001, 9063, 9065, 9051, 6038, 6083, 6054, 6010, 6047, 6090, 6001, 6063, 6065, 6051</t>
  </si>
  <si>
    <t>710</t>
  </si>
  <si>
    <t>1710</t>
  </si>
  <si>
    <t>054, 038, 028, 083, 000, 096, 047, 090, 001, 019, 154, 138, 128, 183, 100, 196, 147, 190, 101, 119</t>
  </si>
  <si>
    <t>9054, 9038, 9028, 9083, 9000, 9096, 9047, 9090, 9001, 9019, 6054, 6038, 6028, 6083, 6000, 6096, 6047, 6090, 6001, 6019</t>
  </si>
  <si>
    <t>834</t>
  </si>
  <si>
    <t>0834</t>
  </si>
  <si>
    <t>016, 039, 070, 089, 084, 052, 093, 011, 061, 043, 116, 139, 170, 189, 184, 152, 193, 111, 161, 143</t>
  </si>
  <si>
    <t>TRÚNG 3D MATRIX (200 SỐ) 🎯</t>
  </si>
  <si>
    <t>9016, 9039, 9070, 9089, 9084, 9052, 9093, 9011, 9061, 9043, 6016, 6039, 6070, 6089, 6084, 6052, 6093, 6011, 6061, 6043</t>
  </si>
  <si>
    <t>983</t>
  </si>
  <si>
    <t>9983</t>
  </si>
  <si>
    <t>054, 038, 047, 085, 094, 001, 099, 067, 063, 090, 154, 138, 147, 185, 194, 101, 199, 167, 163, 190</t>
  </si>
  <si>
    <t>6054, 6038, 6047, 6085, 6094, 6001, 6099, 6067, 6063, 6090, 9054, 9038, 9047, 9085, 9094, 9001, 9099, 9067, 9063, 9090</t>
  </si>
  <si>
    <t>000</t>
  </si>
  <si>
    <t>5000</t>
  </si>
  <si>
    <t>038, 028, 096, 047, 079, 001, 019, 065, 042, 083, 138, 128, 196, 147, 179, 101, 119, 165, 142, 183</t>
  </si>
  <si>
    <t>2038, 2028, 2096, 2047, 2079, 2001, 2019, 2065, 2042, 2083, 6038, 6028, 6096, 6047, 6079, 6001, 6019, 6065, 6042, 6083</t>
  </si>
  <si>
    <t>796</t>
  </si>
  <si>
    <t>4796</t>
  </si>
  <si>
    <t>128, 170, 139, 116, 189, 119, 152, 187, 132, 123, 228, 270, 239, 216, 289, 219, 252, 287, 232, 223</t>
  </si>
  <si>
    <t>9128, 9170, 9139, 9116, 9189, 9119, 9152, 9187, 9132, 9123, 2128, 2170, 2139, 2116, 2189, 2119, 2152, 2187, 2132, 2123</t>
  </si>
  <si>
    <t>916</t>
  </si>
  <si>
    <t>2916</t>
  </si>
  <si>
    <t>128, 170, 139, 189, 185, 194, 171, 199, 167, 119, 228, 270, 239, 289, 285, 294, 271, 299, 267, 219</t>
  </si>
  <si>
    <t>9128, 9170, 9139, 9189, 9185, 9194, 9171, 9199, 9167, 9119, 6128, 6170, 6139, 6189, 6185, 6194, 6171, 6199, 6167, 6119</t>
  </si>
  <si>
    <t>228</t>
  </si>
  <si>
    <t>9228</t>
  </si>
  <si>
    <t>154, 138, 190, 147, 185, 194, 179, 171, 101, 199, 254, 238, 290, 247, 285, 294, 279, 271, 201, 299</t>
  </si>
  <si>
    <t>9154, 9138, 9190, 9147, 9185, 9194, 9179, 9171, 9101, 9199, 6154, 6138, 6190, 6147, 6185, 6194, 6179, 6171, 6101, 6199</t>
  </si>
  <si>
    <t>738</t>
  </si>
  <si>
    <t>4738</t>
  </si>
  <si>
    <t>154, 139, 163, 190, 170, 189, 185, 194, 171, 199, 254, 239, 263, 290, 270, 289, 285, 294, 271, 299</t>
  </si>
  <si>
    <t>2154, 2139, 2163, 2190, 2170, 2189, 2185, 2194, 2171, 2199, 9154, 9139, 9163, 9190, 9170, 9189, 9185, 9194, 9171, 9199</t>
  </si>
  <si>
    <t>754</t>
  </si>
  <si>
    <t>8754</t>
  </si>
  <si>
    <t>154, 163, 119, 190, 128, 185, 194, 171, 199, 167, 254, 263, 219, 290, 228, 285, 294, 271, 299, 267</t>
  </si>
  <si>
    <t>2154, 2163, 2119, 2190, 2128, 2185, 2194, 2171, 2199, 2167, 9154, 9163, 9119, 9190, 9128, 9185, 9194, 9171, 9199, 9167</t>
  </si>
  <si>
    <t>154</t>
  </si>
  <si>
    <t>2154</t>
  </si>
  <si>
    <t>147, 138, 165, 185, 194, 179, 171, 101, 199, 167, 247, 238, 265, 285, 294, 279, 271, 201, 299, 267</t>
  </si>
  <si>
    <t>2147, 2138, 2165, 2185, 2194, 2179, 2171, 2101, 2199, 2167, 9147, 9138, 9165, 9185, 9194, 9179, 9171, 9101, 9199, 9167</t>
  </si>
  <si>
    <t>070</t>
  </si>
  <si>
    <t>3070</t>
  </si>
  <si>
    <t>039, 047, 099, 038, 065, 089, 085, 083, 094, 079, 139, 147, 199, 138, 165, 189, 185, 183, 194, 179</t>
  </si>
  <si>
    <t>2039, 2047, 2099, 2038, 2065, 2089, 2085, 2083, 2094, 2079, 9039, 9047, 9099, 9038, 9065, 9089, 9085, 9083, 9094, 9079</t>
  </si>
  <si>
    <t>128</t>
  </si>
  <si>
    <t>9128</t>
  </si>
  <si>
    <t>039, 063, 090, 054, 089, 085, 068, 094, 071, 099, 139, 163, 190, 154, 189, 185, 168, 194, 171, 199</t>
  </si>
  <si>
    <t>2039, 2063, 2090, 2054, 2089, 2085, 2068, 2094, 2071, 2099, 6039, 6063, 6090, 6054, 6089, 6085, 6068, 6094, 6071, 6099</t>
  </si>
  <si>
    <t>438</t>
  </si>
  <si>
    <t>6438</t>
  </si>
  <si>
    <t>019, 063, 054, 090, 068, 087, 004, 036, 037, 055, 119, 163, 154, 190, 168, 187, 104, 136, 137, 155</t>
  </si>
  <si>
    <t>2019, 2063, 2054, 2090, 2068, 2087, 2004, 2036, 2037, 2055, 4019, 4063, 4054, 4090, 4068, 4087, 4004, 4036, 4037, 4055</t>
  </si>
  <si>
    <t>890</t>
  </si>
  <si>
    <t>6890</t>
  </si>
  <si>
    <t>047, 001, 054, 063, 019, 065, 068, 042, 083, 097, 147, 101, 154, 163, 119, 165, 168, 142, 183, 197</t>
  </si>
  <si>
    <t>2047, 2001, 2054, 2063, 2019, 2065, 2068, 2042, 2083, 2097, 4047, 4001, 4054, 4063, 4019, 4065, 4068, 4042, 4083, 4097</t>
  </si>
  <si>
    <t>739</t>
  </si>
  <si>
    <t>5739</t>
  </si>
  <si>
    <t>185, 194, 199, 167, 139, 189, 153, 171, 152, 116, 285, 294, 299, 267, 239, 289, 253, 271, 252, 216</t>
  </si>
  <si>
    <t>2185, 2194, 2199, 2167, 2139, 2189, 2153, 2171, 2152, 2116, 1185, 1194, 1199, 1167, 1139, 1189, 1153, 1171, 1152, 1116</t>
  </si>
  <si>
    <t>763</t>
  </si>
  <si>
    <t>6763</t>
  </si>
  <si>
    <t>085, 094, 067, 054, 099, 004, 019, 068, 053, 071, 185, 194, 167, 154, 199, 104, 119, 168, 153, 171</t>
  </si>
  <si>
    <t>2085, 2094, 2067, 2054, 2099, 2004, 2019, 2068, 2053, 2071, 0085, 0094, 0067, 0054, 0099, 0004, 0019, 0068, 0053, 0071</t>
  </si>
  <si>
    <t>119</t>
  </si>
  <si>
    <t>6119</t>
  </si>
  <si>
    <t>089, 054, 004, 039, 068, 016, 052, 087, 084, 036, 189, 154, 104, 139, 168, 116, 152, 187, 184, 136</t>
  </si>
  <si>
    <t>1089, 1054, 1004, 1039, 1068, 1016, 1052, 1087, 1084, 1036, 2089, 2054, 2004, 2039, 2068, 2016, 2052, 2087, 2084, 2036</t>
  </si>
  <si>
    <t>9147</t>
  </si>
  <si>
    <t>085, 097, 079, 067, 094, 001, 051, 099, 065, 042, 185, 197, 179, 167, 194, 101, 151, 199, 165, 142</t>
  </si>
  <si>
    <t>1085, 1097, 1079, 1067, 1094, 1001, 1051, 1099, 1065, 1042, 2085, 2097, 2079, 2067, 2094, 2001, 2051, 2099, 2065, 2042</t>
  </si>
  <si>
    <t>299</t>
  </si>
  <si>
    <t>4299</t>
  </si>
  <si>
    <t>089, 054, 004, 039, 068, 036, 037, 016, 052, 087, 189, 154, 104, 139, 168, 136, 137, 116, 152, 187</t>
  </si>
  <si>
    <t>0089, 0054, 0004, 0039, 0068, 0036, 0037, 0016, 0052, 0087, 1089, 1054, 1004, 1039, 1068, 1036, 1037, 1016, 1052, 1087</t>
  </si>
  <si>
    <t>494</t>
  </si>
  <si>
    <t>0494</t>
  </si>
  <si>
    <t>097, 079, 071, 085, 087, 083, 067, 051, 001, 065, 197, 179, 171, 185, 187, 183, 167, 151, 101, 165</t>
  </si>
  <si>
    <t>1097, 1079, 1071, 1085, 1087, 1083, 1067, 1051, 1001, 1065, 2097, 2079, 2071, 2085, 2087, 2083, 2067, 2051, 2001, 2065</t>
  </si>
  <si>
    <t>401</t>
  </si>
  <si>
    <t>9401</t>
  </si>
  <si>
    <t>089, 087, 054, 004, 039, 068, 036, 037, 016, 052, 189, 187, 154, 104, 139, 168, 136, 137, 116, 152</t>
  </si>
  <si>
    <t>1089, 1087, 1054, 1004, 1039, 1068, 1036, 1037, 1016, 1052, 2089, 2087, 2054, 2004, 2039, 2068, 2036, 2037, 2016, 2052</t>
  </si>
  <si>
    <t>767</t>
  </si>
  <si>
    <t>2767</t>
  </si>
  <si>
    <t>087, 054, 004, 068, 036, 055, 037, 032, 014, 000, 187, 154, 104, 168, 136, 155, 137, 132, 114, 100</t>
  </si>
  <si>
    <t>4087, 4054, 4004, 4068, 4036, 4055, 4037, 4032, 4014, 4000, 1087, 1054, 1004, 1068, 1036, 1055, 1037, 1032, 1014, 1000</t>
  </si>
  <si>
    <t>185</t>
  </si>
  <si>
    <t>9185</t>
  </si>
  <si>
    <t>054, 039, 065, 089, 083, 051, 004, 097, 079, 068, 154, 139, 165, 189, 183, 151, 104, 197, 179, 168</t>
  </si>
  <si>
    <t>4054, 4039, 4065, 4089, 4083, 4051, 4004, 4097, 4079, 4068, 1054, 1039, 1065, 1089, 1083, 1051, 1004, 1097, 1079, 1068</t>
  </si>
  <si>
    <t>089</t>
  </si>
  <si>
    <t>5089</t>
  </si>
  <si>
    <t>054, 068, 004, 071, 036, 053, 003, 080, 008, 017, 154, 168, 104, 171, 136, 153, 103, 180, 108, 117</t>
  </si>
  <si>
    <t>4054, 4068, 4004, 4071, 4036, 4053, 4003, 4080, 4008, 4017, 1054, 1068, 1004, 1071, 1036, 1053, 1003, 1080, 1008, 1017</t>
  </si>
  <si>
    <t>579</t>
  </si>
  <si>
    <t>2579</t>
  </si>
  <si>
    <t>039, 071, 087, 053, 084, 032, 055, 037, 052, 003, 139, 171, 187, 153, 184, 132, 155, 137, 152, 103</t>
  </si>
  <si>
    <t>4039, 4071, 4087, 4053, 4084, 4032, 4055, 4037, 4052, 4003, 1039, 1071, 1087, 1053, 1084, 1032, 1055, 1037, 1052, 1003</t>
  </si>
  <si>
    <t>497</t>
  </si>
  <si>
    <t>3497</t>
  </si>
  <si>
    <t>071, 053, 080, 003, 008, 017, 085, 021, 094, 076, 171, 153, 180, 103, 108, 117, 185, 121, 194, 176</t>
  </si>
  <si>
    <t>4071, 4053, 4080, 4003, 4008, 4017, 4085, 4021, 4094, 4076, 1071, 1053, 1080, 1003, 1008, 1017, 1085, 1021, 1094, 1076</t>
  </si>
  <si>
    <t>771</t>
  </si>
  <si>
    <t>6771</t>
  </si>
  <si>
    <t>054, 068, 004, 087, 036, 032, 000, 055, 037, 014, 154, 168, 104, 187, 136, 132, 100, 155, 137, 114</t>
  </si>
  <si>
    <t>4054, 4068, 4004, 4087, 4036, 4032, 4000, 4055, 4037, 4014, 1054, 1068, 1004, 1087, 1036, 1032, 1000, 1055, 1037, 1014</t>
  </si>
  <si>
    <t>887</t>
  </si>
  <si>
    <t>4887</t>
  </si>
  <si>
    <t>004, 054, 083, 068, 042, 065, 051, 036, 060, 038, 104, 154, 183, 168, 142, 165, 151, 136, 160, 138</t>
  </si>
  <si>
    <t>4004, 4054, 4083, 4068, 4042, 4065, 4051, 4036, 4060, 4038, 1004, 1054, 1083, 1068, 1042, 1065, 1051, 1036, 1060, 1038</t>
  </si>
  <si>
    <t>165</t>
  </si>
  <si>
    <t>8165</t>
  </si>
  <si>
    <t>004, 054, 083, 042, 051, 068, 036, 055, 037, 032, 104, 154, 183, 142, 151, 168, 136, 155, 137, 132</t>
  </si>
  <si>
    <t>4004, 4054, 4083, 4042, 4051, 4068, 4036, 4055, 4037, 4032, 1004, 1054, 1083, 1042, 1051, 1068, 1036, 1055, 1037, 1032</t>
  </si>
  <si>
    <t>139</t>
  </si>
  <si>
    <t>1139</t>
  </si>
  <si>
    <t>053, 016, 052, 084, 055, 037, 032, 014, 000, 080, 153, 116, 152, 184, 155, 137, 132, 114, 100, 180</t>
  </si>
  <si>
    <t>3053, 3016, 3052, 3084, 3055, 3037, 3032, 3014, 3000, 3080, 4053, 4016, 4052, 4084, 4055, 4037, 4032, 4014, 4000, 4080</t>
  </si>
  <si>
    <t>854</t>
  </si>
  <si>
    <t>1854</t>
  </si>
  <si>
    <t>051, 004, 083, 042, 068, 036, 060, 054, 065, 038, 151, 104, 183, 142, 168, 136, 160, 154, 165, 138</t>
  </si>
  <si>
    <t>0051, 0004, 0083, 0042, 0068, 0036, 0060, 0054, 0065, 0038, 3051, 3004, 3083, 3042, 3068, 3036, 3060, 3054, 3065, 3038</t>
  </si>
  <si>
    <t>468</t>
  </si>
  <si>
    <t>0468</t>
  </si>
  <si>
    <t>053, 052, 084, 016, 080, 089, 008, 003, 093, 017, 153, 152, 184, 116, 180, 189, 108, 103, 193, 117</t>
  </si>
  <si>
    <t>4053, 4052, 4084, 4016, 4080, 4089, 4008, 4003, 4093, 4017, 3053, 3052, 3084, 3016, 3080, 3089, 3008, 3003, 3093, 3017</t>
  </si>
  <si>
    <t>642</t>
  </si>
  <si>
    <t>7642</t>
  </si>
  <si>
    <t>037, 053, 032, 055, 014, 000, 080, 008, 003, 005, 237, 253, 232, 255, 214, 200, 280, 208, 203, 205</t>
  </si>
  <si>
    <t>4037, 4053, 4032, 4055, 4014, 4000, 4080, 4008, 4003, 4005, 3037, 3053, 3032, 3055, 3014, 3000, 3080, 3008, 3003, 3005</t>
  </si>
  <si>
    <t>452</t>
  </si>
  <si>
    <t>2452</t>
  </si>
  <si>
    <t>036, 037, 004, 016, 032, 084, 055, 014, 000, 089, 236, 237, 204, 216, 232, 284, 255, 214, 200, 289</t>
  </si>
  <si>
    <t>4036, 4037, 4004, 4016, 4032, 4084, 4055, 4014, 4000, 4089, 3036, 3037, 3004, 3016, 3032, 3084, 3055, 3014, 3000, 3089</t>
  </si>
  <si>
    <t>253</t>
  </si>
  <si>
    <t>9253</t>
  </si>
  <si>
    <t>037, 055, 032, 084, 014, 000, 089, 093, 005, 023, 237, 255, 232, 284, 214, 200, 289, 293, 205, 223</t>
  </si>
  <si>
    <t>4037, 4055, 4032, 4084, 4014, 4000, 4089, 4093, 4005, 4023, 0037, 0055, 0032, 0084, 0014, 0000, 0089, 0093, 0005, 0023</t>
  </si>
  <si>
    <t>804</t>
  </si>
  <si>
    <t>4804</t>
  </si>
  <si>
    <t>083, 051, 036, 060, 054, 065, 080, 008, 003, 004, 283, 251, 236, 260, 254, 265, 280, 208, 203, 204</t>
  </si>
  <si>
    <t>0083, 0051, 0036, 0060, 0054, 0065, 0080, 0008, 0003, 0004, 4083, 4051, 4036, 4060, 4054, 4065, 4080, 4008, 4003, 4004</t>
  </si>
  <si>
    <t>816</t>
  </si>
  <si>
    <t>1816</t>
  </si>
  <si>
    <t>036, 084, 054, 089, 093, 043, 004, 011, 013, 039, 136, 184, 154, 189, 193, 143, 104, 111, 113, 139</t>
  </si>
  <si>
    <t>0036, 0084, 0054, 0089, 0093, 0043, 0004, 0011, 0013, 0039, 4036, 4084, 4054, 4089, 4093, 4043, 4004, 4011, 4013, 4039</t>
  </si>
  <si>
    <t>751</t>
  </si>
  <si>
    <t>2751</t>
  </si>
  <si>
    <t>083, 084, 060, 051, 093, 065, 089, 043, 011, 042, 183, 184, 160, 151, 193, 165, 189, 143, 111, 142</t>
  </si>
  <si>
    <t>0083, 0084, 0060, 0051, 0093, 0065, 0089, 0043, 0011, 0042, 4083, 4084, 4060, 4051, 4093, 4065, 4089, 4043, 4011, 4042</t>
  </si>
  <si>
    <t>437</t>
  </si>
  <si>
    <t>0437</t>
  </si>
  <si>
    <t>083, 032, 055, 036, 060, 023, 051, 014, 000, 054, 183, 132, 155, 136, 160, 123, 151, 114, 100, 154</t>
  </si>
  <si>
    <t>0083, 0032, 0055, 0036, 0060, 0023, 0051, 0014, 0000, 0054, 4083, 4032, 4055, 4036, 4060, 4023, 4051, 4014, 4000, 4054</t>
  </si>
  <si>
    <t>136</t>
  </si>
  <si>
    <t>2136</t>
  </si>
  <si>
    <t>083, 084, 080, 003, 060, 051, 093, 065, 089, 008, 183, 184, 180, 103, 160, 151, 193, 165, 189, 108</t>
  </si>
  <si>
    <t>0083, 0084, 0080, 0003, 0060, 0051, 0093, 0065, 0089, 0008, 4083, 4084, 4080, 4003, 4060, 4051, 4093, 4065, 4089, 4008</t>
  </si>
  <si>
    <t>8083</t>
  </si>
  <si>
    <t>014, 032, 000, 080, 003, 055, 023, 008, 053, 078, 114, 132, 100, 180, 103, 155, 123, 108, 153, 178</t>
  </si>
  <si>
    <t>0014, 0032, 0000, 0080, 0003, 0055, 0023, 0008, 0053, 0078, 4014, 4032, 4000, 4080, 4003, 4055, 4023, 4008, 4053, 4078</t>
  </si>
  <si>
    <t>860</t>
  </si>
  <si>
    <t>4860</t>
  </si>
  <si>
    <t>014, 032, 000, 080, 055, 003, 023, 008, 053, 078, 114, 132, 100, 180, 155, 103, 123, 108, 153, 178</t>
  </si>
  <si>
    <t>0014, 0032, 0000, 0080, 0055, 0003, 0023, 0008, 0053, 0078, 3014, 3032, 3000, 3080, 3055, 3003, 3023, 3008, 3053, 3078</t>
  </si>
  <si>
    <t>155</t>
  </si>
  <si>
    <t>3155</t>
  </si>
  <si>
    <t>083, 014, 000, 080, 032, 003, 023, 051, 065, 008, 283, 214, 200, 280, 232, 203, 223, 251, 265, 208</t>
  </si>
  <si>
    <t>0083, 0014, 0000, 0080, 0032, 0003, 0023, 0051, 0065, 0008, 7083, 7014, 7000, 7080, 7032, 7003, 7023, 7051, 7065, 7008</t>
  </si>
  <si>
    <t>032</t>
  </si>
  <si>
    <t>5032</t>
  </si>
  <si>
    <t>089, 084, 093, 043, 008, 039, 080, 011, 021, 003, 289, 284, 293, 243, 208, 239, 280, 211, 221, 203</t>
  </si>
  <si>
    <t>0089, 0084, 0093, 0043, 0008, 0039, 0080, 0011, 0021, 0003, 1089, 1084, 1093, 1043, 1008, 1039, 1080, 1011, 1021, 1003</t>
  </si>
  <si>
    <t>203</t>
  </si>
  <si>
    <t>1203</t>
  </si>
  <si>
    <t>014, 054, 089, 000, 084, 023, 043, 050, 093, 036, 114, 154, 189, 100, 184, 123, 143, 150, 193, 136</t>
  </si>
  <si>
    <t>0014, 0054, 0089, 0000, 0084, 0023, 0043, 0050, 0093, 0036, 7014, 7054, 7089, 7000, 7084, 7023, 7043, 7050, 7093, 7036</t>
  </si>
  <si>
    <t>384</t>
  </si>
  <si>
    <t>0384</t>
  </si>
  <si>
    <t>054, 008, 080, 036, 053, 013, 004, 068, 085, 021, 154, 108, 180, 136, 153, 113, 104, 168, 185, 121</t>
  </si>
  <si>
    <t>0054, 0008, 0080, 0036, 0053, 0013, 0004, 0068, 0085, 0021, 7054, 7008, 7080, 7036, 7053, 7013, 7004, 7068, 7085, 7021</t>
  </si>
  <si>
    <t>680</t>
  </si>
  <si>
    <t>1680</t>
  </si>
  <si>
    <t>093, 008, 014, 089, 023, 043, 011, 053, 078, 005, 193, 108, 114, 189, 123, 143, 111, 153, 178, 105</t>
  </si>
  <si>
    <t>0093, 0008, 0014, 0089, 0023, 0043, 0011, 0053, 0078, 0005, 7093, 7008, 7014, 7089, 7023, 7043, 7011, 7053, 7078, 7005</t>
  </si>
  <si>
    <t>3000</t>
  </si>
  <si>
    <t>083, 051, 093, 065, 008, 089, 043, 011, 053, 042, 183, 151, 193, 165, 108, 189, 143, 111, 153, 142</t>
  </si>
  <si>
    <t>7083, 7051, 7093, 7065, 7008, 7089, 7043, 7011, 7053, 7042, 0083, 0051, 0093, 0065, 0008, 0089, 0043, 0011, 0053, 0042</t>
  </si>
  <si>
    <t>014</t>
  </si>
  <si>
    <t>0014</t>
  </si>
  <si>
    <t>093, 008, 089, 043, 011, 021, 053, 039, 094, 084, 193, 108, 189, 143, 111, 121, 153, 139, 194, 184</t>
  </si>
  <si>
    <t>7093, 7008, 7089, 7043, 7011, 7021, 7053, 7039, 7094, 7084, 4093, 4008, 4089, 4043, 4011, 4021, 4053, 4039, 4094, 4084</t>
  </si>
  <si>
    <t>889</t>
  </si>
  <si>
    <t>4889</t>
  </si>
  <si>
    <t>093, 054, 065, 051, 004, 043, 039, 083, 011, 036, 193, 154, 165, 151, 104, 143, 139, 183, 111, 136</t>
  </si>
  <si>
    <t>7093, 7054, 7065, 7051, 7004, 7043, 7039, 7083, 7011, 7036, 4093, 4054, 4065, 4051, 4004, 4043, 4039, 4083, 4011, 4036</t>
  </si>
  <si>
    <t>093, 054, 036, 078, 004, 005, 023, 043, 039, 050, 193, 154, 136, 178, 104, 105, 123, 143, 139, 150</t>
  </si>
  <si>
    <t>7093, 7054, 7036, 7078, 7004, 7005, 7023, 7043, 7039, 7050, 2093, 2054, 2036, 2078, 2004, 2005, 2023, 2043, 2039, 2050</t>
  </si>
  <si>
    <t>308</t>
  </si>
  <si>
    <t>4308</t>
  </si>
  <si>
    <t>054, 004, 065, 036, 051, 068, 083, 042, 081, 013, 154, 104, 165, 136, 151, 168, 183, 142, 181, 113</t>
  </si>
  <si>
    <t>2054, 2004, 2065, 2036, 2051, 2068, 2083, 2042, 2081, 2013, 7054, 7004, 7065, 7036, 7051, 7068, 7083, 7042, 7081, 7013</t>
  </si>
  <si>
    <t>251</t>
  </si>
  <si>
    <t>7251</t>
  </si>
  <si>
    <t>054, 004, 036, 053, 093, 043, 039, 068, 011, 085, 154, 104, 136, 153, 193, 143, 139, 168, 111, 185</t>
  </si>
  <si>
    <t>2054, 2004, 2036, 2053, 2093, 2043, 2039, 2068, 2011, 2085, 7054, 7004, 7036, 7053, 7093, 7043, 7039, 7068, 7011, 7085</t>
  </si>
  <si>
    <t>505</t>
  </si>
  <si>
    <t>3505</t>
  </si>
  <si>
    <t>054, 004, 036, 023, 093, 043, 039, 068, 050, 011, 154, 104, 136, 123, 193, 143, 139, 168, 150, 111</t>
  </si>
  <si>
    <t>2054, 2004, 2036, 2023, 2093, 2043, 2039, 2068, 2050, 2011, 6054, 6004, 6036, 6023, 6093, 6043, 6039, 6068, 6050, 6011</t>
  </si>
  <si>
    <t>393</t>
  </si>
  <si>
    <t>5393</t>
  </si>
  <si>
    <t>023, 053, 078, 050, 085, 021, 069, 017, 094, 076, 123, 153, 178, 150, 185, 121, 169, 117, 194, 176</t>
  </si>
  <si>
    <t>2023, 2053, 2078, 2050, 2085, 2021, 2069, 2017, 2094, 2076, 6023, 6053, 6078, 6050, 6085, 6021, 6069, 6017, 6094, 6076</t>
  </si>
  <si>
    <t>465</t>
  </si>
  <si>
    <t>3465</t>
  </si>
  <si>
    <t>043, 053, 039, 011, 084, 085, 061, 021, 017, 094, 143, 153, 139, 111, 184, 185, 161, 121, 117, 194</t>
  </si>
  <si>
    <t>2043, 2053, 2039, 2011, 2084, 2085, 2061, 2021, 2017, 2094, 4043, 4053, 4039, 4011, 4084, 4085, 4061, 4021, 4017, 4094</t>
  </si>
  <si>
    <t>978</t>
  </si>
  <si>
    <t>4978</t>
  </si>
  <si>
    <t>043, 042, 053, 083, 039, 011, 084, 085, 061, 021, 143, 142, 153, 183, 139, 111, 184, 185, 161, 121</t>
  </si>
  <si>
    <t>2043, 2042, 2053, 2083, 2039, 2011, 2084, 2085, 2061, 2021, 0043, 0042, 0053, 0083, 0039, 0011, 0084, 0085, 0061, 0021</t>
  </si>
  <si>
    <t>583</t>
  </si>
  <si>
    <t>5583</t>
  </si>
  <si>
    <t>054, 043, 004, 013, 036, 039, 068, 084, 081, 040, 154, 143, 104, 113, 136, 139, 168, 184, 181, 140</t>
  </si>
  <si>
    <t>2054, 2043, 2004, 2013, 2036, 2039, 2068, 2084, 2081, 2040, 0054, 0043, 0004, 0013, 0036, 0039, 0068, 0084, 0081, 0040</t>
  </si>
  <si>
    <t>636</t>
  </si>
  <si>
    <t>2636</t>
  </si>
  <si>
    <t>054, 050, 023, 004, 013, 042, 069, 038, 068, 081, 154, 150, 123, 104, 113, 142, 169, 138, 168, 181</t>
  </si>
  <si>
    <t>2054, 2050, 2023, 2004, 2013, 2042, 2069, 2038, 2068, 2081, 0054, 0050, 0023, 0004, 0013, 0042, 0069, 0038, 0068, 0081</t>
  </si>
  <si>
    <t>3823</t>
  </si>
  <si>
    <t>011, 043, 042, 053, 039, 094, 085, 061, 021, 084, 111, 143, 142, 153, 139, 194, 185, 161, 121, 184</t>
  </si>
  <si>
    <t>2011, 2043, 2042, 2053, 2039, 2094, 2085, 2061, 2021, 2084, 0011, 0043, 0042, 0053, 0039, 0094, 0085, 0061, 0021, 0084</t>
  </si>
  <si>
    <t>353</t>
  </si>
  <si>
    <t>0353</t>
  </si>
  <si>
    <t>004, 054, 011, 081, 013, 043, 069, 050, 039, 068, 104, 154, 111, 181, 113, 143, 169, 150, 139, 168</t>
  </si>
  <si>
    <t>2004, 2054, 2011, 2081, 2013, 2043, 2069, 2050, 2039, 2068, 6004, 6054, 6011, 6081, 6013, 6043, 6069, 6050, 6039, 6068</t>
  </si>
  <si>
    <t>042</t>
  </si>
  <si>
    <t>4042</t>
  </si>
  <si>
    <t>050, 069, 051, 064, 047, 092, 041, 055, 038, 014, 150, 169, 151, 164, 147, 192, 141, 155, 138, 114</t>
  </si>
  <si>
    <t>6050, 6069, 6051, 6064, 6047, 6092, 6041, 6055, 6038, 6014, 2050, 2069, 2051, 2064, 2047, 2092, 2041, 2055, 2038, 2014</t>
  </si>
  <si>
    <t>743</t>
  </si>
  <si>
    <t>7743</t>
  </si>
  <si>
    <t>039, 011, 021, 017, 085, 061, 084, 012, 075, 076, 139, 111, 121, 117, 185, 161, 184, 112, 175, 176</t>
  </si>
  <si>
    <t>2039, 2011, 2021, 2017, 2085, 2061, 2084, 2012, 2075, 2076, 6039, 6011, 6021, 6017, 6085, 6061, 6084, 6012, 6075, 6076</t>
  </si>
  <si>
    <t>954</t>
  </si>
  <si>
    <t>7954</t>
  </si>
  <si>
    <t>039, 069, 050, 011, 047, 092, 084, 061, 064, 051, 139, 169, 150, 111, 147, 192, 184, 161, 164, 151</t>
  </si>
  <si>
    <t>6039, 6069, 6050, 6011, 6047, 6092, 6084, 6061, 6064, 6051, 2039, 2069, 2050, 2011, 2047, 2092, 2084, 2061, 2064, 2051</t>
  </si>
  <si>
    <t>250</t>
  </si>
  <si>
    <t>0250</t>
  </si>
  <si>
    <t>004, 039, 068, 054, 011, 081, 013, 040, 061, 084, 104, 139, 168, 154, 111, 181, 113, 140, 161, 184</t>
  </si>
  <si>
    <t>6004, 6039, 6068, 6054, 6011, 6081, 6013, 6040, 6061, 6084, 2004, 2039, 2068, 2054, 2011, 2081, 2013, 2040, 2061, 2084</t>
  </si>
  <si>
    <t>513</t>
  </si>
  <si>
    <t>1513</t>
  </si>
  <si>
    <t>039, 069, 011, 038, 047, 023, 092, 041, 084, 061, 139, 169, 111, 138, 147, 123, 192, 141, 184, 161</t>
  </si>
  <si>
    <t>6039, 6069, 6011, 6038, 6047, 6023, 6092, 6041, 6084, 6061, 2039, 2069, 2011, 2038, 2047, 2023, 2092, 2041, 2084, 2061</t>
  </si>
  <si>
    <t>111</t>
  </si>
  <si>
    <t>9111</t>
  </si>
  <si>
    <t>054, 004, 039, 068, 061, 081, 038, 040, 047, 092, 154, 104, 139, 168, 161, 181, 138, 140, 147, 192</t>
  </si>
  <si>
    <t>6054, 6004, 6039, 6068, 6061, 6081, 6038, 6040, 6047, 6092, 2054, 2004, 2039, 2068, 2061, 2081, 2038, 2040, 2047, 2092</t>
  </si>
  <si>
    <t>281</t>
  </si>
  <si>
    <t>7281</t>
  </si>
  <si>
    <t>085, 017, 021, 038, 051, 094, 047, 092, 012, 033, 185, 117, 121, 138, 151, 194, 147, 192, 112, 133</t>
  </si>
  <si>
    <t>6085, 6017, 6021, 6038, 6051, 6094, 6047, 6092, 6012, 6033, 2085, 2017, 2021, 2038, 2051, 2094, 2047, 2092, 2012, 2033</t>
  </si>
  <si>
    <t>104</t>
  </si>
  <si>
    <t>0104</t>
  </si>
  <si>
    <t>054, 004, 068, 084, 061, 039, 017, 085, 021, 094, 154, 104, 168, 184, 161, 139, 117, 185, 121, 194</t>
  </si>
  <si>
    <t>TRÚNG 3D (TOP 20) 🎯</t>
  </si>
  <si>
    <t>6054, 6004, 6068, 6084, 6061, 6039, 6017, 6085, 6021, 6094, 2054, 2004, 2068, 2084, 2061, 2039, 2017, 2085, 2021, 2094</t>
  </si>
  <si>
    <t>021</t>
  </si>
  <si>
    <t>8021</t>
  </si>
  <si>
    <t>039, 094, 084, 061, 069, 017, 085, 032, 064, 012, 139, 194, 184, 161, 169, 117, 185, 132, 164, 112</t>
  </si>
  <si>
    <t>6039, 6094, 6084, 6061, 6069, 6017, 6085, 6032, 6064, 6012, 2039, 2094, 2084, 2061, 2069, 2017, 2085, 2032, 2064, 2012</t>
  </si>
  <si>
    <t>939</t>
  </si>
  <si>
    <t>2939</t>
  </si>
  <si>
    <t>054, 004, 068, 038, 051, 040, 047, 092, 033, 059, 154, 104, 168, 138, 151, 140, 147, 192, 133, 159</t>
  </si>
  <si>
    <t>6054, 6004, 6068, 6038, 6051, 6040, 6047, 6092, 6033, 6059, 2054, 2004, 2068, 2038, 2051, 2040, 2047, 2092, 2033, 2059</t>
  </si>
  <si>
    <t>685</t>
  </si>
  <si>
    <t>2685</t>
  </si>
  <si>
    <t>094, 084, 017, 061, 038, 076, 051, 012, 047, 092, 194, 184, 117, 161, 138, 176, 151, 112, 147, 192</t>
  </si>
  <si>
    <t>6094, 6084, 6017, 6061, 6038, 6076, 6051, 6012, 6047, 6092, 2094, 2084, 2017, 2061, 2038, 2076, 2051, 2012, 2047, 2092</t>
  </si>
  <si>
    <t>568</t>
  </si>
  <si>
    <t>8568</t>
  </si>
  <si>
    <t>017, 004, 094, 076, 054, 012, 035, 022, 067, 063, 117, 104, 194, 176, 154, 112, 135, 122, 167, 163</t>
  </si>
  <si>
    <t>6017, 6004, 6094, 6076, 6054, 6012, 6035, 6022, 6067, 6063, 2017, 2004, 2094, 2076, 2054, 2012, 2035, 2022, 2067, 2063</t>
  </si>
  <si>
    <t>1754</t>
  </si>
  <si>
    <t>017, 094, 084, 061, 076, 012, 075, 025, 048, 039, 117, 194, 184, 161, 176, 112, 175, 125, 148, 139</t>
  </si>
  <si>
    <t>6017, 6094, 6084, 6061, 6076, 6012, 6075, 6025, 6048, 6039, 2017, 2094, 2084, 2061, 2076, 2012, 2075, 2025, 2048, 2039</t>
  </si>
  <si>
    <t>361</t>
  </si>
  <si>
    <t>5361</t>
  </si>
  <si>
    <t>038, 004, 033, 059, 051, 040, 047, 092, 054, 097, 138, 104, 133, 159, 151, 140, 147, 192, 154, 197</t>
  </si>
  <si>
    <t>6038, 6004, 6033, 6059, 6051, 6040, 6047, 6092, 6054, 6097, 2038, 2004, 2033, 2059, 2051, 2040, 2047, 2092, 2054, 2097</t>
  </si>
  <si>
    <t>684</t>
  </si>
  <si>
    <t>6684</t>
  </si>
  <si>
    <t>038, 092, 033, 004, 059, 051, 075, 040, 047, 054, 138, 192, 133, 104, 159, 151, 175, 140, 147, 154</t>
  </si>
  <si>
    <t>6038, 6092, 6033, 6004, 6059, 6051, 6075, 6040, 6047, 6054, 2038, 2092, 2033, 2004, 2059, 2051, 2075, 2040, 2047, 2054</t>
  </si>
  <si>
    <t>404</t>
  </si>
  <si>
    <t>9404</t>
  </si>
  <si>
    <t>017, 092, 047, 038, 033, 094, 059, 076, 051, 012, 117, 192, 147, 138, 133, 194, 159, 176, 151, 112</t>
  </si>
  <si>
    <t>6017, 6092, 6047, 6038, 6033, 6094, 6059, 6076, 6051, 6012, 2017, 2092, 2047, 2038, 2033, 2094, 2059, 2076, 2051, 2012</t>
  </si>
  <si>
    <t>294</t>
  </si>
  <si>
    <t>7294</t>
  </si>
  <si>
    <t>017, 040, 076, 059, 012, 075, 054, 025, 048, 035, 117, 140, 176, 159, 112, 175, 154, 125, 148, 135</t>
  </si>
  <si>
    <t>6017, 6040, 6076, 6059, 6012, 6075, 6054, 6025, 6048, 6035, 2017, 2040, 2076, 2059, 2012, 2075, 2054, 2025, 2048, 2035</t>
  </si>
  <si>
    <t>669</t>
  </si>
  <si>
    <t>6669</t>
  </si>
  <si>
    <t>092, 040, 047, 038, 033, 017, 059, 051, 054, 076, 192, 140, 147, 138, 133, 117, 159, 151, 154, 176</t>
  </si>
  <si>
    <t>6092, 6040, 6047, 6038, 6033, 6017, 6059, 6051, 6054, 6076, 2092, 2040, 2047, 2038, 2033, 2017, 2059, 2051, 2054, 2076</t>
  </si>
  <si>
    <t>138</t>
  </si>
  <si>
    <t>4138</t>
  </si>
  <si>
    <t>040, 041, 023, 037, 032, 069, 064, 059, 028, 054, 140, 141, 123, 137, 132, 169, 164, 159, 128, 154</t>
  </si>
  <si>
    <t>2040, 2041, 2023, 2037, 2032, 2069, 2064, 2059, 2028, 2054, 6040, 6041, 6023, 6037, 6032, 6069, 6064, 6059, 6028, 6054</t>
  </si>
  <si>
    <t>233</t>
  </si>
  <si>
    <t>2233</t>
  </si>
  <si>
    <t>017, 012, 040, 076, 059, 054, 035, 063, 044, 004, 117, 112, 140, 176, 159, 154, 135, 163, 144, 104</t>
  </si>
  <si>
    <t>2017, 2012, 2040, 2076, 2059, 2054, 2035, 2063, 2044, 2004, 6017, 6012, 6040, 6076, 6059, 6054, 6035, 6063, 6044, 6004</t>
  </si>
  <si>
    <t>117</t>
  </si>
  <si>
    <t>2117</t>
  </si>
  <si>
    <t>051, 012, 092, 076, 047, 017, 097, 035, 038, 088, 151, 112, 192, 176, 147, 117, 197, 135, 138, 188</t>
  </si>
  <si>
    <t>6051, 6012, 6092, 6076, 6047, 6017, 6097, 6035, 6038, 6088, 2051, 2012, 2092, 2076, 2047, 2017, 2097, 2035, 2038, 2088</t>
  </si>
  <si>
    <t>223</t>
  </si>
  <si>
    <t>6223</t>
  </si>
  <si>
    <t>032, 064, 041, 040, 037, 059, 069, 028, 054, 055, 132, 164, 141, 140, 137, 159, 169, 128, 154, 155</t>
  </si>
  <si>
    <t>6032, 6064, 6041, 6040, 6037, 6059, 6069, 6028, 6054, 6055, 2032, 2064, 2041, 2040, 2037, 2059, 2069, 2028, 2054, 2055</t>
  </si>
  <si>
    <t>192</t>
  </si>
  <si>
    <t>6192</t>
  </si>
  <si>
    <t>051, 012, 076, 025, 048, 047, 017, 075, 097, 043, 151, 112, 176, 125, 148, 147, 117, 175, 197, 143</t>
  </si>
  <si>
    <t>6051, 6012, 6076, 6025, 6048, 6047, 6017, 6075, 6097, 6043, 2051, 2012, 2076, 2025, 2048, 2047, 2017, 2075, 2097, 2043</t>
  </si>
  <si>
    <t>051, 040, 059, 054, 097, 004, 063, 024, 068, 042, 151, 140, 159, 154, 197, 104, 163, 124, 168, 142</t>
  </si>
  <si>
    <t>6051, 6040, 6059, 6054, 6097, 6004, 6063, 6024, 6068, 6042, 2051, 2040, 2059, 2054, 2097, 2004, 2063, 2024, 2068, 2042</t>
  </si>
  <si>
    <t>540</t>
  </si>
  <si>
    <t>4540</t>
  </si>
  <si>
    <t>037, 032, 069, 064, 051, 041, 055, 059, 028, 054, 137, 132, 169, 164, 151, 141, 155, 159, 128, 154</t>
  </si>
  <si>
    <t>2037, 2032, 2069, 2064, 2051, 2041, 2055, 2059, 2028, 2054, 6037, 6032, 6069, 6064, 6051, 6041, 6055, 6059, 6028, 6054</t>
  </si>
  <si>
    <t>241</t>
  </si>
  <si>
    <t>0241</t>
  </si>
  <si>
    <t>037, 032, 069, 054, 064, 076, 012, 055, 059, 014, 137, 132, 169, 154, 164, 176, 112, 155, 159, 114</t>
  </si>
  <si>
    <t>6037, 6032, 6069, 6054, 6064, 6076, 6012, 6055, 6059, 6014, 2037, 2032, 2069, 2054, 2064, 2076, 2012, 2055, 2059, 2014</t>
  </si>
  <si>
    <t>512</t>
  </si>
  <si>
    <t>2512</t>
  </si>
  <si>
    <t>037, 059, 069, 054, 032, 064, 055, 051, 014, 028, 137, 159, 169, 154, 132, 164, 155, 151, 114, 128</t>
  </si>
  <si>
    <t>2037, 2059, 2069, 2054, 2032, 2064, 2055, 2051, 2014, 2028, 6037, 6059, 6069, 6054, 6032, 6064, 6055, 6051, 6014, 6028</t>
  </si>
  <si>
    <t>1251</t>
  </si>
  <si>
    <t>059, 054, 038, 063, 097, 004, 006, 088, 024, 068, 159, 154, 138, 163, 197, 104, 106, 188, 124, 168</t>
  </si>
  <si>
    <t>2059, 2054, 2038, 2063, 2097, 2004, 2006, 2088, 2024, 2068, 6059, 6054, 6038, 6063, 6097, 6004, 6006, 6088, 6024, 6068</t>
  </si>
  <si>
    <t>964</t>
  </si>
  <si>
    <t>2964</t>
  </si>
  <si>
    <t>037, 069, 017, 028, 032, 076, 014, 035, 055, 082, 137, 169, 117, 128, 132, 176, 114, 135, 155, 182</t>
  </si>
  <si>
    <t>2037, 2069, 2017, 2028, 2032, 2076, 2014, 2035, 2055, 2082, 6037, 6069, 6017, 6028, 6032, 6076, 6014, 6035, 6055, 6082</t>
  </si>
  <si>
    <t>132</t>
  </si>
  <si>
    <t>6132</t>
  </si>
  <si>
    <t>075, 025, 048, 038, 097, 043, 039, 020, 006, 088, 275, 225, 248, 238, 297, 243, 239, 220, 206, 288</t>
  </si>
  <si>
    <t>2075, 2025, 2048, 2038, 2097, 2043, 2039, 2020, 2006, 2088, 6075, 6025, 6048, 6038, 6097, 6043, 6039, 6020, 6006, 6088</t>
  </si>
  <si>
    <t>637</t>
  </si>
  <si>
    <t>6637</t>
  </si>
  <si>
    <t>076, 017, 028, 069, 039, 055, 025, 048, 075, 014, 176, 117, 128, 169, 139, 155, 125, 148, 175, 114</t>
  </si>
  <si>
    <t>2076, 2017, 2028, 2069, 2039, 2055, 2025, 2048, 2075, 2014, 6076, 6017, 6028, 6069, 6039, 6055, 6025, 6048, 6075, 6014</t>
  </si>
  <si>
    <t>075</t>
  </si>
  <si>
    <t>2075</t>
  </si>
  <si>
    <t>059, 028, 054, 069, 014, 004, 063, 055, 091, 037, 259, 228, 254, 269, 214, 204, 263, 255, 291, 237</t>
  </si>
  <si>
    <t>2059, 2028, 2054, 2069, 2014, 2004, 2063, 2055, 2091, 2037, 6059, 6028, 6054, 6069, 6014, 6004, 6063, 6055, 6091, 6037</t>
  </si>
  <si>
    <t>569</t>
  </si>
  <si>
    <t>6569</t>
  </si>
  <si>
    <t>059, 055, 028, 054, 014, 000, 050, 004, 063, 091, 159, 155, 128, 154, 114, 100, 150, 104, 163, 191</t>
  </si>
  <si>
    <t>2059, 2055, 2028, 2054, 2014, 2000, 2050, 2004, 2063, 2091, 6059, 6055, 6028, 6054, 6014, 6000, 6050, 6004, 6063, 6091</t>
  </si>
  <si>
    <t>254</t>
  </si>
  <si>
    <t>5254</t>
  </si>
  <si>
    <t>048, 039, 025, 028, 014, 082, 020, 043, 055, 091, 148, 139, 125, 128, 114, 182, 120, 143, 155, 191</t>
  </si>
  <si>
    <t>2048, 2039, 2025, 2028, 2014, 2082, 2020, 2043, 2055, 2091, 6048, 6039, 6025, 6028, 6014, 6082, 6020, 6043, 6055, 6091</t>
  </si>
  <si>
    <t>059</t>
  </si>
  <si>
    <t>0059</t>
  </si>
  <si>
    <t>076, 055, 017, 028, 014, 082, 035, 000, 050, 004, 176, 155, 117, 128, 114, 182, 135, 100, 150, 104</t>
  </si>
  <si>
    <t>2076, 2055, 2017, 2028, 2014, 2082, 2035, 2000, 2050, 2004, 6076, 6055, 6017, 6028, 6014, 6082, 6035, 6000, 6050, 6004</t>
  </si>
  <si>
    <t>8228</t>
  </si>
  <si>
    <t>048, 025, 076, 043, 039, 017, 063, 035, 020, 004, 148, 125, 176, 143, 139, 117, 163, 135, 120, 104</t>
  </si>
  <si>
    <t>2048, 2025, 2076, 2043, 2039, 2017, 2063, 2035, 2020, 2004, 6048, 6025, 6076, 6043, 6039, 6017, 6063, 6035, 6020, 6004</t>
  </si>
  <si>
    <t>717</t>
  </si>
  <si>
    <t>8717</t>
  </si>
  <si>
    <t>155, 125, 148, 143, 139, 114, 137, 182, 100, 120, 255, 225, 248, 243, 239, 214, 237, 282, 200, 220</t>
  </si>
  <si>
    <t>2155, 2125, 2148, 2143, 2139, 2114, 2137, 2182, 2100, 2120, 6155, 6125, 6148, 6143, 6139, 6114, 6137, 6182, 6100, 6120</t>
  </si>
  <si>
    <t>876</t>
  </si>
  <si>
    <t>9876</t>
  </si>
  <si>
    <t>135, 176, 163, 144, 104, 122, 167, 159, 180, 168, 235, 276, 263, 244, 204, 222, 267, 259, 280, 268</t>
  </si>
  <si>
    <t>2135, 2176, 2163, 2144, 2104, 2122, 2167, 2159, 2180, 2168, 6135, 6176, 6163, 6144, 6104, 6122, 6167, 6159, 6180, 6168</t>
  </si>
  <si>
    <t>239</t>
  </si>
  <si>
    <t>6239</t>
  </si>
  <si>
    <t>155, 125, 114, 148, 143, 137, 163, 182, 100, 150, 255, 225, 214, 248, 243, 237, 263, 282, 200, 250</t>
  </si>
  <si>
    <t>2155, 2125, 2114, 2148, 2143, 2137, 2163, 2182, 2100, 2150, 3155, 3125, 3114, 3148, 3143, 3137, 3163, 3182, 3100, 3150</t>
  </si>
  <si>
    <t>948</t>
  </si>
  <si>
    <t>6948</t>
  </si>
  <si>
    <t>163, 104, 122, 159, 168, 177, 136, 195, 113, 186, 263, 204, 222, 259, 268, 277, 236, 295, 213, 286</t>
  </si>
  <si>
    <t>2163, 2104, 2122, 2159, 2168, 2177, 2136, 2195, 2113, 2186, 7163, 7104, 7122, 7159, 7168, 7177, 7136, 7195, 7113, 7186</t>
  </si>
  <si>
    <t>076</t>
  </si>
  <si>
    <t>8076</t>
  </si>
  <si>
    <t>125, 138, 143, 197, 188, 120, 166, 106, 148, 124, 225, 238, 243, 297, 288, 220, 266, 206, 248, 224</t>
  </si>
  <si>
    <t>2125, 2138, 2143, 2197, 2188, 2120, 2166, 2106, 2148, 2124, 7125, 7138, 7143, 7197, 7188, 7120, 7166, 7106, 7148, 7124</t>
  </si>
  <si>
    <t>197</t>
  </si>
  <si>
    <t>4197</t>
  </si>
  <si>
    <t>014, 055, 035, 000, 091, 037, 082, 064, 050, 067, 114, 155, 135, 100, 191, 137, 182, 164, 150, 167</t>
  </si>
  <si>
    <t>2014, 2055, 2035, 2000, 2091, 2037, 2082, 2064, 2050, 2067, 7014, 7055, 7035, 7000, 7091, 7037, 7082, 7064, 7050, 7067</t>
  </si>
  <si>
    <t>725</t>
  </si>
  <si>
    <t>3725</t>
  </si>
  <si>
    <t>063, 004, 038, 088, 006, 024, 022, 029, 059, 051, 163, 104, 138, 188, 106, 124, 122, 129, 159, 151</t>
  </si>
  <si>
    <t>2063, 2004, 2038, 2088, 2006, 2024, 2022, 2029, 2059, 2051, 1063, 1004, 1038, 1088, 1006, 1024, 1022, 1029, 1059, 1051</t>
  </si>
  <si>
    <t>243</t>
  </si>
  <si>
    <t>7243</t>
  </si>
  <si>
    <t>063, 004, 035, 022, 067, 095, 059, 077, 080, 068, 163, 104, 135, 122, 167, 195, 159, 177, 180, 168</t>
  </si>
  <si>
    <t>2063, 2004, 2035, 2022, 2067, 2095, 2059, 2077, 2080, 2068, 1063, 1004, 1035, 1022, 1067, 1095, 1059, 1077, 1080, 1068</t>
  </si>
  <si>
    <t>455</t>
  </si>
  <si>
    <t>8455</t>
  </si>
  <si>
    <t>114, 104, 138, 163, 188, 191, 137, 122, 182, 132, 214, 204, 238, 263, 288, 291, 237, 222, 282, 232</t>
  </si>
  <si>
    <t>2114, 2104, 2138, 2163, 2188, 2191, 2137, 2122, 2182, 2132, 1114, 1104, 1138, 1163, 1188, 1191, 1137, 1122, 1182, 1132</t>
  </si>
  <si>
    <t>035</t>
  </si>
  <si>
    <t>5035</t>
  </si>
  <si>
    <t>104, 163, 188, 138, 106, 124, 195, 129, 159, 122, 204, 263, 288, 238, 206, 224, 295, 229, 259, 222</t>
  </si>
  <si>
    <t>2104, 2163, 2188, 2138, 2106, 2124, 2195, 2129, 2159, 2122, 1104, 1163, 1188, 1138, 1106, 1124, 1195, 1129, 1159, 1122</t>
  </si>
  <si>
    <t>714</t>
  </si>
  <si>
    <t>3714</t>
  </si>
  <si>
    <t>020, 004, 025, 063, 022, 066, 093, 067, 048, 052, 120, 104, 125, 163, 122, 166, 193, 167, 148, 152</t>
  </si>
  <si>
    <t>2020, 2004, 2025, 2063, 2022, 2066, 2093, 2067, 2048, 2052, 7020, 7004, 7025, 7063, 7022, 7066, 7093, 7067, 7048, 7052</t>
  </si>
  <si>
    <t>2763</t>
  </si>
  <si>
    <t>082, 050, 020, 006, 025, 000, 091, 055, 037, 093, 182, 150, 120, 106, 125, 100, 191, 155, 137, 193</t>
  </si>
  <si>
    <t>1082, 1050, 1020, 1006, 1025, 1000, 1091, 1055, 1037, 1093, 7082, 7050, 7020, 7006, 7025, 7000, 7091, 7055, 7037, 7093</t>
  </si>
  <si>
    <t>2738</t>
  </si>
  <si>
    <t>004, 022, 077, 095, 059, 068, 036, 090, 081, 013, 104, 122, 177, 195, 159, 168, 136, 190, 181, 113</t>
  </si>
  <si>
    <t>1004, 1022, 1077, 1095, 1059, 1068, 1036, 1090, 1081, 1013, 7004, 7022, 7077, 7095, 7059, 7068, 7036, 7090, 7081, 7013</t>
  </si>
  <si>
    <t>2000</t>
  </si>
  <si>
    <t>020, 025, 093, 066, 067, 048, 052, 070, 080, 030, 120, 125, 193, 166, 167, 148, 152, 170, 180, 130</t>
  </si>
  <si>
    <t>1020, 1025, 1093, 1066, 1067, 1048, 1052, 1070, 1080, 1030, 6020, 6025, 6093, 6066, 6067, 6048, 6052, 6070, 6080, 6030</t>
  </si>
  <si>
    <t>204</t>
  </si>
  <si>
    <t>4204</t>
  </si>
  <si>
    <t>055, 037, 082, 006, 088, 050, 025, 020, 091, 024, 155, 137, 182, 106, 188, 150, 125, 120, 191, 124</t>
  </si>
  <si>
    <t>1055, 1037, 1082, 1006, 1088, 1050, 1025, 1020, 1091, 1024, 6055, 6037, 6082, 6006, 6088, 6050, 6025, 6020, 6091, 6024</t>
  </si>
  <si>
    <t>120</t>
  </si>
  <si>
    <t>6120</t>
  </si>
  <si>
    <t>037, 082, 091, 055, 022, 014, 032, 064, 046, 068, 137, 182, 191, 155, 122, 114, 132, 164, 146, 168</t>
  </si>
  <si>
    <t>1037, 1082, 1091, 1055, 1022, 1014, 1032, 1064, 1046, 1068, 7037, 7082, 7091, 7055, 7022, 7014, 7032, 7064, 7046, 7068</t>
  </si>
  <si>
    <t>625</t>
  </si>
  <si>
    <t>5625</t>
  </si>
  <si>
    <t>055, 037, 044, 067, 024, 082, 006, 050, 091, 014, 155, 137, 144, 167, 124, 182, 106, 150, 191, 114</t>
  </si>
  <si>
    <t>1055, 1037, 1044, 1067, 1024, 1082, 1006, 1050, 1091, 1014, 2055, 2037, 2044, 2067, 2024, 2082, 2006, 2050, 2091, 2014</t>
  </si>
  <si>
    <t>450</t>
  </si>
  <si>
    <t>7450</t>
  </si>
  <si>
    <t>067, 024, 088, 006, 022, 044, 095, 029, 068, 059, 167, 124, 188, 106, 122, 144, 195, 129, 168, 159</t>
  </si>
  <si>
    <t>1067, 1024, 1088, 1006, 1022, 1044, 1095, 1029, 1068, 1059, 2067, 2024, 2088, 2006, 2022, 2044, 2095, 2029, 2068, 2059</t>
  </si>
  <si>
    <t>382</t>
  </si>
  <si>
    <t>2382</t>
  </si>
  <si>
    <t>091, 064, 055, 037, 024, 088, 006, 014, 032, 069, 191, 164, 155, 137, 124, 188, 106, 114, 132, 169</t>
  </si>
  <si>
    <t>1091, 1064, 1055, 1037, 1024, 1088, 1006, 1014, 1032, 1069, 2091, 2064, 2055, 2037, 2024, 2088, 2006, 2014, 2032, 2069</t>
  </si>
  <si>
    <t>406</t>
  </si>
  <si>
    <t>6406</t>
  </si>
  <si>
    <t>091, 064, 037, 066, 048, 014, 093, 032, 069, 052, 191, 164, 137, 166, 148, 114, 193, 132, 169, 152</t>
  </si>
  <si>
    <t>1091, 1064, 1037, 1066, 1048, 1014, 1093, 1032, 1069, 1052, 2091, 2064, 2037, 2066, 2048, 2014, 2093, 2032, 2069, 2052</t>
  </si>
  <si>
    <t>855</t>
  </si>
  <si>
    <t>2855</t>
  </si>
  <si>
    <t>066, 048, 022, 093, 052, 095, 070, 068, 059, 036, 166, 148, 122, 193, 152, 195, 170, 168, 159, 136</t>
  </si>
  <si>
    <t>1066, 1048, 1022, 1093, 1052, 1095, 1070, 1068, 1059, 1036, 7066, 7048, 7022, 7093, 7052, 7095, 7070, 7068, 7059, 7036</t>
  </si>
  <si>
    <t>737</t>
  </si>
  <si>
    <t>9737</t>
  </si>
  <si>
    <t>088, 022, 024, 059, 095, 029, 068, 077, 051, 036, 188, 122, 124, 159, 195, 129, 168, 177, 151, 136</t>
  </si>
  <si>
    <t>1088, 1022, 1024, 1059, 1095, 1029, 1068, 1077, 1051, 1036, 6088, 6022, 6024, 6059, 6095, 6029, 6068, 6077, 6051, 6036</t>
  </si>
  <si>
    <t>944</t>
  </si>
  <si>
    <t>2944</t>
  </si>
  <si>
    <t>093, 048, 059, 022, 052, 095, 070, 068, 066, 036, 193, 148, 159, 122, 152, 195, 170, 168, 166, 136</t>
  </si>
  <si>
    <t>1093, 1048, 1059, 1022, 1052, 1095, 1070, 1068, 1066, 1036, 6093, 6048, 6059, 6022, 6052, 6095, 6070, 6068, 6066, 6036</t>
  </si>
  <si>
    <t>267</t>
  </si>
  <si>
    <t>1267</t>
  </si>
  <si>
    <t>093, 091, 032, 048, 064, 066, 014, 069, 052, 087, 193, 191, 132, 148, 164, 166, 114, 169, 152, 187</t>
  </si>
  <si>
    <t>1093, 1091, 1032, 1048, 1064, 1066, 1014, 1069, 1052, 1087, 0093, 0091, 0032, 0048, 0064, 0066, 0014, 0069, 0052, 0087</t>
  </si>
  <si>
    <t>666</t>
  </si>
  <si>
    <t>1666</t>
  </si>
  <si>
    <t>022, 093, 032, 048, 091, 059, 064, 068, 014, 069, 122, 193, 132, 148, 191, 159, 164, 168, 114, 169</t>
  </si>
  <si>
    <t>1022, 1093, 1032, 1048, 1091, 1059, 1064, 1068, 1014, 1069, 0022, 0093, 0032, 0048, 0091, 0059, 0064, 0068, 0014, 0069</t>
  </si>
  <si>
    <t>591</t>
  </si>
  <si>
    <t>1591</t>
  </si>
  <si>
    <t>048, 093, 052, 070, 057, 061, 075, 089, 098, 007, 148, 193, 152, 170, 157, 161, 175, 189, 198, 107</t>
  </si>
  <si>
    <t>0048, 0093, 0052, 0070, 0057, 0061, 0075, 0089, 0098, 0007, 1048, 1093, 1052, 1070, 1057, 1061, 1075, 1089, 1098, 1007</t>
  </si>
  <si>
    <t>464</t>
  </si>
  <si>
    <t>4464</t>
  </si>
  <si>
    <t>088, 059, 068, 095, 029, 022, 024, 051, 036, 001, 188, 159, 168, 195, 129, 122, 124, 151, 136, 101</t>
  </si>
  <si>
    <t>7088, 7059, 7068, 7095, 7029, 7022, 7024, 7051, 7036, 7001, 0088, 0059, 0068, 0095, 0029, 0022, 0024, 0051, 0036, 0001</t>
  </si>
  <si>
    <t>188</t>
  </si>
  <si>
    <t>7188</t>
  </si>
  <si>
    <t>048, 094, 093, 059, 022, 068, 080, 036, 052, 095, 148, 194, 193, 159, 122, 168, 180, 136, 152, 195</t>
  </si>
  <si>
    <t>0048, 0094, 0093, 0059, 0022, 0068, 0080, 0036, 0052, 0095, 1048, 1094, 1093, 1059, 1022, 1068, 1080, 1036, 1052, 1095</t>
  </si>
  <si>
    <t>422</t>
  </si>
  <si>
    <t>6422</t>
  </si>
  <si>
    <t>024, 048, 029, 093, 059, 068, 051, 036, 052, 042, 124, 148, 129, 193, 159, 168, 151, 136, 152, 142</t>
  </si>
  <si>
    <t>0024, 0048, 0029, 0093, 0059, 0068, 0051, 0036, 0052, 0042, 1024, 1048, 1029, 1093, 1059, 1068, 1051, 1036, 1052, 1042</t>
  </si>
  <si>
    <t>332</t>
  </si>
  <si>
    <t>1332</t>
  </si>
  <si>
    <t>014, 048, 095, 046, 059, 093, 068, 069, 036, 052, 114, 148, 195, 146, 159, 193, 168, 169, 136, 152</t>
  </si>
  <si>
    <t>0014, 0048, 0095, 0046, 0059, 0093, 0068, 0069, 0036, 0052, 8014, 8048, 8095, 8046, 8059, 8093, 8068, 8069, 8036, 8052</t>
  </si>
  <si>
    <t>693</t>
  </si>
  <si>
    <t>4693</t>
  </si>
  <si>
    <t>024, 014, 087, 046, 029, 051, 069, 042, 078, 091, 124, 114, 187, 146, 129, 151, 169, 142, 178, 191</t>
  </si>
  <si>
    <t>0024, 0014, 0087, 0046, 0029, 0051, 0069, 0042, 0078, 0091, 5024, 5014, 5087, 5046, 5029, 5051, 5069, 5042, 5078, 5091</t>
  </si>
  <si>
    <t>988</t>
  </si>
  <si>
    <t>3988</t>
  </si>
  <si>
    <t>024, 048, 014, 069, 087, 046, 029, 051, 052, 042, 124, 148, 114, 169, 187, 146, 129, 151, 152, 142</t>
  </si>
  <si>
    <t>7024, 7048, 7014, 7069, 7087, 7046, 7029, 7051, 7052, 7042, 0024, 0048, 0014, 0069, 0087, 0046, 0029, 0051, 0052, 0042</t>
  </si>
  <si>
    <t>829</t>
  </si>
  <si>
    <t>3829</t>
  </si>
  <si>
    <t>024, 048, 052, 094, 080, 049, 042, 070, 008, 083, 124, 148, 152, 194, 180, 149, 142, 170, 108, 183</t>
  </si>
  <si>
    <t>7024, 7048, 7052, 7094, 7080, 7049, 7042, 7070, 7008, 7083, 0024, 0048, 0052, 0094, 0080, 0049, 0042, 0070, 0008, 0083</t>
  </si>
  <si>
    <t>514</t>
  </si>
  <si>
    <t>7514</t>
  </si>
  <si>
    <t>024, 048, 052, 070, 094, 080, 051, 049, 042, 057, 124, 148, 152, 170, 194, 180, 151, 149, 142, 157</t>
  </si>
  <si>
    <t>0024, 0048, 0052, 0070, 0094, 0080, 0051, 0049, 0042, 0057, 7024, 7048, 7052, 7070, 7094, 7080, 7051, 7049, 7042, 7057</t>
  </si>
  <si>
    <t>646</t>
  </si>
  <si>
    <t>8646</t>
  </si>
  <si>
    <t>048, 024, 052, 070, 094, 080, 051, 049, 057, 042, 148, 124, 152, 170, 194, 180, 151, 149, 157, 142</t>
  </si>
  <si>
    <t>6048, 6024, 6052, 6070, 6094, 6080, 6051, 6049, 6057, 6042, 0048, 0024, 0052, 0070, 0094, 0080, 0051, 0049, 0057, 0042</t>
  </si>
  <si>
    <t>594</t>
  </si>
  <si>
    <t>8594</t>
  </si>
  <si>
    <t>048, 052, 070, 080, 049, 057, 008, 053, 012, 030, 148, 152, 170, 180, 149, 157, 108, 153, 112, 130</t>
  </si>
  <si>
    <t>6048, 6052, 6070, 6080, 6049, 6057, 6008, 6053, 6012, 6030, 0048, 0052, 0070, 0080, 0049, 0057, 0008, 0053, 0012, 0030</t>
  </si>
  <si>
    <t>124</t>
  </si>
  <si>
    <t>1124</t>
  </si>
  <si>
    <t>048, 024, 052, 070, 051, 042, 057, 001, 074, 092, 148, 124, 152, 170, 151, 142, 157, 101, 174, 192</t>
  </si>
  <si>
    <t>0048, 0024, 0052, 0070, 0051, 0042, 0057, 0001, 0074, 0092, 6048, 6024, 6052, 6070, 6051, 6042, 6057, 6001, 6074, 6092</t>
  </si>
  <si>
    <t>495</t>
  </si>
  <si>
    <t>5495</t>
  </si>
  <si>
    <t>048, 070, 052, 080, 049, 008, 057, 030, 053, 012, 148, 170, 152, 180, 149, 108, 157, 130, 153, 112</t>
  </si>
  <si>
    <t>0048, 0070, 0052, 0080, 0049, 0008, 0057, 0030, 0053, 0012, 6048, 6070, 6052, 6080, 6049, 6008, 6057, 6030, 6053, 6012</t>
  </si>
  <si>
    <t>287</t>
  </si>
  <si>
    <t>5287</t>
  </si>
  <si>
    <t>048, 059, 068, 052, 070, 077, 057, 036, 081, 075, 148, 159, 168, 152, 170, 177, 157, 136, 181, 175</t>
  </si>
  <si>
    <t>0048, 0059, 0068, 0052, 0070, 0077, 0057, 0036, 0081, 0075, 6048, 6059, 6068, 6052, 6070, 6077, 6057, 6036, 6081, 6075</t>
  </si>
  <si>
    <t>969</t>
  </si>
  <si>
    <t>7969</t>
  </si>
  <si>
    <t>048, 024, 042, 070, 052, 051, 078, 057, 091, 037, 148, 124, 142, 170, 152, 151, 178, 157, 191, 137</t>
  </si>
  <si>
    <t>0048, 0024, 0042, 0070, 0052, 0051, 0078, 0057, 0091, 0037, 6048, 6024, 6042, 6070, 6052, 6051, 6078, 6057, 6091, 6037</t>
  </si>
  <si>
    <t>552</t>
  </si>
  <si>
    <t>7552</t>
  </si>
  <si>
    <t>148, 168, 159, 124, 136, 142, 170, 151, 177, 183, 248, 268, 259, 224, 236, 242, 270, 251, 277, 283</t>
  </si>
  <si>
    <t>0148, 0168, 0159, 0124, 0136, 0142, 0170, 0151, 0177, 0183, 6148, 6168, 6159, 6124, 6136, 6142, 6170, 6151, 6177, 6183</t>
  </si>
  <si>
    <t>770</t>
  </si>
  <si>
    <t>1770</t>
  </si>
  <si>
    <t>148, 151, 142, 124, 178, 101, 191, 155, 137, 119, 248, 251, 242, 224, 278, 201, 291, 255, 237, 219</t>
  </si>
  <si>
    <t>0148, 0151, 0142, 0124, 0178, 0101, 0191, 0155, 0137, 0119, 6148, 6151, 6142, 6124, 6178, 6101, 6191, 6155, 6137, 6119</t>
  </si>
  <si>
    <t>848</t>
  </si>
  <si>
    <t>6848</t>
  </si>
  <si>
    <t>151, 159, 168, 136, 142, 124, 101, 183, 113, 177, 351, 359, 368, 336, 342, 324, 301, 383, 313, 377</t>
  </si>
  <si>
    <t>0151, 0159, 0168, 0136, 0142, 0124, 0101, 0183, 0113, 0177, 5151, 5159, 5168, 5136, 5142, 5124, 5101, 5183, 5113, 5177</t>
  </si>
  <si>
    <t>759</t>
  </si>
  <si>
    <t>6759</t>
  </si>
  <si>
    <t>180, 168, 149, 136, 159, 178, 191, 155, 137, 108, 380, 368, 349, 336, 359, 378, 391, 355, 337, 308</t>
  </si>
  <si>
    <t>0180, 0168, 0149, 0136, 0159, 0178, 0191, 0155, 0137, 0108, 5180, 5168, 5149, 5136, 5159, 5178, 5191, 5155, 5137, 5108</t>
  </si>
  <si>
    <t>2124</t>
  </si>
  <si>
    <t>151, 149, 180, 136, 159, 168, 101, 142, 177, 108, 351, 349, 380, 336, 359, 368, 301, 342, 377, 308</t>
  </si>
  <si>
    <t>0151, 0149, 0180, 0136, 0159, 0168, 0101, 0142, 0177, 0108, 6151, 6149, 6180, 6136, 6159, 6168, 6101, 6142, 6177, 6108</t>
  </si>
  <si>
    <t>368</t>
  </si>
  <si>
    <t>0368</t>
  </si>
  <si>
    <t>178, 119, 159, 136, 177, 191, 155, 137, 181, 113, 278, 219, 259, 236, 277, 291, 255, 237, 281, 213</t>
  </si>
  <si>
    <t>0178, 0119, 0159, 0136, 0177, 0191, 0155, 0137, 0181, 0113, 6178, 6119, 6159, 6136, 6177, 6191, 6155, 6137, 6181, 6113</t>
  </si>
  <si>
    <t>342</t>
  </si>
  <si>
    <t>2342</t>
  </si>
  <si>
    <t>051, 080, 001, 030, 049, 008, 083, 053, 012, 017, 151, 180, 101, 130, 149, 108, 183, 153, 112, 117</t>
  </si>
  <si>
    <t>0051, 0080, 0001, 0030, 0049, 0008, 0083, 0053, 0012, 0017, 6051, 6080, 6001, 6030, 6049, 6008, 6083, 6053, 6012, 6017</t>
  </si>
  <si>
    <t>580</t>
  </si>
  <si>
    <t>0580</t>
  </si>
  <si>
    <t>177, 159, 151, 101, 192, 136, 190, 122, 145, 174, 277, 259, 251, 201, 292, 236, 290, 222, 245, 274</t>
  </si>
  <si>
    <t>0177, 0159, 0151, 0101, 0192, 0136, 0190, 0122, 0145, 0174, 6177, 6159, 6151, 6101, 6192, 6136, 6190, 6122, 6145, 6174</t>
  </si>
  <si>
    <t>336</t>
  </si>
  <si>
    <t>1336</t>
  </si>
  <si>
    <t>148, 178, 191, 149, 119, 157, 130, 137, 108, 153, 248, 278, 291, 249, 219, 257, 230, 237, 208, 253</t>
  </si>
  <si>
    <t>0148, 0178, 0191, 0149, 0119, 0157, 0130, 0137, 0108, 0153, 6148, 6178, 6191, 6149, 6119, 6157, 6130, 6137, 6108, 6153</t>
  </si>
  <si>
    <t>951</t>
  </si>
  <si>
    <t>1951</t>
  </si>
  <si>
    <t>178, 191, 149, 119, 130, 155, 108, 137, 153, 112, 278, 291, 249, 219, 230, 255, 208, 237, 253, 212</t>
  </si>
  <si>
    <t>0178, 0191, 0149, 0119, 0130, 0155, 0108, 0137, 0153, 0112, 6178, 6191, 6149, 6119, 6130, 6155, 6108, 6137, 6153, 6112</t>
  </si>
  <si>
    <t>249</t>
  </si>
  <si>
    <t>8249</t>
  </si>
  <si>
    <t>191, 108, 119, 177, 159, 130, 155, 181, 153, 112, 291, 208, 219, 277, 259, 230, 255, 281, 253, 212</t>
  </si>
  <si>
    <t>0191, 0108, 0119, 0177, 0159, 0130, 0155, 0181, 0153, 0112, 6191, 6108, 6119, 6177, 6159, 6130, 6155, 6181, 6153, 6112</t>
  </si>
  <si>
    <t>659</t>
  </si>
  <si>
    <t>6659</t>
  </si>
  <si>
    <t>191, 108, 153, 178, 119, 130, 155, 137, 112, 117, 291, 208, 253, 278, 219, 230, 255, 237, 212, 217</t>
  </si>
  <si>
    <t>0191, 0108, 0153, 0178, 0119, 0130, 0155, 0137, 0112, 0117, 7191, 7108, 7153, 7178, 7119, 7130, 7155, 7137, 7112, 7117</t>
  </si>
  <si>
    <t>619</t>
  </si>
  <si>
    <t>0619</t>
  </si>
  <si>
    <t>177, 108, 153, 130, 190, 185, 181, 112, 113, 117, 377, 308, 353, 330, 390, 385, 381, 312, 313, 317</t>
  </si>
  <si>
    <t>0177, 0108, 0153, 0130, 0190, 0185, 0181, 0112, 0113, 0117, 7177, 7108, 7153, 7130, 7190, 7185, 7181, 7112, 7113, 7117</t>
  </si>
  <si>
    <t>078</t>
  </si>
  <si>
    <t>0078</t>
  </si>
  <si>
    <t>148, 157, 177, 181, 175, 113, 190, 168, 145, 154, 348, 357, 377, 381, 375, 313, 390, 368, 345, 354</t>
  </si>
  <si>
    <t>7148, 7157, 7177, 7181, 7175, 7113, 7190, 7168, 7145, 7154, 6148, 6157, 6177, 6181, 6175, 6113, 6190, 6168, 6145, 6154</t>
  </si>
  <si>
    <t>5257</t>
  </si>
  <si>
    <t>155, 137, 101, 191, 183, 192, 133, 114, 174, 128, 355, 337, 301, 391, 383, 392, 333, 314, 374, 328</t>
  </si>
  <si>
    <t>7155, 7137, 7101, 7191, 7183, 7192, 7133, 7114, 7174, 7128, 6155, 6137, 6101, 6191, 6183, 6192, 6133, 6114, 6174, 6128</t>
  </si>
  <si>
    <t>148</t>
  </si>
  <si>
    <t>0148</t>
  </si>
  <si>
    <t>155, 137, 101, 183, 191, 192, 133, 174, 114, 128, 355, 337, 301, 383, 391, 392, 333, 374, 314, 328</t>
  </si>
  <si>
    <t>0155, 0137, 0101, 0183, 0191, 0192, 0133, 0174, 0114, 0128, 7155, 7137, 7101, 7183, 7191, 7192, 7133, 7174, 7114, 7128</t>
  </si>
  <si>
    <t>891</t>
  </si>
  <si>
    <t>7891</t>
  </si>
  <si>
    <t>101, 183, 148, 192, 175, 133, 174, 161, 147, 189, 201, 283, 248, 292, 275, 233, 274, 261, 247, 289</t>
  </si>
  <si>
    <t>8101, 8183, 8148, 8192, 8175, 8133, 8174, 8161, 8147, 8189, 0101, 0183, 0148, 0192, 0175, 0133, 0174, 0161, 0147, 0189</t>
  </si>
  <si>
    <t>3283</t>
  </si>
  <si>
    <t>101, 155, 192, 137, 174, 114, 147, 151, 124, 197, 301, 355, 392, 337, 374, 314, 347, 351, 324, 397</t>
  </si>
  <si>
    <t>2101, 2155, 2192, 2137, 2174, 2114, 2147, 2151, 2124, 2197, 8101, 8155, 8192, 8137, 8174, 8114, 8147, 8151, 8124, 8197</t>
  </si>
  <si>
    <t>408</t>
  </si>
  <si>
    <t>6408</t>
  </si>
  <si>
    <t>030, 077, 081, 012, 013, 053, 017, 048, 068, 090, 130, 177, 181, 112, 113, 153, 117, 148, 168, 190</t>
  </si>
  <si>
    <t>7030, 7077, 7081, 7012, 7013, 7053, 7017, 7048, 7068, 7090, 2030, 2077, 2081, 2012, 2013, 2053, 2017, 2048, 2068, 2090</t>
  </si>
  <si>
    <t>153</t>
  </si>
  <si>
    <t>8153</t>
  </si>
  <si>
    <t>077, 081, 013, 055, 037, 068, 054, 090, 022, 045, 177, 181, 113, 155, 137, 168, 154, 190, 122, 145</t>
  </si>
  <si>
    <t>4077, 4081, 4013, 4055, 4037, 4068, 4054, 4090, 4022, 4045, 7077, 7081, 7013, 7055, 7037, 7068, 7054, 7090, 7022, 7045</t>
  </si>
  <si>
    <t>037</t>
  </si>
  <si>
    <t>5037</t>
  </si>
  <si>
    <t>077, 081, 075, 013, 055, 048, 068, 045, 054, 090, 177, 181, 175, 113, 155, 148, 168, 145, 154, 190</t>
  </si>
  <si>
    <t>6077, 6081, 6075, 6013, 6055, 6048, 6068, 6045, 6054, 6090, 4077, 4081, 4075, 4013, 4055, 4048, 4068, 4045, 4054, 4090</t>
  </si>
  <si>
    <t>655</t>
  </si>
  <si>
    <t>7655</t>
  </si>
  <si>
    <t>101, 130, 177, 192, 181, 113, 168, 145, 154, 190, 301, 330, 377, 392, 381, 313, 368, 345, 354, 390</t>
  </si>
  <si>
    <t>6101, 6130, 6177, 6192, 6181, 6113, 6168, 6145, 6154, 6190, 4101, 4130, 4177, 4192, 4181, 4113, 4168, 4145, 4154, 4190</t>
  </si>
  <si>
    <t>4512</t>
  </si>
  <si>
    <t>114, 105, 191, 100, 141, 169, 164, 150, 155, 196, 214, 205, 291, 200, 241, 269, 264, 250, 255, 296</t>
  </si>
  <si>
    <t>6114, 6105, 6191, 6100, 6141, 6169, 6164, 6150, 6155, 6196, 8114, 8105, 8191, 8100, 8141, 8169, 8164, 8150, 8155, 8196</t>
  </si>
  <si>
    <t>413</t>
  </si>
  <si>
    <t>4413</t>
  </si>
  <si>
    <t>177, 101, 192, 190, 175, 181, 148, 168, 186, 145, 277, 201, 292, 290, 275, 281, 248, 268, 286, 245</t>
  </si>
  <si>
    <t>6177, 6101, 6192, 6190, 6175, 6181, 6148, 6168, 6186, 6145, 7177, 7101, 7192, 7190, 7175, 7181, 7148, 7168, 7186, 7145</t>
  </si>
  <si>
    <t>481</t>
  </si>
  <si>
    <t>6481</t>
  </si>
  <si>
    <t>130, 101, 192, 175, 148, 117, 174, 180, 185, 121, 230, 201, 292, 275, 248, 217, 274, 280, 285, 221</t>
  </si>
  <si>
    <t>7130, 7101, 7192, 7175, 7148, 7117, 7174, 7180, 7185, 7121, 8130, 8101, 8192, 8175, 8148, 8117, 8174, 8180, 8185, 8121</t>
  </si>
  <si>
    <t>601</t>
  </si>
  <si>
    <t>2601</t>
  </si>
  <si>
    <t>077, 092, 001, 090, 068, 086, 045, 074, 054, 033, 177, 192, 101, 190, 168, 186, 145, 174, 154, 133</t>
  </si>
  <si>
    <t>0077, 0092, 0001, 0090, 0068, 0086, 0045, 0074, 0054, 0033, 7077, 7092, 7001, 7090, 7068, 7086, 7045, 7074, 7054, 7033</t>
  </si>
  <si>
    <t>630</t>
  </si>
  <si>
    <t>0630</t>
  </si>
  <si>
    <t>077, 001, 033, 090, 092, 068, 086, 022, 045, 074, 177, 101, 133, 190, 192, 168, 186, 122, 145, 174</t>
  </si>
  <si>
    <t>0077, 0001, 0033, 0090, 0092, 0068, 0086, 0022, 0045, 0074, 7077, 7001, 7033, 7090, 7092, 7068, 7086, 7022, 7045, 7074</t>
  </si>
  <si>
    <t>177</t>
  </si>
  <si>
    <t>3177</t>
  </si>
  <si>
    <t>068, 077, 090, 075, 048, 086, 045, 014, 054, 061, 168, 177, 190, 175, 148, 186, 145, 114, 154, 161</t>
  </si>
  <si>
    <t>2068, 2077, 2090, 2075, 2048, 2086, 2045, 2014, 2054, 2061, 0068, 0077, 0090, 0075, 0048, 0086, 0045, 0014, 0054, 0061</t>
  </si>
  <si>
    <t>475</t>
  </si>
  <si>
    <t>1475</t>
  </si>
  <si>
    <t>033, 092, 048, 074, 014, 001, 028, 024, 078, 047, 133, 192, 148, 174, 114, 101, 128, 124, 178, 147</t>
  </si>
  <si>
    <t>8033, 8092, 8048, 8074, 8014, 8001, 8028, 8024, 8078, 8047, 2033, 2092, 2048, 2074, 2014, 2001, 2028, 2024, 2078, 2047</t>
  </si>
  <si>
    <t>692</t>
  </si>
  <si>
    <t>0692</t>
  </si>
  <si>
    <t>068, 086, 090, 077, 045, 014, 054, 063, 022, 005, 168, 186, 190, 177, 145, 114, 154, 163, 122, 105</t>
  </si>
  <si>
    <t>8068, 8086, 8090, 8077, 8045, 8014, 8054, 8063, 8022, 8005, 2068, 2086, 2090, 2077, 2045, 2014, 2054, 2063, 2022, 2005</t>
  </si>
  <si>
    <t>390</t>
  </si>
  <si>
    <t>5390</t>
  </si>
  <si>
    <t>017, 048, 061, 085, 062, 080, 014, 021, 030, 078, 117, 148, 161, 185, 162, 180, 114, 121, 130, 178</t>
  </si>
  <si>
    <t>2017, 2048, 2061, 2085, 2062, 2080, 2014, 2021, 2030, 2078, 8017, 8048, 8061, 8085, 8062, 8080, 8014, 8021, 8030, 8078</t>
  </si>
  <si>
    <t>901</t>
  </si>
  <si>
    <t>5901</t>
  </si>
  <si>
    <t>017, 068, 086, 085, 033, 062, 077, 045, 074, 080, 117, 168, 186, 185, 133, 162, 177, 145, 174, 180</t>
  </si>
  <si>
    <t>7017, 7068, 7086, 7085, 7033, 7062, 7077, 7045, 7074, 7080, 2017, 2068, 2086, 2085, 2033, 2062, 2077, 2045, 2074, 2080</t>
  </si>
  <si>
    <t>977</t>
  </si>
  <si>
    <t>7977</t>
  </si>
  <si>
    <t>017, 077, 054, 068, 086, 022, 085, 062, 045, 080, 117, 177, 154, 168, 186, 122, 185, 162, 145, 180</t>
  </si>
  <si>
    <t>2017, 2077, 2054, 2068, 2086, 2022, 2085, 2062, 2045, 2080, 8017, 8077, 8054, 8068, 8086, 8022, 8085, 8062, 8045, 8080</t>
  </si>
  <si>
    <t>385</t>
  </si>
  <si>
    <t>8385</t>
  </si>
  <si>
    <t>048, 045, 054, 068, 061, 086, 014, 077, 078, 063, 148, 145, 154, 168, 161, 186, 114, 177, 178, 163</t>
  </si>
  <si>
    <t>2048, 2045, 2054, 2068, 2061, 2086, 2014, 2077, 2078, 2063, 0048, 0045, 0054, 0068, 0061, 0086, 0014, 0077, 0078, 0063</t>
  </si>
  <si>
    <t>133</t>
  </si>
  <si>
    <t>6133</t>
  </si>
  <si>
    <t>017, 062, 074, 028, 080, 014, 051, 021, 024, 030, 117, 162, 174, 128, 180, 114, 151, 121, 124, 130</t>
  </si>
  <si>
    <t>2017, 2062, 2074, 2028, 2080, 2014, 2051, 2021, 2024, 2030, 4017, 4062, 4074, 4028, 4080, 4014, 4051, 4021, 4024, 4030</t>
  </si>
  <si>
    <t>268</t>
  </si>
  <si>
    <t>0268</t>
  </si>
  <si>
    <t>017, 021, 062, 080, 051, 030, 038, 074, 024, 065, 117, 121, 162, 180, 151, 130, 138, 174, 124, 165</t>
  </si>
  <si>
    <t>8017, 8021, 8062, 8080, 8051, 8030, 8038, 8074, 8024, 8065, 2017, 2021, 2062, 2080, 2051, 2030, 2038, 2074, 2024, 2065</t>
  </si>
  <si>
    <t>517</t>
  </si>
  <si>
    <t>6517</t>
  </si>
  <si>
    <t>080, 014, 021, 048, 062, 061, 017, 028, 030, 078, 180, 114, 121, 148, 162, 161, 117, 128, 130, 178</t>
  </si>
  <si>
    <t>8080, 8014, 8021, 8048, 8062, 8061, 8017, 8028, 8030, 8078, 2080, 2014, 2021, 2048, 2062, 2061, 2017, 2028, 2030, 2078</t>
  </si>
  <si>
    <t>648</t>
  </si>
  <si>
    <t>7648</t>
  </si>
  <si>
    <t>074, 014, 061, 028, 051, 024, 078, 047, 089, 023, 174, 114, 161, 128, 151, 124, 178, 147, 189, 123</t>
  </si>
  <si>
    <t>2074, 2014, 2061, 2028, 2051, 2024, 2078, 2047, 2089, 2023, 8074, 8014, 8061, 8028, 8051, 8024, 8078, 8047, 8089, 8023</t>
  </si>
  <si>
    <t>461</t>
  </si>
  <si>
    <t>3461</t>
  </si>
  <si>
    <t>074, 080, 021, 030, 062, 017, 051, 024, 094, 047, 174, 180, 121, 130, 162, 117, 151, 124, 194, 147</t>
  </si>
  <si>
    <t>2074, 2080, 2021, 2030, 2062, 2017, 2051, 2024, 2094, 2047, 0074, 0080, 0021, 0030, 0062, 0017, 0051, 0024, 0094, 0047</t>
  </si>
  <si>
    <t>377</t>
  </si>
  <si>
    <t>1377</t>
  </si>
  <si>
    <t>062, 074, 080, 021, 030, 086, 022, 045, 054, 017, 162, 174, 180, 121, 130, 186, 122, 145, 154, 117</t>
  </si>
  <si>
    <t>2062, 2074, 2080, 2021, 2030, 2086, 2022, 2045, 2054, 2017, 0062, 0074, 0080, 0021, 0030, 0086, 0022, 0045, 0054, 0017</t>
  </si>
  <si>
    <t>2754</t>
  </si>
  <si>
    <t>062, 080, 030, 014, 021, 017, 028, 078, 023, 005, 162, 180, 130, 114, 121, 117, 128, 178, 123, 105</t>
  </si>
  <si>
    <t>0062, 0080, 0030, 0014, 0021, 0017, 0028, 0078, 0023, 0005, 2062, 2080, 2030, 2014, 2021, 2017, 2028, 2078, 2023, 2005</t>
  </si>
  <si>
    <t>845</t>
  </si>
  <si>
    <t>2845</t>
  </si>
  <si>
    <t>022, 074, 063, 086, 014, 028, 023, 051, 027, 038, 122, 174, 163, 186, 114, 128, 123, 151, 127, 138</t>
  </si>
  <si>
    <t>0022, 0074, 0063, 0086, 0014, 0028, 0023, 0051, 0027, 0038, 8022, 8074, 8063, 8086, 8014, 8028, 8023, 8051, 8027, 8038</t>
  </si>
  <si>
    <t>814</t>
  </si>
  <si>
    <t>8814</t>
  </si>
  <si>
    <t>062, 074, 021, 017, 051, 024, 030, 094, 080, 047, 162, 174, 121, 117, 151, 124, 130, 194, 180, 147</t>
  </si>
  <si>
    <t>0062, 0074, 0021, 0017, 0051, 0024, 0030, 0094, 0080, 0047, 7062, 7074, 7021, 7017, 7051, 7024, 7030, 7094, 7080, 7047</t>
  </si>
  <si>
    <t>121</t>
  </si>
  <si>
    <t>4121</t>
  </si>
  <si>
    <t>086, 022, 063, 027, 068, 089, 093, 045, 057, 040, 186, 122, 163, 127, 168, 189, 193, 145, 157, 140</t>
  </si>
  <si>
    <t>0086, 0022, 0063, 0027, 0068, 0089, 0093, 0045, 0057, 0040, 7086, 7022, 7063, 7027, 7068, 7089, 7093, 7045, 7057, 7040</t>
  </si>
  <si>
    <t>380</t>
  </si>
  <si>
    <t>9380</t>
  </si>
  <si>
    <t>062, 030, 074, 017, 047, 051, 038, 024, 097, 094, 162, 130, 174, 117, 147, 151, 138, 124, 197, 194</t>
  </si>
  <si>
    <t>0062, 0030, 0074, 0017, 0047, 0051, 0038, 0024, 0097, 0094, 7062, 7030, 7074, 7017, 7047, 7051, 7038, 7024, 7097, 7094</t>
  </si>
  <si>
    <t>974</t>
  </si>
  <si>
    <t>0974</t>
  </si>
  <si>
    <t>086, 022, 051, 063, 047, 027, 038, 024, 068, 097, 186, 122, 151, 163, 147, 127, 138, 124, 168, 197</t>
  </si>
  <si>
    <t>7086, 7022, 7051, 7063, 7047, 7027, 7038, 7024, 7068, 7097, 0086, 0022, 0051, 0063, 0047, 0027, 0038, 0024, 0068, 0097</t>
  </si>
  <si>
    <t>230</t>
  </si>
  <si>
    <t>8230</t>
  </si>
  <si>
    <t>051, 024, 047, 089, 038, 093, 097, 048, 098, 079, 151, 124, 147, 189, 138, 193, 197, 148, 198, 179</t>
  </si>
  <si>
    <t>7051, 7024, 7047, 7089, 7038, 7093, 7097, 7048, 7098, 7079, 0051, 0024, 0047, 0089, 0038, 0093, 0097, 0048, 0098, 0079</t>
  </si>
  <si>
    <t>062</t>
  </si>
  <si>
    <t>2062</t>
  </si>
  <si>
    <t>086, 022, 028, 078, 063, 023, 027, 005, 068, 045, 186, 122, 128, 178, 163, 123, 127, 105, 168, 145</t>
  </si>
  <si>
    <t>7086, 7022, 7028, 7078, 7063, 7023, 7027, 7005, 7068, 7045, 0086, 0022, 0028, 0078, 0063, 0023, 0027, 0005, 0068, 0045</t>
  </si>
  <si>
    <t>022</t>
  </si>
  <si>
    <t>7022</t>
  </si>
  <si>
    <t>028, 078, 048, 017, 023, 089, 062, 049, 093, 005, 128, 178, 148, 117, 123, 189, 162, 149, 193, 105</t>
  </si>
  <si>
    <t>0028, 0078, 0048, 0017, 0023, 0089, 0062, 0049, 0093, 0005, 7028, 7078, 7048, 7017, 7023, 7089, 7062, 7049, 7093, 7005</t>
  </si>
  <si>
    <t>063</t>
  </si>
  <si>
    <t>4063</t>
  </si>
  <si>
    <t>017, 028, 051, 024, 078, 047, 023, 062, 049, 038, 117, 128, 151, 124, 178, 147, 123, 162, 149, 138</t>
  </si>
  <si>
    <t>0017, 0028, 0051, 0024, 0078, 0047, 0023, 0062, 0049, 0038, 7017, 7028, 7051, 7024, 7078, 7047, 7023, 7062, 7049, 7038</t>
  </si>
  <si>
    <t>186</t>
  </si>
  <si>
    <t>6186</t>
  </si>
  <si>
    <t>017, 028, 022, 027, 086, 078, 023, 062, 068, 049, 117, 128, 122, 127, 186, 178, 123, 162, 168, 149</t>
  </si>
  <si>
    <t>0017, 0028, 0022, 0027, 0086, 0078, 0023, 0062, 0068, 0049, 7017, 7028, 7022, 7027, 7086, 7078, 7023, 7062, 7068, 7049</t>
  </si>
  <si>
    <t>878</t>
  </si>
  <si>
    <t>6878</t>
  </si>
  <si>
    <t>028, 051, 024, 047, 023, 038, 097, 005, 082, 091, 128, 151, 124, 147, 123, 138, 197, 105, 182, 191</t>
  </si>
  <si>
    <t>0028, 0051, 0024, 0047, 0023, 0038, 0097, 0005, 0082, 0091, 7028, 7051, 7024, 7047, 7023, 7038, 7097, 7005, 7082, 7091</t>
  </si>
  <si>
    <t>286</t>
  </si>
  <si>
    <t>8286</t>
  </si>
  <si>
    <t>017, 094, 048, 089, 062, 049, 093, 057, 098, 007, 117, 194, 148, 189, 162, 149, 193, 157, 198, 107</t>
  </si>
  <si>
    <t>0017, 0094, 0048, 0089, 0062, 0049, 0093, 0057, 0098, 0007, 7017, 7094, 7048, 7089, 7062, 7049, 7093, 7057, 7098, 7007</t>
  </si>
  <si>
    <t>151</t>
  </si>
  <si>
    <t>7151</t>
  </si>
  <si>
    <t>027, 038, 093, 022, 024, 048, 047, 089, 068, 097, 227, 238, 293, 222, 224, 248, 247, 289, 268, 297</t>
  </si>
  <si>
    <t>0027, 0038, 0093, 0022, 0024, 0048, 0047, 0089, 0068, 0097, 2027, 2038, 2093, 2022, 2024, 2048, 2047, 2089, 2068, 2097</t>
  </si>
  <si>
    <t>824</t>
  </si>
  <si>
    <t>9824</t>
  </si>
  <si>
    <t>038, 094, 017, 047, 062, 049, 097, 079, 074, 065, 238, 294, 217, 247, 262, 249, 297, 279, 274, 265</t>
  </si>
  <si>
    <t>0038, 0094, 0017, 0047, 0062, 0049, 0097, 0079, 0074, 0065, 2038, 2094, 2017, 2047, 2062, 2049, 2097, 2079, 2074, 2065</t>
  </si>
  <si>
    <t>0128</t>
  </si>
  <si>
    <t>023, 062, 094, 017, 049, 005, 082, 091, 028, 076, 223, 262, 294, 217, 249, 205, 282, 291, 228, 276</t>
  </si>
  <si>
    <t>0023, 0062, 0094, 0017, 0049, 0005, 0082, 0091, 0028, 0076, 2023, 2062, 2094, 2017, 2049, 2005, 2082, 2091, 2028, 2076</t>
  </si>
  <si>
    <t>522</t>
  </si>
  <si>
    <t>4522</t>
  </si>
  <si>
    <t>089, 062, 093, 094, 017, 048, 047, 049, 038, 097, 289, 262, 293, 294, 217, 248, 247, 249, 238, 297</t>
  </si>
  <si>
    <t>0089, 0062, 0093, 0094, 0017, 0048, 0047, 0049, 0038, 0097, 2089, 2062, 2093, 2094, 2017, 2048, 2047, 2049, 2038, 2097</t>
  </si>
  <si>
    <t>817</t>
  </si>
  <si>
    <t>2817</t>
  </si>
  <si>
    <t>047, 089, 023, 093, 038, 048, 097, 005, 057, 082, 247, 289, 223, 293, 238, 248, 297, 205, 257, 282</t>
  </si>
  <si>
    <t>0047, 0089, 0023, 0093, 0038, 0048, 0097, 0005, 0057, 0082, 7047, 7089, 7023, 7093, 7038, 7048, 7097, 7005, 7057, 7082</t>
  </si>
  <si>
    <t>027</t>
  </si>
  <si>
    <t>8027</t>
  </si>
  <si>
    <t>089, 093, 048, 068, 045, 057, 040, 098, 007, 016, 289, 293, 248, 268, 245, 257, 240, 298, 207, 216</t>
  </si>
  <si>
    <t>0089, 0093, 0048, 0068, 0045, 0057, 0040, 0098, 0007, 0016, 7089, 7093, 7048, 7068, 7045, 7057, 7040, 7098, 7007, 7016</t>
  </si>
  <si>
    <t>894</t>
  </si>
  <si>
    <t>1894</t>
  </si>
  <si>
    <t>047, 089, 097, 093, 038, 048, 068, 045, 040, 098, 247, 289, 297, 293, 238, 248, 268, 245, 240, 298</t>
  </si>
  <si>
    <t>0047, 0089, 0097, 0093, 0038, 0048, 0068, 0045, 0040, 0098, 7047, 7089, 7097, 7093, 7038, 7048, 7068, 7045, 7040, 7098</t>
  </si>
  <si>
    <t>2438</t>
  </si>
  <si>
    <t>089, 005, 023, 093, 048, 068, 045, 082, 040, 091, 289, 205, 223, 293, 248, 268, 245, 282, 240, 291</t>
  </si>
  <si>
    <t>0089, 0005, 0023, 0093, 0048, 0068, 0045, 0082, 0040, 0091, 7089, 7005, 7023, 7093, 7048, 7068, 7045, 7082, 7040, 7091</t>
  </si>
  <si>
    <t>793</t>
  </si>
  <si>
    <t>7793</t>
  </si>
  <si>
    <t>048, 047, 005, 097, 089, 023, 057, 082, 098, 091, 248, 247, 205, 297, 289, 223, 257, 282, 298, 291</t>
  </si>
  <si>
    <t>0048, 0047, 0005, 0097, 0089, 0023, 0057, 0082, 0098, 0091, 7048, 7047, 7005, 7097, 7089, 7023, 7057, 7082, 7098, 7091</t>
  </si>
  <si>
    <t>523</t>
  </si>
  <si>
    <t>9523</t>
  </si>
  <si>
    <t>068, 005, 097, 047, 045, 082, 040, 091, 079, 074, 268, 205, 297, 247, 245, 282, 240, 291, 279, 274</t>
  </si>
  <si>
    <t>0068, 0005, 0097, 0047, 0045, 0082, 0040, 0091, 0079, 0074, 7068, 7005, 7097, 7047, 7045, 7082, 7040, 7091, 7079, 7074</t>
  </si>
  <si>
    <t>162</t>
  </si>
  <si>
    <t>0162</t>
  </si>
  <si>
    <t>048, 097, 047, 005, 089, 082, 091, 079, 098, 074, 248, 297, 247, 205, 289, 282, 291, 279, 298, 274</t>
  </si>
  <si>
    <t>0048, 0097, 0047, 0005, 0089, 0082, 0091, 0079, 0098, 0074, 7048, 7097, 7047, 7005, 7089, 7082, 7091, 7079, 7098, 7074</t>
  </si>
  <si>
    <t>389</t>
  </si>
  <si>
    <t>4389</t>
  </si>
  <si>
    <t>097, 005, 047, 082, 091, 079, 074, 065, 028, 032, 297, 205, 247, 282, 291, 279, 274, 265, 228, 232</t>
  </si>
  <si>
    <t>0097, 0005, 0047, 0082, 0091, 0079, 0074, 0065, 0028, 0032, 7097, 7005, 7047, 7082, 7091, 7079, 7074, 7065, 7028, 7032</t>
  </si>
  <si>
    <t>447</t>
  </si>
  <si>
    <t>8447</t>
  </si>
  <si>
    <t>048, 097, 098, 079, 074, 065, 047, 007, 016, 088, 248, 297, 298, 279, 274, 265, 247, 207, 216, 288</t>
  </si>
  <si>
    <t>0048, 0097, 0098, 0079, 0074, 0065, 0047, 0007, 0016, 0088, 7048, 7097, 7098, 7079, 7074, 7065, 7047, 7007, 7016, 7088</t>
  </si>
  <si>
    <t>0505</t>
  </si>
  <si>
    <t>068, 048, 045, 040, 098, 007, 016, 086, 009, 011, 268, 248, 245, 240, 298, 207, 216, 286, 209, 211</t>
  </si>
  <si>
    <t>7068, 7048, 7045, 7040, 7098, 7007, 7016, 7086, 7009, 7011, 5068, 5048, 5045, 5040, 5098, 5007, 5016, 5086, 5009, 5011</t>
  </si>
  <si>
    <t>397</t>
  </si>
  <si>
    <t>2397</t>
  </si>
  <si>
    <t>082, 091, 079, 074, 065, 028, 047, 088, 032, 023, 282, 291, 279, 274, 265, 228, 247, 288, 232, 223</t>
  </si>
  <si>
    <t>7082, 7091, 7079, 7074, 7065, 7028, 7047, 7088, 7032, 7023, 5082, 5091, 5079, 5074, 5065, 5028, 5047, 5088, 5032, 5023</t>
  </si>
  <si>
    <t>949</t>
  </si>
  <si>
    <t>0949</t>
  </si>
  <si>
    <t>079, 074, 047, 088, 092, 083, 038, 042, 024, 029, 279, 274, 247, 288, 292, 283, 238, 242, 224, 229</t>
  </si>
  <si>
    <t>7079, 7074, 7047, 7088, 7092, 7083, 7038, 7042, 7024, 7029, 5079, 5074, 5047, 5088, 5092, 5083, 5038, 5042, 5024, 5029</t>
  </si>
  <si>
    <t>748</t>
  </si>
  <si>
    <t>5748</t>
  </si>
  <si>
    <t>082, 048, 091, 098, 028, 007, 016, 032, 023, 011, 582, 548, 591, 598, 528, 507, 516, 532, 523, 511</t>
  </si>
  <si>
    <t>7082, 7048, 7091, 7098, 7028, 7007, 7016, 7032, 7023, 7011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</si>
</sst>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F4E78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pane ySplit="2" topLeftCell="A54" activePane="bottomLeft" state="frozen"/>
      <selection pane="bottomLeft" activeCell="G67" sqref="G67"/>
    </sheetView>
  </sheetViews>
  <sheetFormatPr defaultRowHeight="15" x14ac:dyDescent="0.25"/>
  <cols>
    <col min="1" max="1" width="15" customWidth="1"/>
    <col min="2" max="2" width="18" customWidth="1"/>
    <col min="3" max="10" width="26" customWidth="1"/>
  </cols>
  <sheetData>
    <row r="1" spans="1:10" ht="4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3">
        <v>1950</v>
      </c>
      <c r="D2" s="3" t="s">
        <v>12</v>
      </c>
      <c r="E2" s="3" t="s">
        <v>13</v>
      </c>
      <c r="F2" s="3" t="s">
        <v>14</v>
      </c>
      <c r="G2" s="3">
        <v>3489</v>
      </c>
      <c r="H2" s="3" t="s">
        <v>15</v>
      </c>
      <c r="I2" s="3" t="e">
        <f ca="1">_xludf.TEXTJOIN(" ", TRUE, I3:I102)</f>
        <v>#NAME?</v>
      </c>
      <c r="J2" s="3" t="e">
        <f ca="1">_xludf.TEXTJOIN(" ", TRUE, J3:J102)</f>
        <v>#NAME?</v>
      </c>
    </row>
    <row r="3" spans="1:10" x14ac:dyDescent="0.25">
      <c r="A3" s="2">
        <v>1</v>
      </c>
      <c r="B3" s="2" t="s">
        <v>16</v>
      </c>
      <c r="C3" s="3">
        <f t="shared" ref="C3:C34" si="0">MOD(VALUE(LEFT(B3,1))+VALUE(RIGHT(B3,1)), 10)</f>
        <v>0</v>
      </c>
      <c r="D3" s="3" t="str">
        <f t="shared" ref="D3:D34" si="1">IF(ISNUMBER(SEARCH(TEXT(C3,"0"),$C$2)), "ĐÚNG TỔNG", "KHÔNG")</f>
        <v>ĐÚNG TỔNG</v>
      </c>
      <c r="E3" s="3" t="str">
        <f>IF(ISNUMBER(SEARCH(TEXT(C3,"0"), Du_Lieu_2026!$F$2 &amp; Du_Lieu_2026!$I$2 &amp; Du_Lieu_2026!$L$2 &amp; Du_Lieu_2026!$O$2)), "CÓ G7", "---")</f>
        <v>CÓ G7</v>
      </c>
      <c r="F3" s="3" t="str">
        <f t="shared" ref="F3:F34" si="2">IF(E3="CÓ G7", "CÓ NGUỒN", "---")</f>
        <v>CÓ NGUỒN</v>
      </c>
      <c r="G3" s="3" t="str">
        <f t="shared" ref="G3:G34" si="3">IF(OR(ISNUMBER(SEARCH(LEFT(B3,1),$G$2)), ISNUMBER(SEARCH(RIGHT(B3,1),$G$2))), "ĐÚNG CHẠM", "KHÔNG")</f>
        <v>KHÔNG</v>
      </c>
      <c r="H3" s="3">
        <f t="shared" ref="H3:H34" si="4">IF(D3="ĐÚNG TỔNG", 15, 0) + IF(G3="ĐÚNG CHẠM", 15, 0) + IF(E3="CÓ G7", 10, 0) + (100-ROW())/1000</f>
        <v>25.097000000000001</v>
      </c>
      <c r="I3" s="3" t="str">
        <f t="shared" ref="I3:I34" si="5">IF(RANK(H3,$H$3:$H$102)&lt;=20, B3, "")</f>
        <v/>
      </c>
      <c r="J3" s="3" t="str">
        <f t="shared" ref="J3:J34" si="6">IF(AND(D3="ĐÚNG TỔNG", G3="ĐÚNG CHẠM", RANK(H3,$H$3:$H$102)&lt;=10), B3, "")</f>
        <v/>
      </c>
    </row>
    <row r="4" spans="1:10" x14ac:dyDescent="0.25">
      <c r="A4" s="2">
        <v>2</v>
      </c>
      <c r="B4" s="2" t="s">
        <v>17</v>
      </c>
      <c r="C4" s="3">
        <f t="shared" si="0"/>
        <v>1</v>
      </c>
      <c r="D4" s="3" t="str">
        <f t="shared" si="1"/>
        <v>ĐÚNG TỔNG</v>
      </c>
      <c r="E4" s="3" t="str">
        <f>IF(ISNUMBER(SEARCH(TEXT(C4,"0"), Du_Lieu_2026!$F$2 &amp; Du_Lieu_2026!$I$2 &amp; Du_Lieu_2026!$L$2 &amp; Du_Lieu_2026!$O$2)), "CÓ G7", "---")</f>
        <v>---</v>
      </c>
      <c r="F4" s="3" t="str">
        <f t="shared" si="2"/>
        <v>---</v>
      </c>
      <c r="G4" s="3" t="str">
        <f t="shared" si="3"/>
        <v>KHÔNG</v>
      </c>
      <c r="H4" s="3">
        <f t="shared" si="4"/>
        <v>15.096</v>
      </c>
      <c r="I4" s="3" t="str">
        <f t="shared" si="5"/>
        <v/>
      </c>
      <c r="J4" s="3" t="str">
        <f t="shared" si="6"/>
        <v/>
      </c>
    </row>
    <row r="5" spans="1:10" x14ac:dyDescent="0.25">
      <c r="A5" s="2">
        <v>3</v>
      </c>
      <c r="B5" s="2" t="s">
        <v>18</v>
      </c>
      <c r="C5" s="3">
        <f t="shared" si="0"/>
        <v>2</v>
      </c>
      <c r="D5" s="3" t="str">
        <f t="shared" si="1"/>
        <v>KHÔNG</v>
      </c>
      <c r="E5" s="3" t="str">
        <f>IF(ISNUMBER(SEARCH(TEXT(C5,"0"), Du_Lieu_2026!$F$2 &amp; Du_Lieu_2026!$I$2 &amp; Du_Lieu_2026!$L$2 &amp; Du_Lieu_2026!$O$2)), "CÓ G7", "---")</f>
        <v>CÓ G7</v>
      </c>
      <c r="F5" s="3" t="str">
        <f t="shared" si="2"/>
        <v>CÓ NGUỒN</v>
      </c>
      <c r="G5" s="3" t="str">
        <f t="shared" si="3"/>
        <v>KHÔNG</v>
      </c>
      <c r="H5" s="3">
        <f t="shared" si="4"/>
        <v>10.095000000000001</v>
      </c>
      <c r="I5" s="3" t="str">
        <f t="shared" si="5"/>
        <v/>
      </c>
      <c r="J5" s="3" t="str">
        <f t="shared" si="6"/>
        <v/>
      </c>
    </row>
    <row r="6" spans="1:10" x14ac:dyDescent="0.25">
      <c r="A6" s="2">
        <v>4</v>
      </c>
      <c r="B6" s="2" t="s">
        <v>19</v>
      </c>
      <c r="C6" s="3">
        <f t="shared" si="0"/>
        <v>3</v>
      </c>
      <c r="D6" s="3" t="str">
        <f t="shared" si="1"/>
        <v>KHÔNG</v>
      </c>
      <c r="E6" s="3" t="str">
        <f>IF(ISNUMBER(SEARCH(TEXT(C6,"0"), Du_Lieu_2026!$F$2 &amp; Du_Lieu_2026!$I$2 &amp; Du_Lieu_2026!$L$2 &amp; Du_Lieu_2026!$O$2)), "CÓ G7", "---")</f>
        <v>CÓ G7</v>
      </c>
      <c r="F6" s="3" t="str">
        <f t="shared" si="2"/>
        <v>CÓ NGUỒN</v>
      </c>
      <c r="G6" s="3" t="str">
        <f t="shared" si="3"/>
        <v>ĐÚNG CHẠM</v>
      </c>
      <c r="H6" s="3">
        <f t="shared" si="4"/>
        <v>25.094000000000001</v>
      </c>
      <c r="I6" s="3" t="str">
        <f t="shared" si="5"/>
        <v/>
      </c>
      <c r="J6" s="3" t="str">
        <f t="shared" si="6"/>
        <v/>
      </c>
    </row>
    <row r="7" spans="1:10" x14ac:dyDescent="0.25">
      <c r="A7" s="2">
        <v>5</v>
      </c>
      <c r="B7" s="2" t="s">
        <v>20</v>
      </c>
      <c r="C7" s="3">
        <f t="shared" si="0"/>
        <v>4</v>
      </c>
      <c r="D7" s="3" t="str">
        <f t="shared" si="1"/>
        <v>KHÔNG</v>
      </c>
      <c r="E7" s="3" t="str">
        <f>IF(ISNUMBER(SEARCH(TEXT(C7,"0"), Du_Lieu_2026!$F$2 &amp; Du_Lieu_2026!$I$2 &amp; Du_Lieu_2026!$L$2 &amp; Du_Lieu_2026!$O$2)), "CÓ G7", "---")</f>
        <v>---</v>
      </c>
      <c r="F7" s="3" t="str">
        <f t="shared" si="2"/>
        <v>---</v>
      </c>
      <c r="G7" s="3" t="str">
        <f t="shared" si="3"/>
        <v>ĐÚNG CHẠM</v>
      </c>
      <c r="H7" s="3">
        <f t="shared" si="4"/>
        <v>15.093</v>
      </c>
      <c r="I7" s="3" t="str">
        <f t="shared" si="5"/>
        <v/>
      </c>
      <c r="J7" s="3" t="str">
        <f t="shared" si="6"/>
        <v/>
      </c>
    </row>
    <row r="8" spans="1:10" x14ac:dyDescent="0.25">
      <c r="A8" s="2">
        <v>6</v>
      </c>
      <c r="B8" s="2" t="s">
        <v>21</v>
      </c>
      <c r="C8" s="3">
        <f t="shared" si="0"/>
        <v>5</v>
      </c>
      <c r="D8" s="3" t="str">
        <f t="shared" si="1"/>
        <v>ĐÚNG TỔNG</v>
      </c>
      <c r="E8" s="3" t="str">
        <f>IF(ISNUMBER(SEARCH(TEXT(C8,"0"), Du_Lieu_2026!$F$2 &amp; Du_Lieu_2026!$I$2 &amp; Du_Lieu_2026!$L$2 &amp; Du_Lieu_2026!$O$2)), "CÓ G7", "---")</f>
        <v>CÓ G7</v>
      </c>
      <c r="F8" s="3" t="str">
        <f t="shared" si="2"/>
        <v>CÓ NGUỒN</v>
      </c>
      <c r="G8" s="3" t="str">
        <f t="shared" si="3"/>
        <v>KHÔNG</v>
      </c>
      <c r="H8" s="3">
        <f t="shared" si="4"/>
        <v>25.091999999999999</v>
      </c>
      <c r="I8" s="3" t="str">
        <f t="shared" si="5"/>
        <v/>
      </c>
      <c r="J8" s="3" t="str">
        <f t="shared" si="6"/>
        <v/>
      </c>
    </row>
    <row r="9" spans="1:10" x14ac:dyDescent="0.25">
      <c r="A9" s="2">
        <v>7</v>
      </c>
      <c r="B9" s="2" t="s">
        <v>22</v>
      </c>
      <c r="C9" s="3">
        <f t="shared" si="0"/>
        <v>6</v>
      </c>
      <c r="D9" s="3" t="str">
        <f t="shared" si="1"/>
        <v>KHÔNG</v>
      </c>
      <c r="E9" s="3" t="str">
        <f>IF(ISNUMBER(SEARCH(TEXT(C9,"0"), Du_Lieu_2026!$F$2 &amp; Du_Lieu_2026!$I$2 &amp; Du_Lieu_2026!$L$2 &amp; Du_Lieu_2026!$O$2)), "CÓ G7", "---")</f>
        <v>---</v>
      </c>
      <c r="F9" s="3" t="str">
        <f t="shared" si="2"/>
        <v>---</v>
      </c>
      <c r="G9" s="3" t="str">
        <f t="shared" si="3"/>
        <v>KHÔNG</v>
      </c>
      <c r="H9" s="3">
        <f t="shared" si="4"/>
        <v>9.0999999999999998E-2</v>
      </c>
      <c r="I9" s="3" t="str">
        <f t="shared" si="5"/>
        <v/>
      </c>
      <c r="J9" s="3" t="str">
        <f t="shared" si="6"/>
        <v/>
      </c>
    </row>
    <row r="10" spans="1:10" x14ac:dyDescent="0.25">
      <c r="A10" s="2">
        <v>8</v>
      </c>
      <c r="B10" s="2" t="s">
        <v>23</v>
      </c>
      <c r="C10" s="3">
        <f t="shared" si="0"/>
        <v>7</v>
      </c>
      <c r="D10" s="3" t="str">
        <f t="shared" si="1"/>
        <v>KHÔNG</v>
      </c>
      <c r="E10" s="3" t="str">
        <f>IF(ISNUMBER(SEARCH(TEXT(C10,"0"), Du_Lieu_2026!$F$2 &amp; Du_Lieu_2026!$I$2 &amp; Du_Lieu_2026!$L$2 &amp; Du_Lieu_2026!$O$2)), "CÓ G7", "---")</f>
        <v>CÓ G7</v>
      </c>
      <c r="F10" s="3" t="str">
        <f t="shared" si="2"/>
        <v>CÓ NGUỒN</v>
      </c>
      <c r="G10" s="3" t="str">
        <f t="shared" si="3"/>
        <v>KHÔNG</v>
      </c>
      <c r="H10" s="3">
        <f t="shared" si="4"/>
        <v>10.09</v>
      </c>
      <c r="I10" s="3" t="str">
        <f t="shared" si="5"/>
        <v/>
      </c>
      <c r="J10" s="3" t="str">
        <f t="shared" si="6"/>
        <v/>
      </c>
    </row>
    <row r="11" spans="1:10" x14ac:dyDescent="0.25">
      <c r="A11" s="2">
        <v>9</v>
      </c>
      <c r="B11" s="2" t="s">
        <v>24</v>
      </c>
      <c r="C11" s="3">
        <f t="shared" si="0"/>
        <v>8</v>
      </c>
      <c r="D11" s="3" t="str">
        <f t="shared" si="1"/>
        <v>KHÔNG</v>
      </c>
      <c r="E11" s="3" t="str">
        <f>IF(ISNUMBER(SEARCH(TEXT(C11,"0"), Du_Lieu_2026!$F$2 &amp; Du_Lieu_2026!$I$2 &amp; Du_Lieu_2026!$L$2 &amp; Du_Lieu_2026!$O$2)), "CÓ G7", "---")</f>
        <v>CÓ G7</v>
      </c>
      <c r="F11" s="3" t="str">
        <f t="shared" si="2"/>
        <v>CÓ NGUỒN</v>
      </c>
      <c r="G11" s="3" t="str">
        <f t="shared" si="3"/>
        <v>ĐÚNG CHẠM</v>
      </c>
      <c r="H11" s="3">
        <f t="shared" si="4"/>
        <v>25.088999999999999</v>
      </c>
      <c r="I11" s="3" t="str">
        <f t="shared" si="5"/>
        <v/>
      </c>
      <c r="J11" s="3" t="str">
        <f t="shared" si="6"/>
        <v/>
      </c>
    </row>
    <row r="12" spans="1:10" x14ac:dyDescent="0.25">
      <c r="A12" s="2">
        <v>10</v>
      </c>
      <c r="B12" s="2" t="s">
        <v>25</v>
      </c>
      <c r="C12" s="3">
        <f t="shared" si="0"/>
        <v>9</v>
      </c>
      <c r="D12" s="3" t="str">
        <f t="shared" si="1"/>
        <v>ĐÚNG TỔNG</v>
      </c>
      <c r="E12" s="3" t="str">
        <f>IF(ISNUMBER(SEARCH(TEXT(C12,"0"), Du_Lieu_2026!$F$2 &amp; Du_Lieu_2026!$I$2 &amp; Du_Lieu_2026!$L$2 &amp; Du_Lieu_2026!$O$2)), "CÓ G7", "---")</f>
        <v>---</v>
      </c>
      <c r="F12" s="3" t="str">
        <f t="shared" si="2"/>
        <v>---</v>
      </c>
      <c r="G12" s="3" t="str">
        <f t="shared" si="3"/>
        <v>ĐÚNG CHẠM</v>
      </c>
      <c r="H12" s="3">
        <f t="shared" si="4"/>
        <v>30.088000000000001</v>
      </c>
      <c r="I12" s="3" t="str">
        <f t="shared" si="5"/>
        <v>09</v>
      </c>
      <c r="J12" s="3" t="str">
        <f t="shared" si="6"/>
        <v/>
      </c>
    </row>
    <row r="13" spans="1:10" x14ac:dyDescent="0.25">
      <c r="A13" s="2">
        <v>11</v>
      </c>
      <c r="B13" s="2" t="s">
        <v>26</v>
      </c>
      <c r="C13" s="3">
        <f t="shared" si="0"/>
        <v>1</v>
      </c>
      <c r="D13" s="3" t="str">
        <f t="shared" si="1"/>
        <v>ĐÚNG TỔNG</v>
      </c>
      <c r="E13" s="3" t="str">
        <f>IF(ISNUMBER(SEARCH(TEXT(C13,"0"), Du_Lieu_2026!$F$2 &amp; Du_Lieu_2026!$I$2 &amp; Du_Lieu_2026!$L$2 &amp; Du_Lieu_2026!$O$2)), "CÓ G7", "---")</f>
        <v>---</v>
      </c>
      <c r="F13" s="3" t="str">
        <f t="shared" si="2"/>
        <v>---</v>
      </c>
      <c r="G13" s="3" t="str">
        <f t="shared" si="3"/>
        <v>KHÔNG</v>
      </c>
      <c r="H13" s="3">
        <f t="shared" si="4"/>
        <v>15.087</v>
      </c>
      <c r="I13" s="3" t="str">
        <f t="shared" si="5"/>
        <v/>
      </c>
      <c r="J13" s="3" t="str">
        <f t="shared" si="6"/>
        <v/>
      </c>
    </row>
    <row r="14" spans="1:10" x14ac:dyDescent="0.25">
      <c r="A14" s="2">
        <v>12</v>
      </c>
      <c r="B14" s="2" t="s">
        <v>27</v>
      </c>
      <c r="C14" s="3">
        <f t="shared" si="0"/>
        <v>2</v>
      </c>
      <c r="D14" s="3" t="str">
        <f t="shared" si="1"/>
        <v>KHÔNG</v>
      </c>
      <c r="E14" s="3" t="str">
        <f>IF(ISNUMBER(SEARCH(TEXT(C14,"0"), Du_Lieu_2026!$F$2 &amp; Du_Lieu_2026!$I$2 &amp; Du_Lieu_2026!$L$2 &amp; Du_Lieu_2026!$O$2)), "CÓ G7", "---")</f>
        <v>CÓ G7</v>
      </c>
      <c r="F14" s="3" t="str">
        <f t="shared" si="2"/>
        <v>CÓ NGUỒN</v>
      </c>
      <c r="G14" s="3" t="str">
        <f t="shared" si="3"/>
        <v>KHÔNG</v>
      </c>
      <c r="H14" s="3">
        <f t="shared" si="4"/>
        <v>10.086</v>
      </c>
      <c r="I14" s="3" t="str">
        <f t="shared" si="5"/>
        <v/>
      </c>
      <c r="J14" s="3" t="str">
        <f t="shared" si="6"/>
        <v/>
      </c>
    </row>
    <row r="15" spans="1:10" x14ac:dyDescent="0.25">
      <c r="A15" s="2">
        <v>13</v>
      </c>
      <c r="B15" s="2" t="s">
        <v>28</v>
      </c>
      <c r="C15" s="3">
        <f t="shared" si="0"/>
        <v>3</v>
      </c>
      <c r="D15" s="3" t="str">
        <f t="shared" si="1"/>
        <v>KHÔNG</v>
      </c>
      <c r="E15" s="3" t="str">
        <f>IF(ISNUMBER(SEARCH(TEXT(C15,"0"), Du_Lieu_2026!$F$2 &amp; Du_Lieu_2026!$I$2 &amp; Du_Lieu_2026!$L$2 &amp; Du_Lieu_2026!$O$2)), "CÓ G7", "---")</f>
        <v>CÓ G7</v>
      </c>
      <c r="F15" s="3" t="str">
        <f t="shared" si="2"/>
        <v>CÓ NGUỒN</v>
      </c>
      <c r="G15" s="3" t="str">
        <f t="shared" si="3"/>
        <v>KHÔNG</v>
      </c>
      <c r="H15" s="3">
        <f t="shared" si="4"/>
        <v>10.085000000000001</v>
      </c>
      <c r="I15" s="3" t="str">
        <f t="shared" si="5"/>
        <v/>
      </c>
      <c r="J15" s="3" t="str">
        <f t="shared" si="6"/>
        <v/>
      </c>
    </row>
    <row r="16" spans="1:10" x14ac:dyDescent="0.25">
      <c r="A16" s="2">
        <v>14</v>
      </c>
      <c r="B16" s="2" t="s">
        <v>29</v>
      </c>
      <c r="C16" s="3">
        <f t="shared" si="0"/>
        <v>4</v>
      </c>
      <c r="D16" s="3" t="str">
        <f t="shared" si="1"/>
        <v>KHÔNG</v>
      </c>
      <c r="E16" s="3" t="str">
        <f>IF(ISNUMBER(SEARCH(TEXT(C16,"0"), Du_Lieu_2026!$F$2 &amp; Du_Lieu_2026!$I$2 &amp; Du_Lieu_2026!$L$2 &amp; Du_Lieu_2026!$O$2)), "CÓ G7", "---")</f>
        <v>---</v>
      </c>
      <c r="F16" s="3" t="str">
        <f t="shared" si="2"/>
        <v>---</v>
      </c>
      <c r="G16" s="3" t="str">
        <f t="shared" si="3"/>
        <v>ĐÚNG CHẠM</v>
      </c>
      <c r="H16" s="3">
        <f t="shared" si="4"/>
        <v>15.084</v>
      </c>
      <c r="I16" s="3" t="str">
        <f t="shared" si="5"/>
        <v/>
      </c>
      <c r="J16" s="3" t="str">
        <f t="shared" si="6"/>
        <v/>
      </c>
    </row>
    <row r="17" spans="1:10" x14ac:dyDescent="0.25">
      <c r="A17" s="2">
        <v>15</v>
      </c>
      <c r="B17" s="2" t="s">
        <v>30</v>
      </c>
      <c r="C17" s="3">
        <f t="shared" si="0"/>
        <v>5</v>
      </c>
      <c r="D17" s="3" t="str">
        <f t="shared" si="1"/>
        <v>ĐÚNG TỔNG</v>
      </c>
      <c r="E17" s="3" t="str">
        <f>IF(ISNUMBER(SEARCH(TEXT(C17,"0"), Du_Lieu_2026!$F$2 &amp; Du_Lieu_2026!$I$2 &amp; Du_Lieu_2026!$L$2 &amp; Du_Lieu_2026!$O$2)), "CÓ G7", "---")</f>
        <v>CÓ G7</v>
      </c>
      <c r="F17" s="3" t="str">
        <f t="shared" si="2"/>
        <v>CÓ NGUỒN</v>
      </c>
      <c r="G17" s="3" t="str">
        <f t="shared" si="3"/>
        <v>ĐÚNG CHẠM</v>
      </c>
      <c r="H17" s="3">
        <f t="shared" si="4"/>
        <v>40.082999999999998</v>
      </c>
      <c r="I17" s="3" t="str">
        <f t="shared" si="5"/>
        <v>14</v>
      </c>
      <c r="J17" s="3" t="str">
        <f t="shared" si="6"/>
        <v>14</v>
      </c>
    </row>
    <row r="18" spans="1:10" x14ac:dyDescent="0.25">
      <c r="A18" s="2">
        <v>16</v>
      </c>
      <c r="B18" s="2" t="s">
        <v>31</v>
      </c>
      <c r="C18" s="3">
        <f t="shared" si="0"/>
        <v>6</v>
      </c>
      <c r="D18" s="3" t="str">
        <f t="shared" si="1"/>
        <v>KHÔNG</v>
      </c>
      <c r="E18" s="3" t="str">
        <f>IF(ISNUMBER(SEARCH(TEXT(C18,"0"), Du_Lieu_2026!$F$2 &amp; Du_Lieu_2026!$I$2 &amp; Du_Lieu_2026!$L$2 &amp; Du_Lieu_2026!$O$2)), "CÓ G7", "---")</f>
        <v>---</v>
      </c>
      <c r="F18" s="3" t="str">
        <f t="shared" si="2"/>
        <v>---</v>
      </c>
      <c r="G18" s="3" t="str">
        <f t="shared" si="3"/>
        <v>KHÔNG</v>
      </c>
      <c r="H18" s="3">
        <f t="shared" si="4"/>
        <v>8.2000000000000003E-2</v>
      </c>
      <c r="I18" s="3" t="str">
        <f t="shared" si="5"/>
        <v/>
      </c>
      <c r="J18" s="3" t="str">
        <f t="shared" si="6"/>
        <v/>
      </c>
    </row>
    <row r="19" spans="1:10" x14ac:dyDescent="0.25">
      <c r="A19" s="2">
        <v>17</v>
      </c>
      <c r="B19" s="2" t="s">
        <v>32</v>
      </c>
      <c r="C19" s="3">
        <f t="shared" si="0"/>
        <v>7</v>
      </c>
      <c r="D19" s="3" t="str">
        <f t="shared" si="1"/>
        <v>KHÔNG</v>
      </c>
      <c r="E19" s="3" t="str">
        <f>IF(ISNUMBER(SEARCH(TEXT(C19,"0"), Du_Lieu_2026!$F$2 &amp; Du_Lieu_2026!$I$2 &amp; Du_Lieu_2026!$L$2 &amp; Du_Lieu_2026!$O$2)), "CÓ G7", "---")</f>
        <v>CÓ G7</v>
      </c>
      <c r="F19" s="3" t="str">
        <f t="shared" si="2"/>
        <v>CÓ NGUỒN</v>
      </c>
      <c r="G19" s="3" t="str">
        <f t="shared" si="3"/>
        <v>KHÔNG</v>
      </c>
      <c r="H19" s="3">
        <f t="shared" si="4"/>
        <v>10.081</v>
      </c>
      <c r="I19" s="3" t="str">
        <f t="shared" si="5"/>
        <v/>
      </c>
      <c r="J19" s="3" t="str">
        <f t="shared" si="6"/>
        <v/>
      </c>
    </row>
    <row r="20" spans="1:10" x14ac:dyDescent="0.25">
      <c r="A20" s="2">
        <v>18</v>
      </c>
      <c r="B20" s="2" t="s">
        <v>33</v>
      </c>
      <c r="C20" s="3">
        <f t="shared" si="0"/>
        <v>8</v>
      </c>
      <c r="D20" s="3" t="str">
        <f t="shared" si="1"/>
        <v>KHÔNG</v>
      </c>
      <c r="E20" s="3" t="str">
        <f>IF(ISNUMBER(SEARCH(TEXT(C20,"0"), Du_Lieu_2026!$F$2 &amp; Du_Lieu_2026!$I$2 &amp; Du_Lieu_2026!$L$2 &amp; Du_Lieu_2026!$O$2)), "CÓ G7", "---")</f>
        <v>CÓ G7</v>
      </c>
      <c r="F20" s="3" t="str">
        <f t="shared" si="2"/>
        <v>CÓ NGUỒN</v>
      </c>
      <c r="G20" s="3" t="str">
        <f t="shared" si="3"/>
        <v>KHÔNG</v>
      </c>
      <c r="H20" s="3">
        <f t="shared" si="4"/>
        <v>10.08</v>
      </c>
      <c r="I20" s="3" t="str">
        <f t="shared" si="5"/>
        <v/>
      </c>
      <c r="J20" s="3" t="str">
        <f t="shared" si="6"/>
        <v/>
      </c>
    </row>
    <row r="21" spans="1:10" x14ac:dyDescent="0.25">
      <c r="A21" s="2">
        <v>19</v>
      </c>
      <c r="B21" s="2" t="s">
        <v>34</v>
      </c>
      <c r="C21" s="3">
        <f t="shared" si="0"/>
        <v>9</v>
      </c>
      <c r="D21" s="3" t="str">
        <f t="shared" si="1"/>
        <v>ĐÚNG TỔNG</v>
      </c>
      <c r="E21" s="3" t="str">
        <f>IF(ISNUMBER(SEARCH(TEXT(C21,"0"), Du_Lieu_2026!$F$2 &amp; Du_Lieu_2026!$I$2 &amp; Du_Lieu_2026!$L$2 &amp; Du_Lieu_2026!$O$2)), "CÓ G7", "---")</f>
        <v>---</v>
      </c>
      <c r="F21" s="3" t="str">
        <f t="shared" si="2"/>
        <v>---</v>
      </c>
      <c r="G21" s="3" t="str">
        <f t="shared" si="3"/>
        <v>ĐÚNG CHẠM</v>
      </c>
      <c r="H21" s="3">
        <f t="shared" si="4"/>
        <v>30.079000000000001</v>
      </c>
      <c r="I21" s="3" t="str">
        <f t="shared" si="5"/>
        <v>18</v>
      </c>
      <c r="J21" s="3" t="str">
        <f t="shared" si="6"/>
        <v/>
      </c>
    </row>
    <row r="22" spans="1:10" x14ac:dyDescent="0.25">
      <c r="A22" s="2">
        <v>20</v>
      </c>
      <c r="B22" s="2" t="s">
        <v>35</v>
      </c>
      <c r="C22" s="3">
        <f t="shared" si="0"/>
        <v>0</v>
      </c>
      <c r="D22" s="3" t="str">
        <f t="shared" si="1"/>
        <v>ĐÚNG TỔNG</v>
      </c>
      <c r="E22" s="3" t="str">
        <f>IF(ISNUMBER(SEARCH(TEXT(C22,"0"), Du_Lieu_2026!$F$2 &amp; Du_Lieu_2026!$I$2 &amp; Du_Lieu_2026!$L$2 &amp; Du_Lieu_2026!$O$2)), "CÓ G7", "---")</f>
        <v>CÓ G7</v>
      </c>
      <c r="F22" s="3" t="str">
        <f t="shared" si="2"/>
        <v>CÓ NGUỒN</v>
      </c>
      <c r="G22" s="3" t="str">
        <f t="shared" si="3"/>
        <v>ĐÚNG CHẠM</v>
      </c>
      <c r="H22" s="3">
        <f t="shared" si="4"/>
        <v>40.078000000000003</v>
      </c>
      <c r="I22" s="3" t="str">
        <f t="shared" si="5"/>
        <v>19</v>
      </c>
      <c r="J22" s="3" t="str">
        <f t="shared" si="6"/>
        <v>19</v>
      </c>
    </row>
    <row r="23" spans="1:10" x14ac:dyDescent="0.25">
      <c r="A23" s="2">
        <v>21</v>
      </c>
      <c r="B23" s="2" t="s">
        <v>36</v>
      </c>
      <c r="C23" s="3">
        <f t="shared" si="0"/>
        <v>2</v>
      </c>
      <c r="D23" s="3" t="str">
        <f t="shared" si="1"/>
        <v>KHÔNG</v>
      </c>
      <c r="E23" s="3" t="str">
        <f>IF(ISNUMBER(SEARCH(TEXT(C23,"0"), Du_Lieu_2026!$F$2 &amp; Du_Lieu_2026!$I$2 &amp; Du_Lieu_2026!$L$2 &amp; Du_Lieu_2026!$O$2)), "CÓ G7", "---")</f>
        <v>CÓ G7</v>
      </c>
      <c r="F23" s="3" t="str">
        <f t="shared" si="2"/>
        <v>CÓ NGUỒN</v>
      </c>
      <c r="G23" s="3" t="str">
        <f t="shared" si="3"/>
        <v>KHÔNG</v>
      </c>
      <c r="H23" s="3">
        <f t="shared" si="4"/>
        <v>10.077</v>
      </c>
      <c r="I23" s="3" t="str">
        <f t="shared" si="5"/>
        <v/>
      </c>
      <c r="J23" s="3" t="str">
        <f t="shared" si="6"/>
        <v/>
      </c>
    </row>
    <row r="24" spans="1:10" x14ac:dyDescent="0.25">
      <c r="A24" s="2">
        <v>22</v>
      </c>
      <c r="B24" s="2" t="s">
        <v>37</v>
      </c>
      <c r="C24" s="3">
        <f t="shared" si="0"/>
        <v>3</v>
      </c>
      <c r="D24" s="3" t="str">
        <f t="shared" si="1"/>
        <v>KHÔNG</v>
      </c>
      <c r="E24" s="3" t="str">
        <f>IF(ISNUMBER(SEARCH(TEXT(C24,"0"), Du_Lieu_2026!$F$2 &amp; Du_Lieu_2026!$I$2 &amp; Du_Lieu_2026!$L$2 &amp; Du_Lieu_2026!$O$2)), "CÓ G7", "---")</f>
        <v>CÓ G7</v>
      </c>
      <c r="F24" s="3" t="str">
        <f t="shared" si="2"/>
        <v>CÓ NGUỒN</v>
      </c>
      <c r="G24" s="3" t="str">
        <f t="shared" si="3"/>
        <v>KHÔNG</v>
      </c>
      <c r="H24" s="3">
        <f t="shared" si="4"/>
        <v>10.076000000000001</v>
      </c>
      <c r="I24" s="3" t="str">
        <f t="shared" si="5"/>
        <v/>
      </c>
      <c r="J24" s="3" t="str">
        <f t="shared" si="6"/>
        <v/>
      </c>
    </row>
    <row r="25" spans="1:10" x14ac:dyDescent="0.25">
      <c r="A25" s="2">
        <v>23</v>
      </c>
      <c r="B25" s="2" t="s">
        <v>38</v>
      </c>
      <c r="C25" s="3">
        <f t="shared" si="0"/>
        <v>4</v>
      </c>
      <c r="D25" s="3" t="str">
        <f t="shared" si="1"/>
        <v>KHÔNG</v>
      </c>
      <c r="E25" s="3" t="str">
        <f>IF(ISNUMBER(SEARCH(TEXT(C25,"0"), Du_Lieu_2026!$F$2 &amp; Du_Lieu_2026!$I$2 &amp; Du_Lieu_2026!$L$2 &amp; Du_Lieu_2026!$O$2)), "CÓ G7", "---")</f>
        <v>---</v>
      </c>
      <c r="F25" s="3" t="str">
        <f t="shared" si="2"/>
        <v>---</v>
      </c>
      <c r="G25" s="3" t="str">
        <f t="shared" si="3"/>
        <v>KHÔNG</v>
      </c>
      <c r="H25" s="3">
        <f t="shared" si="4"/>
        <v>7.4999999999999997E-2</v>
      </c>
      <c r="I25" s="3" t="str">
        <f t="shared" si="5"/>
        <v/>
      </c>
      <c r="J25" s="3" t="str">
        <f t="shared" si="6"/>
        <v/>
      </c>
    </row>
    <row r="26" spans="1:10" x14ac:dyDescent="0.25">
      <c r="A26" s="2">
        <v>24</v>
      </c>
      <c r="B26" s="2" t="s">
        <v>39</v>
      </c>
      <c r="C26" s="3">
        <f t="shared" si="0"/>
        <v>5</v>
      </c>
      <c r="D26" s="3" t="str">
        <f t="shared" si="1"/>
        <v>ĐÚNG TỔNG</v>
      </c>
      <c r="E26" s="3" t="str">
        <f>IF(ISNUMBER(SEARCH(TEXT(C26,"0"), Du_Lieu_2026!$F$2 &amp; Du_Lieu_2026!$I$2 &amp; Du_Lieu_2026!$L$2 &amp; Du_Lieu_2026!$O$2)), "CÓ G7", "---")</f>
        <v>CÓ G7</v>
      </c>
      <c r="F26" s="3" t="str">
        <f t="shared" si="2"/>
        <v>CÓ NGUỒN</v>
      </c>
      <c r="G26" s="3" t="str">
        <f t="shared" si="3"/>
        <v>ĐÚNG CHẠM</v>
      </c>
      <c r="H26" s="3">
        <f t="shared" si="4"/>
        <v>40.073999999999998</v>
      </c>
      <c r="I26" s="3" t="str">
        <f t="shared" si="5"/>
        <v>23</v>
      </c>
      <c r="J26" s="3" t="str">
        <f t="shared" si="6"/>
        <v>23</v>
      </c>
    </row>
    <row r="27" spans="1:10" x14ac:dyDescent="0.25">
      <c r="A27" s="2">
        <v>25</v>
      </c>
      <c r="B27" s="2" t="s">
        <v>40</v>
      </c>
      <c r="C27" s="3">
        <f t="shared" si="0"/>
        <v>6</v>
      </c>
      <c r="D27" s="3" t="str">
        <f t="shared" si="1"/>
        <v>KHÔNG</v>
      </c>
      <c r="E27" s="3" t="str">
        <f>IF(ISNUMBER(SEARCH(TEXT(C27,"0"), Du_Lieu_2026!$F$2 &amp; Du_Lieu_2026!$I$2 &amp; Du_Lieu_2026!$L$2 &amp; Du_Lieu_2026!$O$2)), "CÓ G7", "---")</f>
        <v>---</v>
      </c>
      <c r="F27" s="3" t="str">
        <f t="shared" si="2"/>
        <v>---</v>
      </c>
      <c r="G27" s="3" t="str">
        <f t="shared" si="3"/>
        <v>ĐÚNG CHẠM</v>
      </c>
      <c r="H27" s="3">
        <f t="shared" si="4"/>
        <v>15.073</v>
      </c>
      <c r="I27" s="3" t="str">
        <f t="shared" si="5"/>
        <v/>
      </c>
      <c r="J27" s="3" t="str">
        <f t="shared" si="6"/>
        <v/>
      </c>
    </row>
    <row r="28" spans="1:10" x14ac:dyDescent="0.25">
      <c r="A28" s="2">
        <v>26</v>
      </c>
      <c r="B28" s="2" t="s">
        <v>41</v>
      </c>
      <c r="C28" s="3">
        <f t="shared" si="0"/>
        <v>7</v>
      </c>
      <c r="D28" s="3" t="str">
        <f t="shared" si="1"/>
        <v>KHÔNG</v>
      </c>
      <c r="E28" s="3" t="str">
        <f>IF(ISNUMBER(SEARCH(TEXT(C28,"0"), Du_Lieu_2026!$F$2 &amp; Du_Lieu_2026!$I$2 &amp; Du_Lieu_2026!$L$2 &amp; Du_Lieu_2026!$O$2)), "CÓ G7", "---")</f>
        <v>CÓ G7</v>
      </c>
      <c r="F28" s="3" t="str">
        <f t="shared" si="2"/>
        <v>CÓ NGUỒN</v>
      </c>
      <c r="G28" s="3" t="str">
        <f t="shared" si="3"/>
        <v>KHÔNG</v>
      </c>
      <c r="H28" s="3">
        <f t="shared" si="4"/>
        <v>10.071999999999999</v>
      </c>
      <c r="I28" s="3" t="str">
        <f t="shared" si="5"/>
        <v/>
      </c>
      <c r="J28" s="3" t="str">
        <f t="shared" si="6"/>
        <v/>
      </c>
    </row>
    <row r="29" spans="1:10" x14ac:dyDescent="0.25">
      <c r="A29" s="2">
        <v>27</v>
      </c>
      <c r="B29" s="2" t="s">
        <v>42</v>
      </c>
      <c r="C29" s="3">
        <f t="shared" si="0"/>
        <v>8</v>
      </c>
      <c r="D29" s="3" t="str">
        <f t="shared" si="1"/>
        <v>KHÔNG</v>
      </c>
      <c r="E29" s="3" t="str">
        <f>IF(ISNUMBER(SEARCH(TEXT(C29,"0"), Du_Lieu_2026!$F$2 &amp; Du_Lieu_2026!$I$2 &amp; Du_Lieu_2026!$L$2 &amp; Du_Lieu_2026!$O$2)), "CÓ G7", "---")</f>
        <v>CÓ G7</v>
      </c>
      <c r="F29" s="3" t="str">
        <f t="shared" si="2"/>
        <v>CÓ NGUỒN</v>
      </c>
      <c r="G29" s="3" t="str">
        <f t="shared" si="3"/>
        <v>KHÔNG</v>
      </c>
      <c r="H29" s="3">
        <f t="shared" si="4"/>
        <v>10.071</v>
      </c>
      <c r="I29" s="3" t="str">
        <f t="shared" si="5"/>
        <v/>
      </c>
      <c r="J29" s="3" t="str">
        <f t="shared" si="6"/>
        <v/>
      </c>
    </row>
    <row r="30" spans="1:10" x14ac:dyDescent="0.25">
      <c r="A30" s="2">
        <v>28</v>
      </c>
      <c r="B30" s="2" t="s">
        <v>43</v>
      </c>
      <c r="C30" s="3">
        <f t="shared" si="0"/>
        <v>9</v>
      </c>
      <c r="D30" s="3" t="str">
        <f t="shared" si="1"/>
        <v>ĐÚNG TỔNG</v>
      </c>
      <c r="E30" s="3" t="str">
        <f>IF(ISNUMBER(SEARCH(TEXT(C30,"0"), Du_Lieu_2026!$F$2 &amp; Du_Lieu_2026!$I$2 &amp; Du_Lieu_2026!$L$2 &amp; Du_Lieu_2026!$O$2)), "CÓ G7", "---")</f>
        <v>---</v>
      </c>
      <c r="F30" s="3" t="str">
        <f t="shared" si="2"/>
        <v>---</v>
      </c>
      <c r="G30" s="3" t="str">
        <f t="shared" si="3"/>
        <v>KHÔNG</v>
      </c>
      <c r="H30" s="3">
        <f t="shared" si="4"/>
        <v>15.07</v>
      </c>
      <c r="I30" s="3" t="str">
        <f t="shared" si="5"/>
        <v/>
      </c>
      <c r="J30" s="3" t="str">
        <f t="shared" si="6"/>
        <v/>
      </c>
    </row>
    <row r="31" spans="1:10" x14ac:dyDescent="0.25">
      <c r="A31" s="2">
        <v>29</v>
      </c>
      <c r="B31" s="2" t="s">
        <v>44</v>
      </c>
      <c r="C31" s="3">
        <f t="shared" si="0"/>
        <v>0</v>
      </c>
      <c r="D31" s="3" t="str">
        <f t="shared" si="1"/>
        <v>ĐÚNG TỔNG</v>
      </c>
      <c r="E31" s="3" t="str">
        <f>IF(ISNUMBER(SEARCH(TEXT(C31,"0"), Du_Lieu_2026!$F$2 &amp; Du_Lieu_2026!$I$2 &amp; Du_Lieu_2026!$L$2 &amp; Du_Lieu_2026!$O$2)), "CÓ G7", "---")</f>
        <v>CÓ G7</v>
      </c>
      <c r="F31" s="3" t="str">
        <f t="shared" si="2"/>
        <v>CÓ NGUỒN</v>
      </c>
      <c r="G31" s="3" t="str">
        <f t="shared" si="3"/>
        <v>ĐÚNG CHẠM</v>
      </c>
      <c r="H31" s="3">
        <f t="shared" si="4"/>
        <v>40.069000000000003</v>
      </c>
      <c r="I31" s="3" t="str">
        <f t="shared" si="5"/>
        <v>28</v>
      </c>
      <c r="J31" s="3" t="str">
        <f t="shared" si="6"/>
        <v>28</v>
      </c>
    </row>
    <row r="32" spans="1:10" x14ac:dyDescent="0.25">
      <c r="A32" s="2">
        <v>30</v>
      </c>
      <c r="B32" s="2" t="s">
        <v>45</v>
      </c>
      <c r="C32" s="3">
        <f t="shared" si="0"/>
        <v>1</v>
      </c>
      <c r="D32" s="3" t="str">
        <f t="shared" si="1"/>
        <v>ĐÚNG TỔNG</v>
      </c>
      <c r="E32" s="3" t="str">
        <f>IF(ISNUMBER(SEARCH(TEXT(C32,"0"), Du_Lieu_2026!$F$2 &amp; Du_Lieu_2026!$I$2 &amp; Du_Lieu_2026!$L$2 &amp; Du_Lieu_2026!$O$2)), "CÓ G7", "---")</f>
        <v>---</v>
      </c>
      <c r="F32" s="3" t="str">
        <f t="shared" si="2"/>
        <v>---</v>
      </c>
      <c r="G32" s="3" t="str">
        <f t="shared" si="3"/>
        <v>ĐÚNG CHẠM</v>
      </c>
      <c r="H32" s="3">
        <f t="shared" si="4"/>
        <v>30.068000000000001</v>
      </c>
      <c r="I32" s="3" t="str">
        <f t="shared" si="5"/>
        <v>29</v>
      </c>
      <c r="J32" s="3" t="str">
        <f t="shared" si="6"/>
        <v/>
      </c>
    </row>
    <row r="33" spans="1:10" x14ac:dyDescent="0.25">
      <c r="A33" s="2">
        <v>31</v>
      </c>
      <c r="B33" s="2" t="s">
        <v>46</v>
      </c>
      <c r="C33" s="3">
        <f t="shared" si="0"/>
        <v>3</v>
      </c>
      <c r="D33" s="3" t="str">
        <f t="shared" si="1"/>
        <v>KHÔNG</v>
      </c>
      <c r="E33" s="3" t="str">
        <f>IF(ISNUMBER(SEARCH(TEXT(C33,"0"), Du_Lieu_2026!$F$2 &amp; Du_Lieu_2026!$I$2 &amp; Du_Lieu_2026!$L$2 &amp; Du_Lieu_2026!$O$2)), "CÓ G7", "---")</f>
        <v>CÓ G7</v>
      </c>
      <c r="F33" s="3" t="str">
        <f t="shared" si="2"/>
        <v>CÓ NGUỒN</v>
      </c>
      <c r="G33" s="3" t="str">
        <f t="shared" si="3"/>
        <v>ĐÚNG CHẠM</v>
      </c>
      <c r="H33" s="3">
        <f t="shared" si="4"/>
        <v>25.067</v>
      </c>
      <c r="I33" s="3" t="str">
        <f t="shared" si="5"/>
        <v/>
      </c>
      <c r="J33" s="3" t="str">
        <f t="shared" si="6"/>
        <v/>
      </c>
    </row>
    <row r="34" spans="1:10" x14ac:dyDescent="0.25">
      <c r="A34" s="2">
        <v>32</v>
      </c>
      <c r="B34" s="2" t="s">
        <v>47</v>
      </c>
      <c r="C34" s="3">
        <f t="shared" si="0"/>
        <v>4</v>
      </c>
      <c r="D34" s="3" t="str">
        <f t="shared" si="1"/>
        <v>KHÔNG</v>
      </c>
      <c r="E34" s="3" t="str">
        <f>IF(ISNUMBER(SEARCH(TEXT(C34,"0"), Du_Lieu_2026!$F$2 &amp; Du_Lieu_2026!$I$2 &amp; Du_Lieu_2026!$L$2 &amp; Du_Lieu_2026!$O$2)), "CÓ G7", "---")</f>
        <v>---</v>
      </c>
      <c r="F34" s="3" t="str">
        <f t="shared" si="2"/>
        <v>---</v>
      </c>
      <c r="G34" s="3" t="str">
        <f t="shared" si="3"/>
        <v>ĐÚNG CHẠM</v>
      </c>
      <c r="H34" s="3">
        <f t="shared" si="4"/>
        <v>15.066000000000001</v>
      </c>
      <c r="I34" s="3" t="str">
        <f t="shared" si="5"/>
        <v/>
      </c>
      <c r="J34" s="3" t="str">
        <f t="shared" si="6"/>
        <v/>
      </c>
    </row>
    <row r="35" spans="1:10" x14ac:dyDescent="0.25">
      <c r="A35" s="2">
        <v>33</v>
      </c>
      <c r="B35" s="2" t="s">
        <v>48</v>
      </c>
      <c r="C35" s="3">
        <f t="shared" ref="C35:C66" si="7">MOD(VALUE(LEFT(B35,1))+VALUE(RIGHT(B35,1)), 10)</f>
        <v>5</v>
      </c>
      <c r="D35" s="3" t="str">
        <f t="shared" ref="D35:D66" si="8">IF(ISNUMBER(SEARCH(TEXT(C35,"0"),$C$2)), "ĐÚNG TỔNG", "KHÔNG")</f>
        <v>ĐÚNG TỔNG</v>
      </c>
      <c r="E35" s="3" t="str">
        <f>IF(ISNUMBER(SEARCH(TEXT(C35,"0"), Du_Lieu_2026!$F$2 &amp; Du_Lieu_2026!$I$2 &amp; Du_Lieu_2026!$L$2 &amp; Du_Lieu_2026!$O$2)), "CÓ G7", "---")</f>
        <v>CÓ G7</v>
      </c>
      <c r="F35" s="3" t="str">
        <f t="shared" ref="F35:F66" si="9">IF(E35="CÓ G7", "CÓ NGUỒN", "---")</f>
        <v>CÓ NGUỒN</v>
      </c>
      <c r="G35" s="3" t="str">
        <f t="shared" ref="G35:G66" si="10">IF(OR(ISNUMBER(SEARCH(LEFT(B35,1),$G$2)), ISNUMBER(SEARCH(RIGHT(B35,1),$G$2))), "ĐÚNG CHẠM", "KHÔNG")</f>
        <v>ĐÚNG CHẠM</v>
      </c>
      <c r="H35" s="3">
        <f t="shared" ref="H35:H66" si="11">IF(D35="ĐÚNG TỔNG", 15, 0) + IF(G35="ĐÚNG CHẠM", 15, 0) + IF(E35="CÓ G7", 10, 0) + (100-ROW())/1000</f>
        <v>40.064999999999998</v>
      </c>
      <c r="I35" s="3" t="str">
        <f t="shared" ref="I35:I66" si="12">IF(RANK(H35,$H$3:$H$102)&lt;=20, B35, "")</f>
        <v>32</v>
      </c>
      <c r="J35" s="3" t="str">
        <f t="shared" ref="J35:J66" si="13">IF(AND(D35="ĐÚNG TỔNG", G35="ĐÚNG CHẠM", RANK(H35,$H$3:$H$102)&lt;=10), B35, "")</f>
        <v>32</v>
      </c>
    </row>
    <row r="36" spans="1:10" x14ac:dyDescent="0.25">
      <c r="A36" s="2">
        <v>34</v>
      </c>
      <c r="B36" s="2" t="s">
        <v>49</v>
      </c>
      <c r="C36" s="3">
        <f t="shared" si="7"/>
        <v>6</v>
      </c>
      <c r="D36" s="3" t="str">
        <f t="shared" si="8"/>
        <v>KHÔNG</v>
      </c>
      <c r="E36" s="3" t="str">
        <f>IF(ISNUMBER(SEARCH(TEXT(C36,"0"), Du_Lieu_2026!$F$2 &amp; Du_Lieu_2026!$I$2 &amp; Du_Lieu_2026!$L$2 &amp; Du_Lieu_2026!$O$2)), "CÓ G7", "---")</f>
        <v>---</v>
      </c>
      <c r="F36" s="3" t="str">
        <f t="shared" si="9"/>
        <v>---</v>
      </c>
      <c r="G36" s="3" t="str">
        <f t="shared" si="10"/>
        <v>ĐÚNG CHẠM</v>
      </c>
      <c r="H36" s="3">
        <f t="shared" si="11"/>
        <v>15.064</v>
      </c>
      <c r="I36" s="3" t="str">
        <f t="shared" si="12"/>
        <v/>
      </c>
      <c r="J36" s="3" t="str">
        <f t="shared" si="13"/>
        <v/>
      </c>
    </row>
    <row r="37" spans="1:10" x14ac:dyDescent="0.25">
      <c r="A37" s="2">
        <v>35</v>
      </c>
      <c r="B37" s="2" t="s">
        <v>50</v>
      </c>
      <c r="C37" s="3">
        <f t="shared" si="7"/>
        <v>7</v>
      </c>
      <c r="D37" s="3" t="str">
        <f t="shared" si="8"/>
        <v>KHÔNG</v>
      </c>
      <c r="E37" s="3" t="str">
        <f>IF(ISNUMBER(SEARCH(TEXT(C37,"0"), Du_Lieu_2026!$F$2 &amp; Du_Lieu_2026!$I$2 &amp; Du_Lieu_2026!$L$2 &amp; Du_Lieu_2026!$O$2)), "CÓ G7", "---")</f>
        <v>CÓ G7</v>
      </c>
      <c r="F37" s="3" t="str">
        <f t="shared" si="9"/>
        <v>CÓ NGUỒN</v>
      </c>
      <c r="G37" s="3" t="str">
        <f t="shared" si="10"/>
        <v>ĐÚNG CHẠM</v>
      </c>
      <c r="H37" s="3">
        <f t="shared" si="11"/>
        <v>25.062999999999999</v>
      </c>
      <c r="I37" s="3" t="str">
        <f t="shared" si="12"/>
        <v/>
      </c>
      <c r="J37" s="3" t="str">
        <f t="shared" si="13"/>
        <v/>
      </c>
    </row>
    <row r="38" spans="1:10" x14ac:dyDescent="0.25">
      <c r="A38" s="2">
        <v>36</v>
      </c>
      <c r="B38" s="2" t="s">
        <v>51</v>
      </c>
      <c r="C38" s="3">
        <f t="shared" si="7"/>
        <v>8</v>
      </c>
      <c r="D38" s="3" t="str">
        <f t="shared" si="8"/>
        <v>KHÔNG</v>
      </c>
      <c r="E38" s="3" t="str">
        <f>IF(ISNUMBER(SEARCH(TEXT(C38,"0"), Du_Lieu_2026!$F$2 &amp; Du_Lieu_2026!$I$2 &amp; Du_Lieu_2026!$L$2 &amp; Du_Lieu_2026!$O$2)), "CÓ G7", "---")</f>
        <v>CÓ G7</v>
      </c>
      <c r="F38" s="3" t="str">
        <f t="shared" si="9"/>
        <v>CÓ NGUỒN</v>
      </c>
      <c r="G38" s="3" t="str">
        <f t="shared" si="10"/>
        <v>ĐÚNG CHẠM</v>
      </c>
      <c r="H38" s="3">
        <f t="shared" si="11"/>
        <v>25.062000000000001</v>
      </c>
      <c r="I38" s="3" t="str">
        <f t="shared" si="12"/>
        <v/>
      </c>
      <c r="J38" s="3" t="str">
        <f t="shared" si="13"/>
        <v/>
      </c>
    </row>
    <row r="39" spans="1:10" x14ac:dyDescent="0.25">
      <c r="A39" s="2">
        <v>37</v>
      </c>
      <c r="B39" s="2" t="s">
        <v>52</v>
      </c>
      <c r="C39" s="3">
        <f t="shared" si="7"/>
        <v>9</v>
      </c>
      <c r="D39" s="3" t="str">
        <f t="shared" si="8"/>
        <v>ĐÚNG TỔNG</v>
      </c>
      <c r="E39" s="3" t="str">
        <f>IF(ISNUMBER(SEARCH(TEXT(C39,"0"), Du_Lieu_2026!$F$2 &amp; Du_Lieu_2026!$I$2 &amp; Du_Lieu_2026!$L$2 &amp; Du_Lieu_2026!$O$2)), "CÓ G7", "---")</f>
        <v>---</v>
      </c>
      <c r="F39" s="3" t="str">
        <f t="shared" si="9"/>
        <v>---</v>
      </c>
      <c r="G39" s="3" t="str">
        <f t="shared" si="10"/>
        <v>ĐÚNG CHẠM</v>
      </c>
      <c r="H39" s="3">
        <f t="shared" si="11"/>
        <v>30.061</v>
      </c>
      <c r="I39" s="3" t="str">
        <f t="shared" si="12"/>
        <v>36</v>
      </c>
      <c r="J39" s="3" t="str">
        <f t="shared" si="13"/>
        <v/>
      </c>
    </row>
    <row r="40" spans="1:10" x14ac:dyDescent="0.25">
      <c r="A40" s="2">
        <v>38</v>
      </c>
      <c r="B40" s="2" t="s">
        <v>53</v>
      </c>
      <c r="C40" s="3">
        <f t="shared" si="7"/>
        <v>0</v>
      </c>
      <c r="D40" s="3" t="str">
        <f t="shared" si="8"/>
        <v>ĐÚNG TỔNG</v>
      </c>
      <c r="E40" s="3" t="str">
        <f>IF(ISNUMBER(SEARCH(TEXT(C40,"0"), Du_Lieu_2026!$F$2 &amp; Du_Lieu_2026!$I$2 &amp; Du_Lieu_2026!$L$2 &amp; Du_Lieu_2026!$O$2)), "CÓ G7", "---")</f>
        <v>CÓ G7</v>
      </c>
      <c r="F40" s="3" t="str">
        <f t="shared" si="9"/>
        <v>CÓ NGUỒN</v>
      </c>
      <c r="G40" s="3" t="str">
        <f t="shared" si="10"/>
        <v>ĐÚNG CHẠM</v>
      </c>
      <c r="H40" s="3">
        <f t="shared" si="11"/>
        <v>40.06</v>
      </c>
      <c r="I40" s="3" t="str">
        <f t="shared" si="12"/>
        <v>37</v>
      </c>
      <c r="J40" s="3" t="str">
        <f t="shared" si="13"/>
        <v>37</v>
      </c>
    </row>
    <row r="41" spans="1:10" x14ac:dyDescent="0.25">
      <c r="A41" s="2">
        <v>39</v>
      </c>
      <c r="B41" s="2" t="s">
        <v>54</v>
      </c>
      <c r="C41" s="3">
        <f t="shared" si="7"/>
        <v>1</v>
      </c>
      <c r="D41" s="3" t="str">
        <f t="shared" si="8"/>
        <v>ĐÚNG TỔNG</v>
      </c>
      <c r="E41" s="3" t="str">
        <f>IF(ISNUMBER(SEARCH(TEXT(C41,"0"), Du_Lieu_2026!$F$2 &amp; Du_Lieu_2026!$I$2 &amp; Du_Lieu_2026!$L$2 &amp; Du_Lieu_2026!$O$2)), "CÓ G7", "---")</f>
        <v>---</v>
      </c>
      <c r="F41" s="3" t="str">
        <f t="shared" si="9"/>
        <v>---</v>
      </c>
      <c r="G41" s="3" t="str">
        <f t="shared" si="10"/>
        <v>ĐÚNG CHẠM</v>
      </c>
      <c r="H41" s="3">
        <f t="shared" si="11"/>
        <v>30.059000000000001</v>
      </c>
      <c r="I41" s="3" t="str">
        <f t="shared" si="12"/>
        <v/>
      </c>
      <c r="J41" s="3" t="str">
        <f t="shared" si="13"/>
        <v/>
      </c>
    </row>
    <row r="42" spans="1:10" x14ac:dyDescent="0.25">
      <c r="A42" s="2">
        <v>40</v>
      </c>
      <c r="B42" s="2" t="s">
        <v>55</v>
      </c>
      <c r="C42" s="3">
        <f t="shared" si="7"/>
        <v>2</v>
      </c>
      <c r="D42" s="3" t="str">
        <f t="shared" si="8"/>
        <v>KHÔNG</v>
      </c>
      <c r="E42" s="3" t="str">
        <f>IF(ISNUMBER(SEARCH(TEXT(C42,"0"), Du_Lieu_2026!$F$2 &amp; Du_Lieu_2026!$I$2 &amp; Du_Lieu_2026!$L$2 &amp; Du_Lieu_2026!$O$2)), "CÓ G7", "---")</f>
        <v>CÓ G7</v>
      </c>
      <c r="F42" s="3" t="str">
        <f t="shared" si="9"/>
        <v>CÓ NGUỒN</v>
      </c>
      <c r="G42" s="3" t="str">
        <f t="shared" si="10"/>
        <v>ĐÚNG CHẠM</v>
      </c>
      <c r="H42" s="3">
        <f t="shared" si="11"/>
        <v>25.058</v>
      </c>
      <c r="I42" s="3" t="str">
        <f t="shared" si="12"/>
        <v/>
      </c>
      <c r="J42" s="3" t="str">
        <f t="shared" si="13"/>
        <v/>
      </c>
    </row>
    <row r="43" spans="1:10" x14ac:dyDescent="0.25">
      <c r="A43" s="2">
        <v>41</v>
      </c>
      <c r="B43" s="2" t="s">
        <v>56</v>
      </c>
      <c r="C43" s="3">
        <f t="shared" si="7"/>
        <v>4</v>
      </c>
      <c r="D43" s="3" t="str">
        <f t="shared" si="8"/>
        <v>KHÔNG</v>
      </c>
      <c r="E43" s="3" t="str">
        <f>IF(ISNUMBER(SEARCH(TEXT(C43,"0"), Du_Lieu_2026!$F$2 &amp; Du_Lieu_2026!$I$2 &amp; Du_Lieu_2026!$L$2 &amp; Du_Lieu_2026!$O$2)), "CÓ G7", "---")</f>
        <v>---</v>
      </c>
      <c r="F43" s="3" t="str">
        <f t="shared" si="9"/>
        <v>---</v>
      </c>
      <c r="G43" s="3" t="str">
        <f t="shared" si="10"/>
        <v>ĐÚNG CHẠM</v>
      </c>
      <c r="H43" s="3">
        <f t="shared" si="11"/>
        <v>15.057</v>
      </c>
      <c r="I43" s="3" t="str">
        <f t="shared" si="12"/>
        <v/>
      </c>
      <c r="J43" s="3" t="str">
        <f t="shared" si="13"/>
        <v/>
      </c>
    </row>
    <row r="44" spans="1:10" x14ac:dyDescent="0.25">
      <c r="A44" s="2">
        <v>42</v>
      </c>
      <c r="B44" s="2" t="s">
        <v>57</v>
      </c>
      <c r="C44" s="3">
        <f t="shared" si="7"/>
        <v>5</v>
      </c>
      <c r="D44" s="3" t="str">
        <f t="shared" si="8"/>
        <v>ĐÚNG TỔNG</v>
      </c>
      <c r="E44" s="3" t="str">
        <f>IF(ISNUMBER(SEARCH(TEXT(C44,"0"), Du_Lieu_2026!$F$2 &amp; Du_Lieu_2026!$I$2 &amp; Du_Lieu_2026!$L$2 &amp; Du_Lieu_2026!$O$2)), "CÓ G7", "---")</f>
        <v>CÓ G7</v>
      </c>
      <c r="F44" s="3" t="str">
        <f t="shared" si="9"/>
        <v>CÓ NGUỒN</v>
      </c>
      <c r="G44" s="3" t="str">
        <f t="shared" si="10"/>
        <v>ĐÚNG CHẠM</v>
      </c>
      <c r="H44" s="3">
        <f t="shared" si="11"/>
        <v>40.055999999999997</v>
      </c>
      <c r="I44" s="3" t="str">
        <f t="shared" si="12"/>
        <v>41</v>
      </c>
      <c r="J44" s="3" t="str">
        <f t="shared" si="13"/>
        <v>41</v>
      </c>
    </row>
    <row r="45" spans="1:10" x14ac:dyDescent="0.25">
      <c r="A45" s="2">
        <v>43</v>
      </c>
      <c r="B45" s="2" t="s">
        <v>58</v>
      </c>
      <c r="C45" s="3">
        <f t="shared" si="7"/>
        <v>6</v>
      </c>
      <c r="D45" s="3" t="str">
        <f t="shared" si="8"/>
        <v>KHÔNG</v>
      </c>
      <c r="E45" s="3" t="str">
        <f>IF(ISNUMBER(SEARCH(TEXT(C45,"0"), Du_Lieu_2026!$F$2 &amp; Du_Lieu_2026!$I$2 &amp; Du_Lieu_2026!$L$2 &amp; Du_Lieu_2026!$O$2)), "CÓ G7", "---")</f>
        <v>---</v>
      </c>
      <c r="F45" s="3" t="str">
        <f t="shared" si="9"/>
        <v>---</v>
      </c>
      <c r="G45" s="3" t="str">
        <f t="shared" si="10"/>
        <v>ĐÚNG CHẠM</v>
      </c>
      <c r="H45" s="3">
        <f t="shared" si="11"/>
        <v>15.055</v>
      </c>
      <c r="I45" s="3" t="str">
        <f t="shared" si="12"/>
        <v/>
      </c>
      <c r="J45" s="3" t="str">
        <f t="shared" si="13"/>
        <v/>
      </c>
    </row>
    <row r="46" spans="1:10" x14ac:dyDescent="0.25">
      <c r="A46" s="2">
        <v>44</v>
      </c>
      <c r="B46" s="2" t="s">
        <v>59</v>
      </c>
      <c r="C46" s="3">
        <f t="shared" si="7"/>
        <v>7</v>
      </c>
      <c r="D46" s="3" t="str">
        <f t="shared" si="8"/>
        <v>KHÔNG</v>
      </c>
      <c r="E46" s="3" t="str">
        <f>IF(ISNUMBER(SEARCH(TEXT(C46,"0"), Du_Lieu_2026!$F$2 &amp; Du_Lieu_2026!$I$2 &amp; Du_Lieu_2026!$L$2 &amp; Du_Lieu_2026!$O$2)), "CÓ G7", "---")</f>
        <v>CÓ G7</v>
      </c>
      <c r="F46" s="3" t="str">
        <f t="shared" si="9"/>
        <v>CÓ NGUỒN</v>
      </c>
      <c r="G46" s="3" t="str">
        <f t="shared" si="10"/>
        <v>ĐÚNG CHẠM</v>
      </c>
      <c r="H46" s="3">
        <f t="shared" si="11"/>
        <v>25.053999999999998</v>
      </c>
      <c r="I46" s="3" t="str">
        <f t="shared" si="12"/>
        <v/>
      </c>
      <c r="J46" s="3" t="str">
        <f t="shared" si="13"/>
        <v/>
      </c>
    </row>
    <row r="47" spans="1:10" x14ac:dyDescent="0.25">
      <c r="A47" s="2">
        <v>45</v>
      </c>
      <c r="B47" s="2" t="s">
        <v>60</v>
      </c>
      <c r="C47" s="3">
        <f t="shared" si="7"/>
        <v>8</v>
      </c>
      <c r="D47" s="3" t="str">
        <f t="shared" si="8"/>
        <v>KHÔNG</v>
      </c>
      <c r="E47" s="3" t="str">
        <f>IF(ISNUMBER(SEARCH(TEXT(C47,"0"), Du_Lieu_2026!$F$2 &amp; Du_Lieu_2026!$I$2 &amp; Du_Lieu_2026!$L$2 &amp; Du_Lieu_2026!$O$2)), "CÓ G7", "---")</f>
        <v>CÓ G7</v>
      </c>
      <c r="F47" s="3" t="str">
        <f t="shared" si="9"/>
        <v>CÓ NGUỒN</v>
      </c>
      <c r="G47" s="3" t="str">
        <f t="shared" si="10"/>
        <v>ĐÚNG CHẠM</v>
      </c>
      <c r="H47" s="3">
        <f t="shared" si="11"/>
        <v>25.053000000000001</v>
      </c>
      <c r="I47" s="3" t="str">
        <f t="shared" si="12"/>
        <v/>
      </c>
      <c r="J47" s="3" t="str">
        <f t="shared" si="13"/>
        <v/>
      </c>
    </row>
    <row r="48" spans="1:10" x14ac:dyDescent="0.25">
      <c r="A48" s="2">
        <v>46</v>
      </c>
      <c r="B48" s="2" t="s">
        <v>61</v>
      </c>
      <c r="C48" s="3">
        <f t="shared" si="7"/>
        <v>9</v>
      </c>
      <c r="D48" s="3" t="str">
        <f t="shared" si="8"/>
        <v>ĐÚNG TỔNG</v>
      </c>
      <c r="E48" s="3" t="str">
        <f>IF(ISNUMBER(SEARCH(TEXT(C48,"0"), Du_Lieu_2026!$F$2 &amp; Du_Lieu_2026!$I$2 &amp; Du_Lieu_2026!$L$2 &amp; Du_Lieu_2026!$O$2)), "CÓ G7", "---")</f>
        <v>---</v>
      </c>
      <c r="F48" s="3" t="str">
        <f t="shared" si="9"/>
        <v>---</v>
      </c>
      <c r="G48" s="3" t="str">
        <f t="shared" si="10"/>
        <v>ĐÚNG CHẠM</v>
      </c>
      <c r="H48" s="3">
        <f t="shared" si="11"/>
        <v>30.052</v>
      </c>
      <c r="I48" s="3" t="str">
        <f t="shared" si="12"/>
        <v/>
      </c>
      <c r="J48" s="3" t="str">
        <f t="shared" si="13"/>
        <v/>
      </c>
    </row>
    <row r="49" spans="1:10" x14ac:dyDescent="0.25">
      <c r="A49" s="2">
        <v>47</v>
      </c>
      <c r="B49" s="2" t="s">
        <v>62</v>
      </c>
      <c r="C49" s="3">
        <f t="shared" si="7"/>
        <v>0</v>
      </c>
      <c r="D49" s="3" t="str">
        <f t="shared" si="8"/>
        <v>ĐÚNG TỔNG</v>
      </c>
      <c r="E49" s="3" t="str">
        <f>IF(ISNUMBER(SEARCH(TEXT(C49,"0"), Du_Lieu_2026!$F$2 &amp; Du_Lieu_2026!$I$2 &amp; Du_Lieu_2026!$L$2 &amp; Du_Lieu_2026!$O$2)), "CÓ G7", "---")</f>
        <v>CÓ G7</v>
      </c>
      <c r="F49" s="3" t="str">
        <f t="shared" si="9"/>
        <v>CÓ NGUỒN</v>
      </c>
      <c r="G49" s="3" t="str">
        <f t="shared" si="10"/>
        <v>ĐÚNG CHẠM</v>
      </c>
      <c r="H49" s="3">
        <f t="shared" si="11"/>
        <v>40.051000000000002</v>
      </c>
      <c r="I49" s="3" t="str">
        <f t="shared" si="12"/>
        <v>46</v>
      </c>
      <c r="J49" s="3" t="str">
        <f t="shared" si="13"/>
        <v>46</v>
      </c>
    </row>
    <row r="50" spans="1:10" x14ac:dyDescent="0.25">
      <c r="A50" s="2">
        <v>48</v>
      </c>
      <c r="B50" s="2" t="s">
        <v>63</v>
      </c>
      <c r="C50" s="3">
        <f t="shared" si="7"/>
        <v>1</v>
      </c>
      <c r="D50" s="3" t="str">
        <f t="shared" si="8"/>
        <v>ĐÚNG TỔNG</v>
      </c>
      <c r="E50" s="3" t="str">
        <f>IF(ISNUMBER(SEARCH(TEXT(C50,"0"), Du_Lieu_2026!$F$2 &amp; Du_Lieu_2026!$I$2 &amp; Du_Lieu_2026!$L$2 &amp; Du_Lieu_2026!$O$2)), "CÓ G7", "---")</f>
        <v>---</v>
      </c>
      <c r="F50" s="3" t="str">
        <f t="shared" si="9"/>
        <v>---</v>
      </c>
      <c r="G50" s="3" t="str">
        <f t="shared" si="10"/>
        <v>ĐÚNG CHẠM</v>
      </c>
      <c r="H50" s="3">
        <f t="shared" si="11"/>
        <v>30.05</v>
      </c>
      <c r="I50" s="3" t="str">
        <f t="shared" si="12"/>
        <v/>
      </c>
      <c r="J50" s="3" t="str">
        <f t="shared" si="13"/>
        <v/>
      </c>
    </row>
    <row r="51" spans="1:10" x14ac:dyDescent="0.25">
      <c r="A51" s="2">
        <v>49</v>
      </c>
      <c r="B51" s="2" t="s">
        <v>64</v>
      </c>
      <c r="C51" s="3">
        <f t="shared" si="7"/>
        <v>2</v>
      </c>
      <c r="D51" s="3" t="str">
        <f t="shared" si="8"/>
        <v>KHÔNG</v>
      </c>
      <c r="E51" s="3" t="str">
        <f>IF(ISNUMBER(SEARCH(TEXT(C51,"0"), Du_Lieu_2026!$F$2 &amp; Du_Lieu_2026!$I$2 &amp; Du_Lieu_2026!$L$2 &amp; Du_Lieu_2026!$O$2)), "CÓ G7", "---")</f>
        <v>CÓ G7</v>
      </c>
      <c r="F51" s="3" t="str">
        <f t="shared" si="9"/>
        <v>CÓ NGUỒN</v>
      </c>
      <c r="G51" s="3" t="str">
        <f t="shared" si="10"/>
        <v>ĐÚNG CHẠM</v>
      </c>
      <c r="H51" s="3">
        <f t="shared" si="11"/>
        <v>25.048999999999999</v>
      </c>
      <c r="I51" s="3" t="str">
        <f t="shared" si="12"/>
        <v/>
      </c>
      <c r="J51" s="3" t="str">
        <f t="shared" si="13"/>
        <v/>
      </c>
    </row>
    <row r="52" spans="1:10" x14ac:dyDescent="0.25">
      <c r="A52" s="2">
        <v>50</v>
      </c>
      <c r="B52" s="2" t="s">
        <v>65</v>
      </c>
      <c r="C52" s="3">
        <f t="shared" si="7"/>
        <v>3</v>
      </c>
      <c r="D52" s="3" t="str">
        <f t="shared" si="8"/>
        <v>KHÔNG</v>
      </c>
      <c r="E52" s="3" t="str">
        <f>IF(ISNUMBER(SEARCH(TEXT(C52,"0"), Du_Lieu_2026!$F$2 &amp; Du_Lieu_2026!$I$2 &amp; Du_Lieu_2026!$L$2 &amp; Du_Lieu_2026!$O$2)), "CÓ G7", "---")</f>
        <v>CÓ G7</v>
      </c>
      <c r="F52" s="3" t="str">
        <f t="shared" si="9"/>
        <v>CÓ NGUỒN</v>
      </c>
      <c r="G52" s="3" t="str">
        <f t="shared" si="10"/>
        <v>ĐÚNG CHẠM</v>
      </c>
      <c r="H52" s="3">
        <f t="shared" si="11"/>
        <v>25.047999999999998</v>
      </c>
      <c r="I52" s="3" t="str">
        <f t="shared" si="12"/>
        <v/>
      </c>
      <c r="J52" s="3" t="str">
        <f t="shared" si="13"/>
        <v/>
      </c>
    </row>
    <row r="53" spans="1:10" x14ac:dyDescent="0.25">
      <c r="A53" s="2">
        <v>51</v>
      </c>
      <c r="B53" s="2" t="s">
        <v>66</v>
      </c>
      <c r="C53" s="3">
        <f t="shared" si="7"/>
        <v>5</v>
      </c>
      <c r="D53" s="3" t="str">
        <f t="shared" si="8"/>
        <v>ĐÚNG TỔNG</v>
      </c>
      <c r="E53" s="3" t="str">
        <f>IF(ISNUMBER(SEARCH(TEXT(C53,"0"), Du_Lieu_2026!$F$2 &amp; Du_Lieu_2026!$I$2 &amp; Du_Lieu_2026!$L$2 &amp; Du_Lieu_2026!$O$2)), "CÓ G7", "---")</f>
        <v>CÓ G7</v>
      </c>
      <c r="F53" s="3" t="str">
        <f t="shared" si="9"/>
        <v>CÓ NGUỒN</v>
      </c>
      <c r="G53" s="3" t="str">
        <f t="shared" si="10"/>
        <v>KHÔNG</v>
      </c>
      <c r="H53" s="3">
        <f t="shared" si="11"/>
        <v>25.047000000000001</v>
      </c>
      <c r="I53" s="3" t="str">
        <f t="shared" si="12"/>
        <v/>
      </c>
      <c r="J53" s="3" t="str">
        <f t="shared" si="13"/>
        <v/>
      </c>
    </row>
    <row r="54" spans="1:10" x14ac:dyDescent="0.25">
      <c r="A54" s="2">
        <v>52</v>
      </c>
      <c r="B54" s="2" t="s">
        <v>67</v>
      </c>
      <c r="C54" s="3">
        <f t="shared" si="7"/>
        <v>6</v>
      </c>
      <c r="D54" s="3" t="str">
        <f t="shared" si="8"/>
        <v>KHÔNG</v>
      </c>
      <c r="E54" s="3" t="str">
        <f>IF(ISNUMBER(SEARCH(TEXT(C54,"0"), Du_Lieu_2026!$F$2 &amp; Du_Lieu_2026!$I$2 &amp; Du_Lieu_2026!$L$2 &amp; Du_Lieu_2026!$O$2)), "CÓ G7", "---")</f>
        <v>---</v>
      </c>
      <c r="F54" s="3" t="str">
        <f t="shared" si="9"/>
        <v>---</v>
      </c>
      <c r="G54" s="3" t="str">
        <f t="shared" si="10"/>
        <v>KHÔNG</v>
      </c>
      <c r="H54" s="3">
        <f t="shared" si="11"/>
        <v>4.5999999999999999E-2</v>
      </c>
      <c r="I54" s="3" t="str">
        <f t="shared" si="12"/>
        <v/>
      </c>
      <c r="J54" s="3" t="str">
        <f t="shared" si="13"/>
        <v/>
      </c>
    </row>
    <row r="55" spans="1:10" x14ac:dyDescent="0.25">
      <c r="A55" s="2">
        <v>53</v>
      </c>
      <c r="B55" s="2" t="s">
        <v>68</v>
      </c>
      <c r="C55" s="3">
        <f t="shared" si="7"/>
        <v>7</v>
      </c>
      <c r="D55" s="3" t="str">
        <f t="shared" si="8"/>
        <v>KHÔNG</v>
      </c>
      <c r="E55" s="3" t="str">
        <f>IF(ISNUMBER(SEARCH(TEXT(C55,"0"), Du_Lieu_2026!$F$2 &amp; Du_Lieu_2026!$I$2 &amp; Du_Lieu_2026!$L$2 &amp; Du_Lieu_2026!$O$2)), "CÓ G7", "---")</f>
        <v>CÓ G7</v>
      </c>
      <c r="F55" s="3" t="str">
        <f t="shared" si="9"/>
        <v>CÓ NGUỒN</v>
      </c>
      <c r="G55" s="3" t="str">
        <f t="shared" si="10"/>
        <v>KHÔNG</v>
      </c>
      <c r="H55" s="3">
        <f t="shared" si="11"/>
        <v>10.045</v>
      </c>
      <c r="I55" s="3" t="str">
        <f t="shared" si="12"/>
        <v/>
      </c>
      <c r="J55" s="3" t="str">
        <f t="shared" si="13"/>
        <v/>
      </c>
    </row>
    <row r="56" spans="1:10" x14ac:dyDescent="0.25">
      <c r="A56" s="2">
        <v>54</v>
      </c>
      <c r="B56" s="2" t="s">
        <v>69</v>
      </c>
      <c r="C56" s="3">
        <f t="shared" si="7"/>
        <v>8</v>
      </c>
      <c r="D56" s="3" t="str">
        <f t="shared" si="8"/>
        <v>KHÔNG</v>
      </c>
      <c r="E56" s="3" t="str">
        <f>IF(ISNUMBER(SEARCH(TEXT(C56,"0"), Du_Lieu_2026!$F$2 &amp; Du_Lieu_2026!$I$2 &amp; Du_Lieu_2026!$L$2 &amp; Du_Lieu_2026!$O$2)), "CÓ G7", "---")</f>
        <v>CÓ G7</v>
      </c>
      <c r="F56" s="3" t="str">
        <f t="shared" si="9"/>
        <v>CÓ NGUỒN</v>
      </c>
      <c r="G56" s="3" t="str">
        <f t="shared" si="10"/>
        <v>ĐÚNG CHẠM</v>
      </c>
      <c r="H56" s="3">
        <f t="shared" si="11"/>
        <v>25.044</v>
      </c>
      <c r="I56" s="3" t="str">
        <f t="shared" si="12"/>
        <v/>
      </c>
      <c r="J56" s="3" t="str">
        <f t="shared" si="13"/>
        <v/>
      </c>
    </row>
    <row r="57" spans="1:10" x14ac:dyDescent="0.25">
      <c r="A57" s="2">
        <v>55</v>
      </c>
      <c r="B57" s="2" t="s">
        <v>70</v>
      </c>
      <c r="C57" s="3">
        <f t="shared" si="7"/>
        <v>9</v>
      </c>
      <c r="D57" s="3" t="str">
        <f t="shared" si="8"/>
        <v>ĐÚNG TỔNG</v>
      </c>
      <c r="E57" s="3" t="str">
        <f>IF(ISNUMBER(SEARCH(TEXT(C57,"0"), Du_Lieu_2026!$F$2 &amp; Du_Lieu_2026!$I$2 &amp; Du_Lieu_2026!$L$2 &amp; Du_Lieu_2026!$O$2)), "CÓ G7", "---")</f>
        <v>---</v>
      </c>
      <c r="F57" s="3" t="str">
        <f t="shared" si="9"/>
        <v>---</v>
      </c>
      <c r="G57" s="3" t="str">
        <f t="shared" si="10"/>
        <v>ĐÚNG CHẠM</v>
      </c>
      <c r="H57" s="3">
        <f t="shared" si="11"/>
        <v>30.042999999999999</v>
      </c>
      <c r="I57" s="3" t="str">
        <f t="shared" si="12"/>
        <v/>
      </c>
      <c r="J57" s="3" t="str">
        <f t="shared" si="13"/>
        <v/>
      </c>
    </row>
    <row r="58" spans="1:10" x14ac:dyDescent="0.25">
      <c r="A58" s="2">
        <v>56</v>
      </c>
      <c r="B58" s="2" t="s">
        <v>71</v>
      </c>
      <c r="C58" s="3">
        <f t="shared" si="7"/>
        <v>0</v>
      </c>
      <c r="D58" s="3" t="str">
        <f t="shared" si="8"/>
        <v>ĐÚNG TỔNG</v>
      </c>
      <c r="E58" s="3" t="str">
        <f>IF(ISNUMBER(SEARCH(TEXT(C58,"0"), Du_Lieu_2026!$F$2 &amp; Du_Lieu_2026!$I$2 &amp; Du_Lieu_2026!$L$2 &amp; Du_Lieu_2026!$O$2)), "CÓ G7", "---")</f>
        <v>CÓ G7</v>
      </c>
      <c r="F58" s="3" t="str">
        <f t="shared" si="9"/>
        <v>CÓ NGUỒN</v>
      </c>
      <c r="G58" s="3" t="str">
        <f t="shared" si="10"/>
        <v>KHÔNG</v>
      </c>
      <c r="H58" s="3">
        <f t="shared" si="11"/>
        <v>25.042000000000002</v>
      </c>
      <c r="I58" s="3" t="str">
        <f t="shared" si="12"/>
        <v/>
      </c>
      <c r="J58" s="3" t="str">
        <f t="shared" si="13"/>
        <v/>
      </c>
    </row>
    <row r="59" spans="1:10" x14ac:dyDescent="0.25">
      <c r="A59" s="2">
        <v>57</v>
      </c>
      <c r="B59" s="2" t="s">
        <v>72</v>
      </c>
      <c r="C59" s="3">
        <f t="shared" si="7"/>
        <v>1</v>
      </c>
      <c r="D59" s="3" t="str">
        <f t="shared" si="8"/>
        <v>ĐÚNG TỔNG</v>
      </c>
      <c r="E59" s="3" t="str">
        <f>IF(ISNUMBER(SEARCH(TEXT(C59,"0"), Du_Lieu_2026!$F$2 &amp; Du_Lieu_2026!$I$2 &amp; Du_Lieu_2026!$L$2 &amp; Du_Lieu_2026!$O$2)), "CÓ G7", "---")</f>
        <v>---</v>
      </c>
      <c r="F59" s="3" t="str">
        <f t="shared" si="9"/>
        <v>---</v>
      </c>
      <c r="G59" s="3" t="str">
        <f t="shared" si="10"/>
        <v>KHÔNG</v>
      </c>
      <c r="H59" s="3">
        <f t="shared" si="11"/>
        <v>15.041</v>
      </c>
      <c r="I59" s="3" t="str">
        <f t="shared" si="12"/>
        <v/>
      </c>
      <c r="J59" s="3" t="str">
        <f t="shared" si="13"/>
        <v/>
      </c>
    </row>
    <row r="60" spans="1:10" x14ac:dyDescent="0.25">
      <c r="A60" s="2">
        <v>58</v>
      </c>
      <c r="B60" s="2" t="s">
        <v>73</v>
      </c>
      <c r="C60" s="3">
        <f t="shared" si="7"/>
        <v>2</v>
      </c>
      <c r="D60" s="3" t="str">
        <f t="shared" si="8"/>
        <v>KHÔNG</v>
      </c>
      <c r="E60" s="3" t="str">
        <f>IF(ISNUMBER(SEARCH(TEXT(C60,"0"), Du_Lieu_2026!$F$2 &amp; Du_Lieu_2026!$I$2 &amp; Du_Lieu_2026!$L$2 &amp; Du_Lieu_2026!$O$2)), "CÓ G7", "---")</f>
        <v>CÓ G7</v>
      </c>
      <c r="F60" s="3" t="str">
        <f t="shared" si="9"/>
        <v>CÓ NGUỒN</v>
      </c>
      <c r="G60" s="3" t="str">
        <f t="shared" si="10"/>
        <v>KHÔNG</v>
      </c>
      <c r="H60" s="3">
        <f t="shared" si="11"/>
        <v>10.039999999999999</v>
      </c>
      <c r="I60" s="3" t="str">
        <f t="shared" si="12"/>
        <v/>
      </c>
      <c r="J60" s="3" t="str">
        <f t="shared" si="13"/>
        <v/>
      </c>
    </row>
    <row r="61" spans="1:10" x14ac:dyDescent="0.25">
      <c r="A61" s="2">
        <v>59</v>
      </c>
      <c r="B61" s="2" t="s">
        <v>74</v>
      </c>
      <c r="C61" s="3">
        <f t="shared" si="7"/>
        <v>3</v>
      </c>
      <c r="D61" s="3" t="str">
        <f t="shared" si="8"/>
        <v>KHÔNG</v>
      </c>
      <c r="E61" s="3" t="str">
        <f>IF(ISNUMBER(SEARCH(TEXT(C61,"0"), Du_Lieu_2026!$F$2 &amp; Du_Lieu_2026!$I$2 &amp; Du_Lieu_2026!$L$2 &amp; Du_Lieu_2026!$O$2)), "CÓ G7", "---")</f>
        <v>CÓ G7</v>
      </c>
      <c r="F61" s="3" t="str">
        <f t="shared" si="9"/>
        <v>CÓ NGUỒN</v>
      </c>
      <c r="G61" s="3" t="str">
        <f t="shared" si="10"/>
        <v>ĐÚNG CHẠM</v>
      </c>
      <c r="H61" s="3">
        <f t="shared" si="11"/>
        <v>25.039000000000001</v>
      </c>
      <c r="I61" s="3" t="str">
        <f t="shared" si="12"/>
        <v/>
      </c>
      <c r="J61" s="3" t="str">
        <f t="shared" si="13"/>
        <v/>
      </c>
    </row>
    <row r="62" spans="1:10" x14ac:dyDescent="0.25">
      <c r="A62" s="2">
        <v>60</v>
      </c>
      <c r="B62" s="2" t="s">
        <v>75</v>
      </c>
      <c r="C62" s="3">
        <f t="shared" si="7"/>
        <v>4</v>
      </c>
      <c r="D62" s="3" t="str">
        <f t="shared" si="8"/>
        <v>KHÔNG</v>
      </c>
      <c r="E62" s="3" t="str">
        <f>IF(ISNUMBER(SEARCH(TEXT(C62,"0"), Du_Lieu_2026!$F$2 &amp; Du_Lieu_2026!$I$2 &amp; Du_Lieu_2026!$L$2 &amp; Du_Lieu_2026!$O$2)), "CÓ G7", "---")</f>
        <v>---</v>
      </c>
      <c r="F62" s="3" t="str">
        <f t="shared" si="9"/>
        <v>---</v>
      </c>
      <c r="G62" s="3" t="str">
        <f t="shared" si="10"/>
        <v>ĐÚNG CHẠM</v>
      </c>
      <c r="H62" s="3">
        <f t="shared" si="11"/>
        <v>15.038</v>
      </c>
      <c r="I62" s="3" t="str">
        <f t="shared" si="12"/>
        <v/>
      </c>
      <c r="J62" s="3" t="str">
        <f t="shared" si="13"/>
        <v/>
      </c>
    </row>
    <row r="63" spans="1:10" x14ac:dyDescent="0.25">
      <c r="A63" s="2">
        <v>61</v>
      </c>
      <c r="B63" s="2" t="s">
        <v>76</v>
      </c>
      <c r="C63" s="3">
        <f t="shared" si="7"/>
        <v>6</v>
      </c>
      <c r="D63" s="3" t="str">
        <f t="shared" si="8"/>
        <v>KHÔNG</v>
      </c>
      <c r="E63" s="3" t="str">
        <f>IF(ISNUMBER(SEARCH(TEXT(C63,"0"), Du_Lieu_2026!$F$2 &amp; Du_Lieu_2026!$I$2 &amp; Du_Lieu_2026!$L$2 &amp; Du_Lieu_2026!$O$2)), "CÓ G7", "---")</f>
        <v>---</v>
      </c>
      <c r="F63" s="3" t="str">
        <f t="shared" si="9"/>
        <v>---</v>
      </c>
      <c r="G63" s="3" t="str">
        <f t="shared" si="10"/>
        <v>KHÔNG</v>
      </c>
      <c r="H63" s="3">
        <f t="shared" si="11"/>
        <v>3.6999999999999998E-2</v>
      </c>
      <c r="I63" s="3" t="str">
        <f t="shared" si="12"/>
        <v/>
      </c>
      <c r="J63" s="3" t="str">
        <f t="shared" si="13"/>
        <v/>
      </c>
    </row>
    <row r="64" spans="1:10" x14ac:dyDescent="0.25">
      <c r="A64" s="2">
        <v>62</v>
      </c>
      <c r="B64" s="2" t="s">
        <v>77</v>
      </c>
      <c r="C64" s="3">
        <f t="shared" si="7"/>
        <v>7</v>
      </c>
      <c r="D64" s="3" t="str">
        <f t="shared" si="8"/>
        <v>KHÔNG</v>
      </c>
      <c r="E64" s="3" t="str">
        <f>IF(ISNUMBER(SEARCH(TEXT(C64,"0"), Du_Lieu_2026!$F$2 &amp; Du_Lieu_2026!$I$2 &amp; Du_Lieu_2026!$L$2 &amp; Du_Lieu_2026!$O$2)), "CÓ G7", "---")</f>
        <v>CÓ G7</v>
      </c>
      <c r="F64" s="3" t="str">
        <f t="shared" si="9"/>
        <v>CÓ NGUỒN</v>
      </c>
      <c r="G64" s="3" t="str">
        <f t="shared" si="10"/>
        <v>KHÔNG</v>
      </c>
      <c r="H64" s="3">
        <f t="shared" si="11"/>
        <v>10.036</v>
      </c>
      <c r="I64" s="3" t="str">
        <f t="shared" si="12"/>
        <v/>
      </c>
      <c r="J64" s="3" t="str">
        <f t="shared" si="13"/>
        <v/>
      </c>
    </row>
    <row r="65" spans="1:10" x14ac:dyDescent="0.25">
      <c r="A65" s="2">
        <v>63</v>
      </c>
      <c r="B65" s="2" t="s">
        <v>78</v>
      </c>
      <c r="C65" s="3">
        <f t="shared" si="7"/>
        <v>8</v>
      </c>
      <c r="D65" s="3" t="str">
        <f t="shared" si="8"/>
        <v>KHÔNG</v>
      </c>
      <c r="E65" s="3" t="str">
        <f>IF(ISNUMBER(SEARCH(TEXT(C65,"0"), Du_Lieu_2026!$F$2 &amp; Du_Lieu_2026!$I$2 &amp; Du_Lieu_2026!$L$2 &amp; Du_Lieu_2026!$O$2)), "CÓ G7", "---")</f>
        <v>CÓ G7</v>
      </c>
      <c r="F65" s="3" t="str">
        <f t="shared" si="9"/>
        <v>CÓ NGUỒN</v>
      </c>
      <c r="G65" s="3" t="str">
        <f t="shared" si="10"/>
        <v>KHÔNG</v>
      </c>
      <c r="H65" s="3">
        <f t="shared" si="11"/>
        <v>10.035</v>
      </c>
      <c r="I65" s="3" t="str">
        <f t="shared" si="12"/>
        <v/>
      </c>
      <c r="J65" s="3" t="str">
        <f t="shared" si="13"/>
        <v/>
      </c>
    </row>
    <row r="66" spans="1:10" x14ac:dyDescent="0.25">
      <c r="A66" s="2">
        <v>64</v>
      </c>
      <c r="B66" s="2" t="s">
        <v>79</v>
      </c>
      <c r="C66" s="3">
        <f t="shared" si="7"/>
        <v>9</v>
      </c>
      <c r="D66" s="3" t="str">
        <f t="shared" si="8"/>
        <v>ĐÚNG TỔNG</v>
      </c>
      <c r="E66" s="3" t="str">
        <f>IF(ISNUMBER(SEARCH(TEXT(C66,"0"), Du_Lieu_2026!$F$2 &amp; Du_Lieu_2026!$I$2 &amp; Du_Lieu_2026!$L$2 &amp; Du_Lieu_2026!$O$2)), "CÓ G7", "---")</f>
        <v>---</v>
      </c>
      <c r="F66" s="3" t="str">
        <f t="shared" si="9"/>
        <v>---</v>
      </c>
      <c r="G66" s="3" t="str">
        <f t="shared" si="10"/>
        <v>ĐÚNG CHẠM</v>
      </c>
      <c r="H66" s="3">
        <f t="shared" si="11"/>
        <v>30.033999999999999</v>
      </c>
      <c r="I66" s="3" t="str">
        <f t="shared" si="12"/>
        <v/>
      </c>
      <c r="J66" s="3" t="str">
        <f t="shared" si="13"/>
        <v/>
      </c>
    </row>
    <row r="67" spans="1:10" x14ac:dyDescent="0.25">
      <c r="A67" s="2">
        <v>65</v>
      </c>
      <c r="B67" s="2" t="s">
        <v>80</v>
      </c>
      <c r="C67" s="3">
        <f t="shared" ref="C67:C98" si="14">MOD(VALUE(LEFT(B67,1))+VALUE(RIGHT(B67,1)), 10)</f>
        <v>0</v>
      </c>
      <c r="D67" s="3" t="str">
        <f t="shared" ref="D67:D98" si="15">IF(ISNUMBER(SEARCH(TEXT(C67,"0"),$C$2)), "ĐÚNG TỔNG", "KHÔNG")</f>
        <v>ĐÚNG TỔNG</v>
      </c>
      <c r="E67" s="3" t="str">
        <f>IF(ISNUMBER(SEARCH(TEXT(C67,"0"), Du_Lieu_2026!$F$2 &amp; Du_Lieu_2026!$I$2 &amp; Du_Lieu_2026!$L$2 &amp; Du_Lieu_2026!$O$2)), "CÓ G7", "---")</f>
        <v>CÓ G7</v>
      </c>
      <c r="F67" s="3" t="str">
        <f t="shared" ref="F67:F98" si="16">IF(E67="CÓ G7", "CÓ NGUỒN", "---")</f>
        <v>CÓ NGUỒN</v>
      </c>
      <c r="G67" s="3" t="str">
        <f t="shared" ref="G67:G102" si="17">IF(OR(ISNUMBER(SEARCH(LEFT(B67,1),$G$2)), ISNUMBER(SEARCH(RIGHT(B67,1),$G$2))), "ĐÚNG CHẠM", "KHÔNG")</f>
        <v>ĐÚNG CHẠM</v>
      </c>
      <c r="H67" s="3">
        <f t="shared" ref="H67:H98" si="18">IF(D67="ĐÚNG TỔNG", 15, 0) + IF(G67="ĐÚNG CHẠM", 15, 0) + IF(E67="CÓ G7", 10, 0) + (100-ROW())/1000</f>
        <v>40.033000000000001</v>
      </c>
      <c r="I67" s="3" t="str">
        <f t="shared" ref="I67:I98" si="19">IF(RANK(H67,$H$3:$H$102)&lt;=20, B67, "")</f>
        <v>64</v>
      </c>
      <c r="J67" s="3" t="str">
        <f t="shared" ref="J67:J102" si="20">IF(AND(D67="ĐÚNG TỔNG", G67="ĐÚNG CHẠM", RANK(H67,$H$3:$H$102)&lt;=10), B67, "")</f>
        <v>64</v>
      </c>
    </row>
    <row r="68" spans="1:10" x14ac:dyDescent="0.25">
      <c r="A68" s="2">
        <v>66</v>
      </c>
      <c r="B68" s="2" t="s">
        <v>81</v>
      </c>
      <c r="C68" s="3">
        <f t="shared" si="14"/>
        <v>1</v>
      </c>
      <c r="D68" s="3" t="str">
        <f t="shared" si="15"/>
        <v>ĐÚNG TỔNG</v>
      </c>
      <c r="E68" s="3" t="str">
        <f>IF(ISNUMBER(SEARCH(TEXT(C68,"0"), Du_Lieu_2026!$F$2 &amp; Du_Lieu_2026!$I$2 &amp; Du_Lieu_2026!$L$2 &amp; Du_Lieu_2026!$O$2)), "CÓ G7", "---")</f>
        <v>---</v>
      </c>
      <c r="F68" s="3" t="str">
        <f t="shared" si="16"/>
        <v>---</v>
      </c>
      <c r="G68" s="3" t="str">
        <f t="shared" si="17"/>
        <v>KHÔNG</v>
      </c>
      <c r="H68" s="3">
        <f t="shared" si="18"/>
        <v>15.032</v>
      </c>
      <c r="I68" s="3" t="str">
        <f t="shared" si="19"/>
        <v/>
      </c>
      <c r="J68" s="3" t="str">
        <f t="shared" si="20"/>
        <v/>
      </c>
    </row>
    <row r="69" spans="1:10" x14ac:dyDescent="0.25">
      <c r="A69" s="2">
        <v>67</v>
      </c>
      <c r="B69" s="2" t="s">
        <v>82</v>
      </c>
      <c r="C69" s="3">
        <f t="shared" si="14"/>
        <v>2</v>
      </c>
      <c r="D69" s="3" t="str">
        <f t="shared" si="15"/>
        <v>KHÔNG</v>
      </c>
      <c r="E69" s="3" t="str">
        <f>IF(ISNUMBER(SEARCH(TEXT(C69,"0"), Du_Lieu_2026!$F$2 &amp; Du_Lieu_2026!$I$2 &amp; Du_Lieu_2026!$L$2 &amp; Du_Lieu_2026!$O$2)), "CÓ G7", "---")</f>
        <v>CÓ G7</v>
      </c>
      <c r="F69" s="3" t="str">
        <f t="shared" si="16"/>
        <v>CÓ NGUỒN</v>
      </c>
      <c r="G69" s="3" t="str">
        <f t="shared" si="17"/>
        <v>KHÔNG</v>
      </c>
      <c r="H69" s="3">
        <f t="shared" si="18"/>
        <v>10.031000000000001</v>
      </c>
      <c r="I69" s="3" t="str">
        <f t="shared" si="19"/>
        <v/>
      </c>
      <c r="J69" s="3" t="str">
        <f t="shared" si="20"/>
        <v/>
      </c>
    </row>
    <row r="70" spans="1:10" x14ac:dyDescent="0.25">
      <c r="A70" s="2">
        <v>68</v>
      </c>
      <c r="B70" s="2" t="s">
        <v>83</v>
      </c>
      <c r="C70" s="3">
        <f t="shared" si="14"/>
        <v>3</v>
      </c>
      <c r="D70" s="3" t="str">
        <f t="shared" si="15"/>
        <v>KHÔNG</v>
      </c>
      <c r="E70" s="3" t="str">
        <f>IF(ISNUMBER(SEARCH(TEXT(C70,"0"), Du_Lieu_2026!$F$2 &amp; Du_Lieu_2026!$I$2 &amp; Du_Lieu_2026!$L$2 &amp; Du_Lieu_2026!$O$2)), "CÓ G7", "---")</f>
        <v>CÓ G7</v>
      </c>
      <c r="F70" s="3" t="str">
        <f t="shared" si="16"/>
        <v>CÓ NGUỒN</v>
      </c>
      <c r="G70" s="3" t="str">
        <f t="shared" si="17"/>
        <v>KHÔNG</v>
      </c>
      <c r="H70" s="3">
        <f t="shared" si="18"/>
        <v>10.029999999999999</v>
      </c>
      <c r="I70" s="3" t="str">
        <f t="shared" si="19"/>
        <v/>
      </c>
      <c r="J70" s="3" t="str">
        <f t="shared" si="20"/>
        <v/>
      </c>
    </row>
    <row r="71" spans="1:10" x14ac:dyDescent="0.25">
      <c r="A71" s="2">
        <v>69</v>
      </c>
      <c r="B71" s="2" t="s">
        <v>84</v>
      </c>
      <c r="C71" s="3">
        <f t="shared" si="14"/>
        <v>4</v>
      </c>
      <c r="D71" s="3" t="str">
        <f t="shared" si="15"/>
        <v>KHÔNG</v>
      </c>
      <c r="E71" s="3" t="str">
        <f>IF(ISNUMBER(SEARCH(TEXT(C71,"0"), Du_Lieu_2026!$F$2 &amp; Du_Lieu_2026!$I$2 &amp; Du_Lieu_2026!$L$2 &amp; Du_Lieu_2026!$O$2)), "CÓ G7", "---")</f>
        <v>---</v>
      </c>
      <c r="F71" s="3" t="str">
        <f t="shared" si="16"/>
        <v>---</v>
      </c>
      <c r="G71" s="3" t="str">
        <f t="shared" si="17"/>
        <v>ĐÚNG CHẠM</v>
      </c>
      <c r="H71" s="3">
        <f t="shared" si="18"/>
        <v>15.029</v>
      </c>
      <c r="I71" s="3" t="str">
        <f t="shared" si="19"/>
        <v/>
      </c>
      <c r="J71" s="3" t="str">
        <f t="shared" si="20"/>
        <v/>
      </c>
    </row>
    <row r="72" spans="1:10" x14ac:dyDescent="0.25">
      <c r="A72" s="2">
        <v>70</v>
      </c>
      <c r="B72" s="2" t="s">
        <v>85</v>
      </c>
      <c r="C72" s="3">
        <f t="shared" si="14"/>
        <v>5</v>
      </c>
      <c r="D72" s="3" t="str">
        <f t="shared" si="15"/>
        <v>ĐÚNG TỔNG</v>
      </c>
      <c r="E72" s="3" t="str">
        <f>IF(ISNUMBER(SEARCH(TEXT(C72,"0"), Du_Lieu_2026!$F$2 &amp; Du_Lieu_2026!$I$2 &amp; Du_Lieu_2026!$L$2 &amp; Du_Lieu_2026!$O$2)), "CÓ G7", "---")</f>
        <v>CÓ G7</v>
      </c>
      <c r="F72" s="3" t="str">
        <f t="shared" si="16"/>
        <v>CÓ NGUỒN</v>
      </c>
      <c r="G72" s="3" t="str">
        <f t="shared" si="17"/>
        <v>ĐÚNG CHẠM</v>
      </c>
      <c r="H72" s="3">
        <f t="shared" si="18"/>
        <v>40.027999999999999</v>
      </c>
      <c r="I72" s="3" t="str">
        <f t="shared" si="19"/>
        <v>69</v>
      </c>
      <c r="J72" s="3" t="str">
        <f t="shared" si="20"/>
        <v>69</v>
      </c>
    </row>
    <row r="73" spans="1:10" x14ac:dyDescent="0.25">
      <c r="A73" s="2">
        <v>71</v>
      </c>
      <c r="B73" s="2" t="s">
        <v>86</v>
      </c>
      <c r="C73" s="3">
        <f t="shared" si="14"/>
        <v>7</v>
      </c>
      <c r="D73" s="3" t="str">
        <f t="shared" si="15"/>
        <v>KHÔNG</v>
      </c>
      <c r="E73" s="3" t="str">
        <f>IF(ISNUMBER(SEARCH(TEXT(C73,"0"), Du_Lieu_2026!$F$2 &amp; Du_Lieu_2026!$I$2 &amp; Du_Lieu_2026!$L$2 &amp; Du_Lieu_2026!$O$2)), "CÓ G7", "---")</f>
        <v>CÓ G7</v>
      </c>
      <c r="F73" s="3" t="str">
        <f t="shared" si="16"/>
        <v>CÓ NGUỒN</v>
      </c>
      <c r="G73" s="3" t="str">
        <f t="shared" si="17"/>
        <v>KHÔNG</v>
      </c>
      <c r="H73" s="3">
        <f t="shared" si="18"/>
        <v>10.026999999999999</v>
      </c>
      <c r="I73" s="3" t="str">
        <f t="shared" si="19"/>
        <v/>
      </c>
      <c r="J73" s="3" t="str">
        <f t="shared" si="20"/>
        <v/>
      </c>
    </row>
    <row r="74" spans="1:10" x14ac:dyDescent="0.25">
      <c r="A74" s="2">
        <v>72</v>
      </c>
      <c r="B74" s="2" t="s">
        <v>87</v>
      </c>
      <c r="C74" s="3">
        <f t="shared" si="14"/>
        <v>8</v>
      </c>
      <c r="D74" s="3" t="str">
        <f t="shared" si="15"/>
        <v>KHÔNG</v>
      </c>
      <c r="E74" s="3" t="str">
        <f>IF(ISNUMBER(SEARCH(TEXT(C74,"0"), Du_Lieu_2026!$F$2 &amp; Du_Lieu_2026!$I$2 &amp; Du_Lieu_2026!$L$2 &amp; Du_Lieu_2026!$O$2)), "CÓ G7", "---")</f>
        <v>CÓ G7</v>
      </c>
      <c r="F74" s="3" t="str">
        <f t="shared" si="16"/>
        <v>CÓ NGUỒN</v>
      </c>
      <c r="G74" s="3" t="str">
        <f t="shared" si="17"/>
        <v>KHÔNG</v>
      </c>
      <c r="H74" s="3">
        <f t="shared" si="18"/>
        <v>10.026</v>
      </c>
      <c r="I74" s="3" t="str">
        <f t="shared" si="19"/>
        <v/>
      </c>
      <c r="J74" s="3" t="str">
        <f t="shared" si="20"/>
        <v/>
      </c>
    </row>
    <row r="75" spans="1:10" x14ac:dyDescent="0.25">
      <c r="A75" s="2">
        <v>73</v>
      </c>
      <c r="B75" s="2" t="s">
        <v>88</v>
      </c>
      <c r="C75" s="3">
        <f t="shared" si="14"/>
        <v>9</v>
      </c>
      <c r="D75" s="3" t="str">
        <f t="shared" si="15"/>
        <v>ĐÚNG TỔNG</v>
      </c>
      <c r="E75" s="3" t="str">
        <f>IF(ISNUMBER(SEARCH(TEXT(C75,"0"), Du_Lieu_2026!$F$2 &amp; Du_Lieu_2026!$I$2 &amp; Du_Lieu_2026!$L$2 &amp; Du_Lieu_2026!$O$2)), "CÓ G7", "---")</f>
        <v>---</v>
      </c>
      <c r="F75" s="3" t="str">
        <f t="shared" si="16"/>
        <v>---</v>
      </c>
      <c r="G75" s="3" t="str">
        <f t="shared" si="17"/>
        <v>KHÔNG</v>
      </c>
      <c r="H75" s="3">
        <f t="shared" si="18"/>
        <v>15.025</v>
      </c>
      <c r="I75" s="3" t="str">
        <f t="shared" si="19"/>
        <v/>
      </c>
      <c r="J75" s="3" t="str">
        <f t="shared" si="20"/>
        <v/>
      </c>
    </row>
    <row r="76" spans="1:10" x14ac:dyDescent="0.25">
      <c r="A76" s="2">
        <v>74</v>
      </c>
      <c r="B76" s="2" t="s">
        <v>89</v>
      </c>
      <c r="C76" s="3">
        <f t="shared" si="14"/>
        <v>0</v>
      </c>
      <c r="D76" s="3" t="str">
        <f t="shared" si="15"/>
        <v>ĐÚNG TỔNG</v>
      </c>
      <c r="E76" s="3" t="str">
        <f>IF(ISNUMBER(SEARCH(TEXT(C76,"0"), Du_Lieu_2026!$F$2 &amp; Du_Lieu_2026!$I$2 &amp; Du_Lieu_2026!$L$2 &amp; Du_Lieu_2026!$O$2)), "CÓ G7", "---")</f>
        <v>CÓ G7</v>
      </c>
      <c r="F76" s="3" t="str">
        <f t="shared" si="16"/>
        <v>CÓ NGUỒN</v>
      </c>
      <c r="G76" s="3" t="str">
        <f t="shared" si="17"/>
        <v>ĐÚNG CHẠM</v>
      </c>
      <c r="H76" s="3">
        <f t="shared" si="18"/>
        <v>40.024000000000001</v>
      </c>
      <c r="I76" s="3" t="str">
        <f t="shared" si="19"/>
        <v>73</v>
      </c>
      <c r="J76" s="3" t="str">
        <f t="shared" si="20"/>
        <v/>
      </c>
    </row>
    <row r="77" spans="1:10" x14ac:dyDescent="0.25">
      <c r="A77" s="2">
        <v>75</v>
      </c>
      <c r="B77" s="2" t="s">
        <v>90</v>
      </c>
      <c r="C77" s="3">
        <f t="shared" si="14"/>
        <v>1</v>
      </c>
      <c r="D77" s="3" t="str">
        <f t="shared" si="15"/>
        <v>ĐÚNG TỔNG</v>
      </c>
      <c r="E77" s="3" t="str">
        <f>IF(ISNUMBER(SEARCH(TEXT(C77,"0"), Du_Lieu_2026!$F$2 &amp; Du_Lieu_2026!$I$2 &amp; Du_Lieu_2026!$L$2 &amp; Du_Lieu_2026!$O$2)), "CÓ G7", "---")</f>
        <v>---</v>
      </c>
      <c r="F77" s="3" t="str">
        <f t="shared" si="16"/>
        <v>---</v>
      </c>
      <c r="G77" s="3" t="str">
        <f t="shared" si="17"/>
        <v>ĐÚNG CHẠM</v>
      </c>
      <c r="H77" s="3">
        <f t="shared" si="18"/>
        <v>30.023</v>
      </c>
      <c r="I77" s="3" t="str">
        <f t="shared" si="19"/>
        <v/>
      </c>
      <c r="J77" s="3" t="str">
        <f t="shared" si="20"/>
        <v/>
      </c>
    </row>
    <row r="78" spans="1:10" x14ac:dyDescent="0.25">
      <c r="A78" s="2">
        <v>76</v>
      </c>
      <c r="B78" s="2" t="s">
        <v>91</v>
      </c>
      <c r="C78" s="3">
        <f t="shared" si="14"/>
        <v>2</v>
      </c>
      <c r="D78" s="3" t="str">
        <f t="shared" si="15"/>
        <v>KHÔNG</v>
      </c>
      <c r="E78" s="3" t="str">
        <f>IF(ISNUMBER(SEARCH(TEXT(C78,"0"), Du_Lieu_2026!$F$2 &amp; Du_Lieu_2026!$I$2 &amp; Du_Lieu_2026!$L$2 &amp; Du_Lieu_2026!$O$2)), "CÓ G7", "---")</f>
        <v>CÓ G7</v>
      </c>
      <c r="F78" s="3" t="str">
        <f t="shared" si="16"/>
        <v>CÓ NGUỒN</v>
      </c>
      <c r="G78" s="3" t="str">
        <f t="shared" si="17"/>
        <v>KHÔNG</v>
      </c>
      <c r="H78" s="3">
        <f t="shared" si="18"/>
        <v>10.022</v>
      </c>
      <c r="I78" s="3" t="str">
        <f t="shared" si="19"/>
        <v/>
      </c>
      <c r="J78" s="3" t="str">
        <f t="shared" si="20"/>
        <v/>
      </c>
    </row>
    <row r="79" spans="1:10" x14ac:dyDescent="0.25">
      <c r="A79" s="2">
        <v>77</v>
      </c>
      <c r="B79" s="2" t="s">
        <v>92</v>
      </c>
      <c r="C79" s="3">
        <f t="shared" si="14"/>
        <v>3</v>
      </c>
      <c r="D79" s="3" t="str">
        <f t="shared" si="15"/>
        <v>KHÔNG</v>
      </c>
      <c r="E79" s="3" t="str">
        <f>IF(ISNUMBER(SEARCH(TEXT(C79,"0"), Du_Lieu_2026!$F$2 &amp; Du_Lieu_2026!$I$2 &amp; Du_Lieu_2026!$L$2 &amp; Du_Lieu_2026!$O$2)), "CÓ G7", "---")</f>
        <v>CÓ G7</v>
      </c>
      <c r="F79" s="3" t="str">
        <f t="shared" si="16"/>
        <v>CÓ NGUỒN</v>
      </c>
      <c r="G79" s="3" t="str">
        <f t="shared" si="17"/>
        <v>KHÔNG</v>
      </c>
      <c r="H79" s="3">
        <f t="shared" si="18"/>
        <v>10.021000000000001</v>
      </c>
      <c r="I79" s="3" t="str">
        <f t="shared" si="19"/>
        <v/>
      </c>
      <c r="J79" s="3" t="str">
        <f t="shared" si="20"/>
        <v/>
      </c>
    </row>
    <row r="80" spans="1:10" x14ac:dyDescent="0.25">
      <c r="A80" s="2">
        <v>78</v>
      </c>
      <c r="B80" s="2" t="s">
        <v>93</v>
      </c>
      <c r="C80" s="3">
        <f t="shared" si="14"/>
        <v>4</v>
      </c>
      <c r="D80" s="3" t="str">
        <f t="shared" si="15"/>
        <v>KHÔNG</v>
      </c>
      <c r="E80" s="3" t="str">
        <f>IF(ISNUMBER(SEARCH(TEXT(C80,"0"), Du_Lieu_2026!$F$2 &amp; Du_Lieu_2026!$I$2 &amp; Du_Lieu_2026!$L$2 &amp; Du_Lieu_2026!$O$2)), "CÓ G7", "---")</f>
        <v>---</v>
      </c>
      <c r="F80" s="3" t="str">
        <f t="shared" si="16"/>
        <v>---</v>
      </c>
      <c r="G80" s="3" t="str">
        <f t="shared" si="17"/>
        <v>KHÔNG</v>
      </c>
      <c r="H80" s="3">
        <f t="shared" si="18"/>
        <v>0.02</v>
      </c>
      <c r="I80" s="3" t="str">
        <f t="shared" si="19"/>
        <v/>
      </c>
      <c r="J80" s="3" t="str">
        <f t="shared" si="20"/>
        <v/>
      </c>
    </row>
    <row r="81" spans="1:10" x14ac:dyDescent="0.25">
      <c r="A81" s="2">
        <v>79</v>
      </c>
      <c r="B81" s="2" t="s">
        <v>94</v>
      </c>
      <c r="C81" s="3">
        <f t="shared" si="14"/>
        <v>5</v>
      </c>
      <c r="D81" s="3" t="str">
        <f t="shared" si="15"/>
        <v>ĐÚNG TỔNG</v>
      </c>
      <c r="E81" s="3" t="str">
        <f>IF(ISNUMBER(SEARCH(TEXT(C81,"0"), Du_Lieu_2026!$F$2 &amp; Du_Lieu_2026!$I$2 &amp; Du_Lieu_2026!$L$2 &amp; Du_Lieu_2026!$O$2)), "CÓ G7", "---")</f>
        <v>CÓ G7</v>
      </c>
      <c r="F81" s="3" t="str">
        <f t="shared" si="16"/>
        <v>CÓ NGUỒN</v>
      </c>
      <c r="G81" s="3" t="str">
        <f t="shared" si="17"/>
        <v>ĐÚNG CHẠM</v>
      </c>
      <c r="H81" s="3">
        <f t="shared" si="18"/>
        <v>40.018999999999998</v>
      </c>
      <c r="I81" s="3" t="str">
        <f t="shared" si="19"/>
        <v>78</v>
      </c>
      <c r="J81" s="3" t="str">
        <f t="shared" si="20"/>
        <v/>
      </c>
    </row>
    <row r="82" spans="1:10" x14ac:dyDescent="0.25">
      <c r="A82" s="2">
        <v>80</v>
      </c>
      <c r="B82" s="2" t="s">
        <v>95</v>
      </c>
      <c r="C82" s="3">
        <f t="shared" si="14"/>
        <v>6</v>
      </c>
      <c r="D82" s="3" t="str">
        <f t="shared" si="15"/>
        <v>KHÔNG</v>
      </c>
      <c r="E82" s="3" t="str">
        <f>IF(ISNUMBER(SEARCH(TEXT(C82,"0"), Du_Lieu_2026!$F$2 &amp; Du_Lieu_2026!$I$2 &amp; Du_Lieu_2026!$L$2 &amp; Du_Lieu_2026!$O$2)), "CÓ G7", "---")</f>
        <v>---</v>
      </c>
      <c r="F82" s="3" t="str">
        <f t="shared" si="16"/>
        <v>---</v>
      </c>
      <c r="G82" s="3" t="str">
        <f t="shared" si="17"/>
        <v>ĐÚNG CHẠM</v>
      </c>
      <c r="H82" s="3">
        <f t="shared" si="18"/>
        <v>15.018000000000001</v>
      </c>
      <c r="I82" s="3" t="str">
        <f t="shared" si="19"/>
        <v/>
      </c>
      <c r="J82" s="3" t="str">
        <f t="shared" si="20"/>
        <v/>
      </c>
    </row>
    <row r="83" spans="1:10" x14ac:dyDescent="0.25">
      <c r="A83" s="2">
        <v>81</v>
      </c>
      <c r="B83" s="2" t="s">
        <v>96</v>
      </c>
      <c r="C83" s="3">
        <f t="shared" si="14"/>
        <v>8</v>
      </c>
      <c r="D83" s="3" t="str">
        <f t="shared" si="15"/>
        <v>KHÔNG</v>
      </c>
      <c r="E83" s="3" t="str">
        <f>IF(ISNUMBER(SEARCH(TEXT(C83,"0"), Du_Lieu_2026!$F$2 &amp; Du_Lieu_2026!$I$2 &amp; Du_Lieu_2026!$L$2 &amp; Du_Lieu_2026!$O$2)), "CÓ G7", "---")</f>
        <v>CÓ G7</v>
      </c>
      <c r="F83" s="3" t="str">
        <f t="shared" si="16"/>
        <v>CÓ NGUỒN</v>
      </c>
      <c r="G83" s="3" t="str">
        <f t="shared" si="17"/>
        <v>ĐÚNG CHẠM</v>
      </c>
      <c r="H83" s="3">
        <f t="shared" si="18"/>
        <v>25.016999999999999</v>
      </c>
      <c r="I83" s="3" t="str">
        <f t="shared" si="19"/>
        <v/>
      </c>
      <c r="J83" s="3" t="str">
        <f t="shared" si="20"/>
        <v/>
      </c>
    </row>
    <row r="84" spans="1:10" x14ac:dyDescent="0.25">
      <c r="A84" s="2">
        <v>82</v>
      </c>
      <c r="B84" s="2" t="s">
        <v>97</v>
      </c>
      <c r="C84" s="3">
        <f t="shared" si="14"/>
        <v>9</v>
      </c>
      <c r="D84" s="3" t="str">
        <f t="shared" si="15"/>
        <v>ĐÚNG TỔNG</v>
      </c>
      <c r="E84" s="3" t="str">
        <f>IF(ISNUMBER(SEARCH(TEXT(C84,"0"), Du_Lieu_2026!$F$2 &amp; Du_Lieu_2026!$I$2 &amp; Du_Lieu_2026!$L$2 &amp; Du_Lieu_2026!$O$2)), "CÓ G7", "---")</f>
        <v>---</v>
      </c>
      <c r="F84" s="3" t="str">
        <f t="shared" si="16"/>
        <v>---</v>
      </c>
      <c r="G84" s="3" t="str">
        <f t="shared" si="17"/>
        <v>ĐÚNG CHẠM</v>
      </c>
      <c r="H84" s="3">
        <f t="shared" si="18"/>
        <v>30.015999999999998</v>
      </c>
      <c r="I84" s="3" t="str">
        <f t="shared" si="19"/>
        <v/>
      </c>
      <c r="J84" s="3" t="str">
        <f t="shared" si="20"/>
        <v/>
      </c>
    </row>
    <row r="85" spans="1:10" x14ac:dyDescent="0.25">
      <c r="A85" s="2">
        <v>83</v>
      </c>
      <c r="B85" s="2" t="s">
        <v>98</v>
      </c>
      <c r="C85" s="3">
        <f t="shared" si="14"/>
        <v>0</v>
      </c>
      <c r="D85" s="3" t="str">
        <f t="shared" si="15"/>
        <v>ĐÚNG TỔNG</v>
      </c>
      <c r="E85" s="3" t="str">
        <f>IF(ISNUMBER(SEARCH(TEXT(C85,"0"), Du_Lieu_2026!$F$2 &amp; Du_Lieu_2026!$I$2 &amp; Du_Lieu_2026!$L$2 &amp; Du_Lieu_2026!$O$2)), "CÓ G7", "---")</f>
        <v>CÓ G7</v>
      </c>
      <c r="F85" s="3" t="str">
        <f t="shared" si="16"/>
        <v>CÓ NGUỒN</v>
      </c>
      <c r="G85" s="3" t="str">
        <f t="shared" si="17"/>
        <v>ĐÚNG CHẠM</v>
      </c>
      <c r="H85" s="3">
        <f t="shared" si="18"/>
        <v>40.015000000000001</v>
      </c>
      <c r="I85" s="3" t="str">
        <f t="shared" si="19"/>
        <v>82</v>
      </c>
      <c r="J85" s="3" t="str">
        <f t="shared" si="20"/>
        <v/>
      </c>
    </row>
    <row r="86" spans="1:10" x14ac:dyDescent="0.25">
      <c r="A86" s="2">
        <v>84</v>
      </c>
      <c r="B86" s="2" t="s">
        <v>99</v>
      </c>
      <c r="C86" s="3">
        <f t="shared" si="14"/>
        <v>1</v>
      </c>
      <c r="D86" s="3" t="str">
        <f t="shared" si="15"/>
        <v>ĐÚNG TỔNG</v>
      </c>
      <c r="E86" s="3" t="str">
        <f>IF(ISNUMBER(SEARCH(TEXT(C86,"0"), Du_Lieu_2026!$F$2 &amp; Du_Lieu_2026!$I$2 &amp; Du_Lieu_2026!$L$2 &amp; Du_Lieu_2026!$O$2)), "CÓ G7", "---")</f>
        <v>---</v>
      </c>
      <c r="F86" s="3" t="str">
        <f t="shared" si="16"/>
        <v>---</v>
      </c>
      <c r="G86" s="3" t="str">
        <f t="shared" si="17"/>
        <v>ĐÚNG CHẠM</v>
      </c>
      <c r="H86" s="3">
        <f t="shared" si="18"/>
        <v>30.013999999999999</v>
      </c>
      <c r="I86" s="3" t="str">
        <f t="shared" si="19"/>
        <v/>
      </c>
      <c r="J86" s="3" t="str">
        <f t="shared" si="20"/>
        <v/>
      </c>
    </row>
    <row r="87" spans="1:10" x14ac:dyDescent="0.25">
      <c r="A87" s="2">
        <v>85</v>
      </c>
      <c r="B87" s="2" t="s">
        <v>100</v>
      </c>
      <c r="C87" s="3">
        <f t="shared" si="14"/>
        <v>2</v>
      </c>
      <c r="D87" s="3" t="str">
        <f t="shared" si="15"/>
        <v>KHÔNG</v>
      </c>
      <c r="E87" s="3" t="str">
        <f>IF(ISNUMBER(SEARCH(TEXT(C87,"0"), Du_Lieu_2026!$F$2 &amp; Du_Lieu_2026!$I$2 &amp; Du_Lieu_2026!$L$2 &amp; Du_Lieu_2026!$O$2)), "CÓ G7", "---")</f>
        <v>CÓ G7</v>
      </c>
      <c r="F87" s="3" t="str">
        <f t="shared" si="16"/>
        <v>CÓ NGUỒN</v>
      </c>
      <c r="G87" s="3" t="str">
        <f t="shared" si="17"/>
        <v>ĐÚNG CHẠM</v>
      </c>
      <c r="H87" s="3">
        <f t="shared" si="18"/>
        <v>25.013000000000002</v>
      </c>
      <c r="I87" s="3" t="str">
        <f t="shared" si="19"/>
        <v/>
      </c>
      <c r="J87" s="3" t="str">
        <f t="shared" si="20"/>
        <v/>
      </c>
    </row>
    <row r="88" spans="1:10" x14ac:dyDescent="0.25">
      <c r="A88" s="2">
        <v>86</v>
      </c>
      <c r="B88" s="2" t="s">
        <v>101</v>
      </c>
      <c r="C88" s="3">
        <f t="shared" si="14"/>
        <v>3</v>
      </c>
      <c r="D88" s="3" t="str">
        <f t="shared" si="15"/>
        <v>KHÔNG</v>
      </c>
      <c r="E88" s="3" t="str">
        <f>IF(ISNUMBER(SEARCH(TEXT(C88,"0"), Du_Lieu_2026!$F$2 &amp; Du_Lieu_2026!$I$2 &amp; Du_Lieu_2026!$L$2 &amp; Du_Lieu_2026!$O$2)), "CÓ G7", "---")</f>
        <v>CÓ G7</v>
      </c>
      <c r="F88" s="3" t="str">
        <f t="shared" si="16"/>
        <v>CÓ NGUỒN</v>
      </c>
      <c r="G88" s="3" t="str">
        <f t="shared" si="17"/>
        <v>ĐÚNG CHẠM</v>
      </c>
      <c r="H88" s="3">
        <f t="shared" si="18"/>
        <v>25.012</v>
      </c>
      <c r="I88" s="3" t="str">
        <f t="shared" si="19"/>
        <v/>
      </c>
      <c r="J88" s="3" t="str">
        <f t="shared" si="20"/>
        <v/>
      </c>
    </row>
    <row r="89" spans="1:10" x14ac:dyDescent="0.25">
      <c r="A89" s="2">
        <v>87</v>
      </c>
      <c r="B89" s="2" t="s">
        <v>102</v>
      </c>
      <c r="C89" s="3">
        <f t="shared" si="14"/>
        <v>4</v>
      </c>
      <c r="D89" s="3" t="str">
        <f t="shared" si="15"/>
        <v>KHÔNG</v>
      </c>
      <c r="E89" s="3" t="str">
        <f>IF(ISNUMBER(SEARCH(TEXT(C89,"0"), Du_Lieu_2026!$F$2 &amp; Du_Lieu_2026!$I$2 &amp; Du_Lieu_2026!$L$2 &amp; Du_Lieu_2026!$O$2)), "CÓ G7", "---")</f>
        <v>---</v>
      </c>
      <c r="F89" s="3" t="str">
        <f t="shared" si="16"/>
        <v>---</v>
      </c>
      <c r="G89" s="3" t="str">
        <f t="shared" si="17"/>
        <v>ĐÚNG CHẠM</v>
      </c>
      <c r="H89" s="3">
        <f t="shared" si="18"/>
        <v>15.010999999999999</v>
      </c>
      <c r="I89" s="3" t="str">
        <f t="shared" si="19"/>
        <v/>
      </c>
      <c r="J89" s="3" t="str">
        <f t="shared" si="20"/>
        <v/>
      </c>
    </row>
    <row r="90" spans="1:10" x14ac:dyDescent="0.25">
      <c r="A90" s="2">
        <v>88</v>
      </c>
      <c r="B90" s="2" t="s">
        <v>103</v>
      </c>
      <c r="C90" s="3">
        <f t="shared" si="14"/>
        <v>5</v>
      </c>
      <c r="D90" s="3" t="str">
        <f t="shared" si="15"/>
        <v>ĐÚNG TỔNG</v>
      </c>
      <c r="E90" s="3" t="str">
        <f>IF(ISNUMBER(SEARCH(TEXT(C90,"0"), Du_Lieu_2026!$F$2 &amp; Du_Lieu_2026!$I$2 &amp; Du_Lieu_2026!$L$2 &amp; Du_Lieu_2026!$O$2)), "CÓ G7", "---")</f>
        <v>CÓ G7</v>
      </c>
      <c r="F90" s="3" t="str">
        <f t="shared" si="16"/>
        <v>CÓ NGUỒN</v>
      </c>
      <c r="G90" s="3" t="str">
        <f t="shared" si="17"/>
        <v>ĐÚNG CHẠM</v>
      </c>
      <c r="H90" s="3">
        <f t="shared" si="18"/>
        <v>40.01</v>
      </c>
      <c r="I90" s="3" t="str">
        <f t="shared" si="19"/>
        <v>87</v>
      </c>
      <c r="J90" s="3" t="str">
        <f t="shared" si="20"/>
        <v/>
      </c>
    </row>
    <row r="91" spans="1:10" x14ac:dyDescent="0.25">
      <c r="A91" s="2">
        <v>89</v>
      </c>
      <c r="B91" s="2" t="s">
        <v>104</v>
      </c>
      <c r="C91" s="3">
        <f t="shared" si="14"/>
        <v>6</v>
      </c>
      <c r="D91" s="3" t="str">
        <f t="shared" si="15"/>
        <v>KHÔNG</v>
      </c>
      <c r="E91" s="3" t="str">
        <f>IF(ISNUMBER(SEARCH(TEXT(C91,"0"), Du_Lieu_2026!$F$2 &amp; Du_Lieu_2026!$I$2 &amp; Du_Lieu_2026!$L$2 &amp; Du_Lieu_2026!$O$2)), "CÓ G7", "---")</f>
        <v>---</v>
      </c>
      <c r="F91" s="3" t="str">
        <f t="shared" si="16"/>
        <v>---</v>
      </c>
      <c r="G91" s="3" t="str">
        <f t="shared" si="17"/>
        <v>ĐÚNG CHẠM</v>
      </c>
      <c r="H91" s="3">
        <f t="shared" si="18"/>
        <v>15.009</v>
      </c>
      <c r="I91" s="3" t="str">
        <f t="shared" si="19"/>
        <v/>
      </c>
      <c r="J91" s="3" t="str">
        <f t="shared" si="20"/>
        <v/>
      </c>
    </row>
    <row r="92" spans="1:10" x14ac:dyDescent="0.25">
      <c r="A92" s="2">
        <v>90</v>
      </c>
      <c r="B92" s="2" t="s">
        <v>105</v>
      </c>
      <c r="C92" s="3">
        <f t="shared" si="14"/>
        <v>7</v>
      </c>
      <c r="D92" s="3" t="str">
        <f t="shared" si="15"/>
        <v>KHÔNG</v>
      </c>
      <c r="E92" s="3" t="str">
        <f>IF(ISNUMBER(SEARCH(TEXT(C92,"0"), Du_Lieu_2026!$F$2 &amp; Du_Lieu_2026!$I$2 &amp; Du_Lieu_2026!$L$2 &amp; Du_Lieu_2026!$O$2)), "CÓ G7", "---")</f>
        <v>CÓ G7</v>
      </c>
      <c r="F92" s="3" t="str">
        <f t="shared" si="16"/>
        <v>CÓ NGUỒN</v>
      </c>
      <c r="G92" s="3" t="str">
        <f t="shared" si="17"/>
        <v>ĐÚNG CHẠM</v>
      </c>
      <c r="H92" s="3">
        <f t="shared" si="18"/>
        <v>25.007999999999999</v>
      </c>
      <c r="I92" s="3" t="str">
        <f t="shared" si="19"/>
        <v/>
      </c>
      <c r="J92" s="3" t="str">
        <f t="shared" si="20"/>
        <v/>
      </c>
    </row>
    <row r="93" spans="1:10" x14ac:dyDescent="0.25">
      <c r="A93" s="2">
        <v>91</v>
      </c>
      <c r="B93" s="2" t="s">
        <v>106</v>
      </c>
      <c r="C93" s="3">
        <f t="shared" si="14"/>
        <v>9</v>
      </c>
      <c r="D93" s="3" t="str">
        <f t="shared" si="15"/>
        <v>ĐÚNG TỔNG</v>
      </c>
      <c r="E93" s="3" t="str">
        <f>IF(ISNUMBER(SEARCH(TEXT(C93,"0"), Du_Lieu_2026!$F$2 &amp; Du_Lieu_2026!$I$2 &amp; Du_Lieu_2026!$L$2 &amp; Du_Lieu_2026!$O$2)), "CÓ G7", "---")</f>
        <v>---</v>
      </c>
      <c r="F93" s="3" t="str">
        <f t="shared" si="16"/>
        <v>---</v>
      </c>
      <c r="G93" s="3" t="str">
        <f t="shared" si="17"/>
        <v>ĐÚNG CHẠM</v>
      </c>
      <c r="H93" s="3">
        <f t="shared" si="18"/>
        <v>30.007000000000001</v>
      </c>
      <c r="I93" s="3" t="str">
        <f t="shared" si="19"/>
        <v/>
      </c>
      <c r="J93" s="3" t="str">
        <f t="shared" si="20"/>
        <v/>
      </c>
    </row>
    <row r="94" spans="1:10" x14ac:dyDescent="0.25">
      <c r="A94" s="2">
        <v>92</v>
      </c>
      <c r="B94" s="2" t="s">
        <v>107</v>
      </c>
      <c r="C94" s="3">
        <f t="shared" si="14"/>
        <v>0</v>
      </c>
      <c r="D94" s="3" t="str">
        <f t="shared" si="15"/>
        <v>ĐÚNG TỔNG</v>
      </c>
      <c r="E94" s="3" t="str">
        <f>IF(ISNUMBER(SEARCH(TEXT(C94,"0"), Du_Lieu_2026!$F$2 &amp; Du_Lieu_2026!$I$2 &amp; Du_Lieu_2026!$L$2 &amp; Du_Lieu_2026!$O$2)), "CÓ G7", "---")</f>
        <v>CÓ G7</v>
      </c>
      <c r="F94" s="3" t="str">
        <f t="shared" si="16"/>
        <v>CÓ NGUỒN</v>
      </c>
      <c r="G94" s="3" t="str">
        <f t="shared" si="17"/>
        <v>ĐÚNG CHẠM</v>
      </c>
      <c r="H94" s="3">
        <f t="shared" si="18"/>
        <v>40.006</v>
      </c>
      <c r="I94" s="3" t="str">
        <f t="shared" si="19"/>
        <v>91</v>
      </c>
      <c r="J94" s="3" t="str">
        <f t="shared" si="20"/>
        <v/>
      </c>
    </row>
    <row r="95" spans="1:10" x14ac:dyDescent="0.25">
      <c r="A95" s="2">
        <v>93</v>
      </c>
      <c r="B95" s="2" t="s">
        <v>108</v>
      </c>
      <c r="C95" s="3">
        <f t="shared" si="14"/>
        <v>1</v>
      </c>
      <c r="D95" s="3" t="str">
        <f t="shared" si="15"/>
        <v>ĐÚNG TỔNG</v>
      </c>
      <c r="E95" s="3" t="str">
        <f>IF(ISNUMBER(SEARCH(TEXT(C95,"0"), Du_Lieu_2026!$F$2 &amp; Du_Lieu_2026!$I$2 &amp; Du_Lieu_2026!$L$2 &amp; Du_Lieu_2026!$O$2)), "CÓ G7", "---")</f>
        <v>---</v>
      </c>
      <c r="F95" s="3" t="str">
        <f t="shared" si="16"/>
        <v>---</v>
      </c>
      <c r="G95" s="3" t="str">
        <f t="shared" si="17"/>
        <v>ĐÚNG CHẠM</v>
      </c>
      <c r="H95" s="3">
        <f t="shared" si="18"/>
        <v>30.004999999999999</v>
      </c>
      <c r="I95" s="3" t="str">
        <f t="shared" si="19"/>
        <v/>
      </c>
      <c r="J95" s="3" t="str">
        <f t="shared" si="20"/>
        <v/>
      </c>
    </row>
    <row r="96" spans="1:10" x14ac:dyDescent="0.25">
      <c r="A96" s="2">
        <v>94</v>
      </c>
      <c r="B96" s="2" t="s">
        <v>109</v>
      </c>
      <c r="C96" s="3">
        <f t="shared" si="14"/>
        <v>2</v>
      </c>
      <c r="D96" s="3" t="str">
        <f t="shared" si="15"/>
        <v>KHÔNG</v>
      </c>
      <c r="E96" s="3" t="str">
        <f>IF(ISNUMBER(SEARCH(TEXT(C96,"0"), Du_Lieu_2026!$F$2 &amp; Du_Lieu_2026!$I$2 &amp; Du_Lieu_2026!$L$2 &amp; Du_Lieu_2026!$O$2)), "CÓ G7", "---")</f>
        <v>CÓ G7</v>
      </c>
      <c r="F96" s="3" t="str">
        <f t="shared" si="16"/>
        <v>CÓ NGUỒN</v>
      </c>
      <c r="G96" s="3" t="str">
        <f t="shared" si="17"/>
        <v>ĐÚNG CHẠM</v>
      </c>
      <c r="H96" s="3">
        <f t="shared" si="18"/>
        <v>25.004000000000001</v>
      </c>
      <c r="I96" s="3" t="str">
        <f t="shared" si="19"/>
        <v/>
      </c>
      <c r="J96" s="3" t="str">
        <f t="shared" si="20"/>
        <v/>
      </c>
    </row>
    <row r="97" spans="1:10" x14ac:dyDescent="0.25">
      <c r="A97" s="2">
        <v>95</v>
      </c>
      <c r="B97" s="2" t="s">
        <v>110</v>
      </c>
      <c r="C97" s="3">
        <f t="shared" si="14"/>
        <v>3</v>
      </c>
      <c r="D97" s="3" t="str">
        <f t="shared" si="15"/>
        <v>KHÔNG</v>
      </c>
      <c r="E97" s="3" t="str">
        <f>IF(ISNUMBER(SEARCH(TEXT(C97,"0"), Du_Lieu_2026!$F$2 &amp; Du_Lieu_2026!$I$2 &amp; Du_Lieu_2026!$L$2 &amp; Du_Lieu_2026!$O$2)), "CÓ G7", "---")</f>
        <v>CÓ G7</v>
      </c>
      <c r="F97" s="3" t="str">
        <f t="shared" si="16"/>
        <v>CÓ NGUỒN</v>
      </c>
      <c r="G97" s="3" t="str">
        <f t="shared" si="17"/>
        <v>ĐÚNG CHẠM</v>
      </c>
      <c r="H97" s="3">
        <f t="shared" si="18"/>
        <v>25.003</v>
      </c>
      <c r="I97" s="3" t="str">
        <f t="shared" si="19"/>
        <v/>
      </c>
      <c r="J97" s="3" t="str">
        <f t="shared" si="20"/>
        <v/>
      </c>
    </row>
    <row r="98" spans="1:10" x14ac:dyDescent="0.25">
      <c r="A98" s="2">
        <v>96</v>
      </c>
      <c r="B98" s="2" t="s">
        <v>111</v>
      </c>
      <c r="C98" s="3">
        <f t="shared" si="14"/>
        <v>4</v>
      </c>
      <c r="D98" s="3" t="str">
        <f t="shared" si="15"/>
        <v>KHÔNG</v>
      </c>
      <c r="E98" s="3" t="str">
        <f>IF(ISNUMBER(SEARCH(TEXT(C98,"0"), Du_Lieu_2026!$F$2 &amp; Du_Lieu_2026!$I$2 &amp; Du_Lieu_2026!$L$2 &amp; Du_Lieu_2026!$O$2)), "CÓ G7", "---")</f>
        <v>---</v>
      </c>
      <c r="F98" s="3" t="str">
        <f t="shared" si="16"/>
        <v>---</v>
      </c>
      <c r="G98" s="3" t="str">
        <f t="shared" si="17"/>
        <v>ĐÚNG CHẠM</v>
      </c>
      <c r="H98" s="3">
        <f t="shared" si="18"/>
        <v>15.002000000000001</v>
      </c>
      <c r="I98" s="3" t="str">
        <f t="shared" si="19"/>
        <v/>
      </c>
      <c r="J98" s="3" t="str">
        <f t="shared" si="20"/>
        <v/>
      </c>
    </row>
    <row r="99" spans="1:10" x14ac:dyDescent="0.25">
      <c r="A99" s="2">
        <v>97</v>
      </c>
      <c r="B99" s="2" t="s">
        <v>112</v>
      </c>
      <c r="C99" s="3">
        <f t="shared" ref="C99:C102" si="21">MOD(VALUE(LEFT(B99,1))+VALUE(RIGHT(B99,1)), 10)</f>
        <v>5</v>
      </c>
      <c r="D99" s="3" t="str">
        <f t="shared" ref="D99:D102" si="22">IF(ISNUMBER(SEARCH(TEXT(C99,"0"),$C$2)), "ĐÚNG TỔNG", "KHÔNG")</f>
        <v>ĐÚNG TỔNG</v>
      </c>
      <c r="E99" s="3" t="str">
        <f>IF(ISNUMBER(SEARCH(TEXT(C99,"0"), Du_Lieu_2026!$F$2 &amp; Du_Lieu_2026!$I$2 &amp; Du_Lieu_2026!$L$2 &amp; Du_Lieu_2026!$O$2)), "CÓ G7", "---")</f>
        <v>CÓ G7</v>
      </c>
      <c r="F99" s="3" t="str">
        <f t="shared" ref="F99:F102" si="23">IF(E99="CÓ G7", "CÓ NGUỒN", "---")</f>
        <v>CÓ NGUỒN</v>
      </c>
      <c r="G99" s="3" t="str">
        <f t="shared" si="17"/>
        <v>ĐÚNG CHẠM</v>
      </c>
      <c r="H99" s="3">
        <f t="shared" ref="H99:H102" si="24">IF(D99="ĐÚNG TỔNG", 15, 0) + IF(G99="ĐÚNG CHẠM", 15, 0) + IF(E99="CÓ G7", 10, 0) + (100-ROW())/1000</f>
        <v>40.000999999999998</v>
      </c>
      <c r="I99" s="3" t="str">
        <f t="shared" ref="I99:I102" si="25">IF(RANK(H99,$H$3:$H$102)&lt;=20, B99, "")</f>
        <v>96</v>
      </c>
      <c r="J99" s="3" t="str">
        <f t="shared" si="20"/>
        <v/>
      </c>
    </row>
    <row r="100" spans="1:10" x14ac:dyDescent="0.25">
      <c r="A100" s="2">
        <v>98</v>
      </c>
      <c r="B100" s="2" t="s">
        <v>113</v>
      </c>
      <c r="C100" s="3">
        <f t="shared" si="21"/>
        <v>6</v>
      </c>
      <c r="D100" s="3" t="str">
        <f t="shared" si="22"/>
        <v>KHÔNG</v>
      </c>
      <c r="E100" s="3" t="str">
        <f>IF(ISNUMBER(SEARCH(TEXT(C100,"0"), Du_Lieu_2026!$F$2 &amp; Du_Lieu_2026!$I$2 &amp; Du_Lieu_2026!$L$2 &amp; Du_Lieu_2026!$O$2)), "CÓ G7", "---")</f>
        <v>---</v>
      </c>
      <c r="F100" s="3" t="str">
        <f t="shared" si="23"/>
        <v>---</v>
      </c>
      <c r="G100" s="3" t="str">
        <f t="shared" si="17"/>
        <v>ĐÚNG CHẠM</v>
      </c>
      <c r="H100" s="3">
        <f t="shared" si="24"/>
        <v>15</v>
      </c>
      <c r="I100" s="3" t="str">
        <f t="shared" si="25"/>
        <v/>
      </c>
      <c r="J100" s="3" t="str">
        <f t="shared" si="20"/>
        <v/>
      </c>
    </row>
    <row r="101" spans="1:10" x14ac:dyDescent="0.25">
      <c r="A101" s="2">
        <v>99</v>
      </c>
      <c r="B101" s="2" t="s">
        <v>114</v>
      </c>
      <c r="C101" s="3">
        <f t="shared" si="21"/>
        <v>7</v>
      </c>
      <c r="D101" s="3" t="str">
        <f t="shared" si="22"/>
        <v>KHÔNG</v>
      </c>
      <c r="E101" s="3" t="str">
        <f>IF(ISNUMBER(SEARCH(TEXT(C101,"0"), Du_Lieu_2026!$F$2 &amp; Du_Lieu_2026!$I$2 &amp; Du_Lieu_2026!$L$2 &amp; Du_Lieu_2026!$O$2)), "CÓ G7", "---")</f>
        <v>CÓ G7</v>
      </c>
      <c r="F101" s="3" t="str">
        <f t="shared" si="23"/>
        <v>CÓ NGUỒN</v>
      </c>
      <c r="G101" s="3" t="str">
        <f t="shared" si="17"/>
        <v>ĐÚNG CHẠM</v>
      </c>
      <c r="H101" s="3">
        <f t="shared" si="24"/>
        <v>24.998999999999999</v>
      </c>
      <c r="I101" s="3" t="str">
        <f t="shared" si="25"/>
        <v/>
      </c>
      <c r="J101" s="3" t="str">
        <f t="shared" si="20"/>
        <v/>
      </c>
    </row>
    <row r="102" spans="1:10" x14ac:dyDescent="0.25">
      <c r="A102" s="2">
        <v>100</v>
      </c>
      <c r="B102" s="2" t="s">
        <v>115</v>
      </c>
      <c r="C102" s="3">
        <f t="shared" si="21"/>
        <v>8</v>
      </c>
      <c r="D102" s="3" t="str">
        <f t="shared" si="22"/>
        <v>KHÔNG</v>
      </c>
      <c r="E102" s="3" t="str">
        <f>IF(ISNUMBER(SEARCH(TEXT(C102,"0"), Du_Lieu_2026!$F$2 &amp; Du_Lieu_2026!$I$2 &amp; Du_Lieu_2026!$L$2 &amp; Du_Lieu_2026!$O$2)), "CÓ G7", "---")</f>
        <v>CÓ G7</v>
      </c>
      <c r="F102" s="3" t="str">
        <f t="shared" si="23"/>
        <v>CÓ NGUỒN</v>
      </c>
      <c r="G102" s="3" t="str">
        <f t="shared" si="17"/>
        <v>ĐÚNG CHẠM</v>
      </c>
      <c r="H102" s="3">
        <f t="shared" si="24"/>
        <v>24.998000000000001</v>
      </c>
      <c r="I102" s="3" t="str">
        <f t="shared" si="25"/>
        <v/>
      </c>
      <c r="J102" s="3" t="str">
        <f t="shared" si="20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4"/>
  <sheetViews>
    <sheetView workbookViewId="0"/>
  </sheetViews>
  <sheetFormatPr defaultRowHeight="15" x14ac:dyDescent="0.25"/>
  <cols>
    <col min="1" max="1" width="12" customWidth="1"/>
    <col min="2" max="2" width="28" customWidth="1"/>
    <col min="3" max="3" width="24" customWidth="1"/>
    <col min="4" max="4" width="21" customWidth="1"/>
    <col min="5" max="5" width="12" customWidth="1"/>
    <col min="6" max="6" width="18" customWidth="1"/>
    <col min="7" max="7" width="27" customWidth="1"/>
    <col min="8" max="8" width="12" customWidth="1"/>
    <col min="9" max="9" width="18" customWidth="1"/>
    <col min="10" max="10" width="27" customWidth="1"/>
    <col min="11" max="11" width="12" customWidth="1"/>
    <col min="12" max="12" width="18" customWidth="1"/>
    <col min="13" max="13" width="27" customWidth="1"/>
    <col min="14" max="14" width="12" customWidth="1"/>
    <col min="15" max="15" width="18" customWidth="1"/>
    <col min="16" max="16" width="27" customWidth="1"/>
  </cols>
  <sheetData>
    <row r="1" spans="1:16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</row>
    <row r="2" spans="1:16" x14ac:dyDescent="0.25">
      <c r="A2" s="2">
        <v>1</v>
      </c>
      <c r="B2" s="2" t="s">
        <v>131</v>
      </c>
      <c r="C2" s="3" t="s">
        <v>132</v>
      </c>
      <c r="D2" s="3" t="s">
        <v>84</v>
      </c>
      <c r="E2" s="3" t="s">
        <v>107</v>
      </c>
      <c r="F2" s="3" t="s">
        <v>133</v>
      </c>
      <c r="G2" s="3" t="s">
        <v>134</v>
      </c>
      <c r="H2" s="3" t="s">
        <v>41</v>
      </c>
      <c r="I2" s="3" t="s">
        <v>135</v>
      </c>
      <c r="J2" s="3" t="s">
        <v>136</v>
      </c>
      <c r="K2" s="3" t="s">
        <v>85</v>
      </c>
      <c r="L2" s="3" t="s">
        <v>137</v>
      </c>
      <c r="M2" s="3" t="s">
        <v>134</v>
      </c>
      <c r="N2" s="3" t="s">
        <v>83</v>
      </c>
      <c r="O2" s="3" t="s">
        <v>138</v>
      </c>
      <c r="P2" s="3" t="s">
        <v>134</v>
      </c>
    </row>
    <row r="3" spans="1:16" x14ac:dyDescent="0.25">
      <c r="A3" s="2">
        <v>2</v>
      </c>
      <c r="B3" s="2" t="s">
        <v>139</v>
      </c>
      <c r="C3" s="3" t="s">
        <v>140</v>
      </c>
      <c r="D3" s="3" t="s">
        <v>64</v>
      </c>
      <c r="E3" s="3" t="s">
        <v>45</v>
      </c>
      <c r="F3" s="3" t="s">
        <v>141</v>
      </c>
      <c r="G3" s="3" t="s">
        <v>134</v>
      </c>
      <c r="H3" s="3" t="s">
        <v>40</v>
      </c>
      <c r="I3" s="3" t="s">
        <v>142</v>
      </c>
      <c r="J3" s="3" t="s">
        <v>134</v>
      </c>
      <c r="K3" s="3" t="s">
        <v>54</v>
      </c>
      <c r="L3" s="3" t="s">
        <v>141</v>
      </c>
      <c r="M3" s="3" t="s">
        <v>134</v>
      </c>
      <c r="N3" s="3" t="s">
        <v>38</v>
      </c>
      <c r="O3" s="3" t="s">
        <v>143</v>
      </c>
      <c r="P3" s="3" t="s">
        <v>134</v>
      </c>
    </row>
    <row r="4" spans="1:16" x14ac:dyDescent="0.25">
      <c r="A4" s="2">
        <v>3</v>
      </c>
      <c r="B4" s="2" t="s">
        <v>144</v>
      </c>
      <c r="C4" s="3" t="s">
        <v>145</v>
      </c>
      <c r="D4" s="3" t="s">
        <v>65</v>
      </c>
      <c r="E4" s="3" t="s">
        <v>62</v>
      </c>
      <c r="F4" s="3" t="s">
        <v>133</v>
      </c>
      <c r="G4" s="3" t="s">
        <v>134</v>
      </c>
      <c r="H4" s="3" t="s">
        <v>49</v>
      </c>
      <c r="I4" s="3" t="s">
        <v>142</v>
      </c>
      <c r="J4" s="3" t="s">
        <v>136</v>
      </c>
      <c r="K4" s="3" t="s">
        <v>108</v>
      </c>
      <c r="L4" s="3" t="s">
        <v>141</v>
      </c>
      <c r="M4" s="3" t="s">
        <v>136</v>
      </c>
      <c r="N4" s="3" t="s">
        <v>64</v>
      </c>
      <c r="O4" s="3" t="s">
        <v>146</v>
      </c>
      <c r="P4" s="3" t="s">
        <v>134</v>
      </c>
    </row>
    <row r="5" spans="1:16" x14ac:dyDescent="0.25">
      <c r="A5" s="2">
        <v>4</v>
      </c>
      <c r="B5" s="2" t="s">
        <v>147</v>
      </c>
      <c r="C5" s="3" t="s">
        <v>148</v>
      </c>
      <c r="D5" s="3" t="s">
        <v>113</v>
      </c>
      <c r="E5" s="3" t="s">
        <v>84</v>
      </c>
      <c r="F5" s="3" t="s">
        <v>143</v>
      </c>
      <c r="G5" s="3" t="s">
        <v>134</v>
      </c>
      <c r="H5" s="3" t="s">
        <v>50</v>
      </c>
      <c r="I5" s="3" t="s">
        <v>135</v>
      </c>
      <c r="J5" s="3" t="s">
        <v>134</v>
      </c>
      <c r="K5" s="3" t="s">
        <v>93</v>
      </c>
      <c r="L5" s="3" t="s">
        <v>143</v>
      </c>
      <c r="M5" s="3" t="s">
        <v>134</v>
      </c>
      <c r="N5" s="3" t="s">
        <v>41</v>
      </c>
      <c r="O5" s="3" t="s">
        <v>135</v>
      </c>
      <c r="P5" s="3" t="s">
        <v>134</v>
      </c>
    </row>
    <row r="6" spans="1:16" x14ac:dyDescent="0.25">
      <c r="A6" s="2">
        <v>5</v>
      </c>
      <c r="B6" s="2" t="s">
        <v>149</v>
      </c>
      <c r="C6" s="3" t="s">
        <v>150</v>
      </c>
      <c r="D6" s="3" t="s">
        <v>21</v>
      </c>
      <c r="E6" s="3" t="s">
        <v>63</v>
      </c>
      <c r="F6" s="3" t="s">
        <v>141</v>
      </c>
      <c r="G6" s="3" t="s">
        <v>136</v>
      </c>
      <c r="H6" s="3" t="s">
        <v>59</v>
      </c>
      <c r="I6" s="3" t="s">
        <v>135</v>
      </c>
      <c r="J6" s="3" t="s">
        <v>134</v>
      </c>
      <c r="K6" s="3" t="s">
        <v>81</v>
      </c>
      <c r="L6" s="3" t="s">
        <v>141</v>
      </c>
      <c r="M6" s="3" t="s">
        <v>136</v>
      </c>
      <c r="N6" s="3" t="s">
        <v>43</v>
      </c>
      <c r="O6" s="3" t="s">
        <v>151</v>
      </c>
      <c r="P6" s="3" t="s">
        <v>134</v>
      </c>
    </row>
    <row r="7" spans="1:16" x14ac:dyDescent="0.25">
      <c r="A7" s="2">
        <v>6</v>
      </c>
      <c r="B7" s="2" t="s">
        <v>152</v>
      </c>
      <c r="C7" s="3" t="s">
        <v>153</v>
      </c>
      <c r="D7" s="3" t="s">
        <v>63</v>
      </c>
      <c r="E7" s="3" t="s">
        <v>66</v>
      </c>
      <c r="F7" s="3" t="s">
        <v>137</v>
      </c>
      <c r="G7" s="3" t="s">
        <v>134</v>
      </c>
      <c r="H7" s="3" t="s">
        <v>26</v>
      </c>
      <c r="I7" s="3" t="s">
        <v>141</v>
      </c>
      <c r="J7" s="3" t="s">
        <v>134</v>
      </c>
      <c r="K7" s="3" t="s">
        <v>81</v>
      </c>
      <c r="L7" s="3" t="s">
        <v>141</v>
      </c>
      <c r="M7" s="3" t="s">
        <v>134</v>
      </c>
      <c r="N7" s="3" t="s">
        <v>28</v>
      </c>
      <c r="O7" s="3" t="s">
        <v>138</v>
      </c>
      <c r="P7" s="3" t="s">
        <v>134</v>
      </c>
    </row>
    <row r="8" spans="1:16" x14ac:dyDescent="0.25">
      <c r="A8" s="2">
        <v>7</v>
      </c>
      <c r="B8" s="2" t="s">
        <v>154</v>
      </c>
      <c r="C8" s="3" t="s">
        <v>155</v>
      </c>
      <c r="D8" s="3" t="s">
        <v>105</v>
      </c>
      <c r="E8" s="3" t="s">
        <v>55</v>
      </c>
      <c r="F8" s="3" t="s">
        <v>146</v>
      </c>
      <c r="G8" s="3" t="s">
        <v>134</v>
      </c>
      <c r="H8" s="3" t="s">
        <v>80</v>
      </c>
      <c r="I8" s="3" t="s">
        <v>133</v>
      </c>
      <c r="J8" s="3" t="s">
        <v>134</v>
      </c>
      <c r="K8" s="3" t="s">
        <v>40</v>
      </c>
      <c r="L8" s="3" t="s">
        <v>142</v>
      </c>
      <c r="M8" s="3" t="s">
        <v>134</v>
      </c>
      <c r="N8" s="3" t="s">
        <v>73</v>
      </c>
      <c r="O8" s="3" t="s">
        <v>146</v>
      </c>
      <c r="P8" s="3" t="s">
        <v>134</v>
      </c>
    </row>
    <row r="9" spans="1:16" x14ac:dyDescent="0.25">
      <c r="A9" s="2">
        <v>8</v>
      </c>
      <c r="B9" s="2" t="s">
        <v>156</v>
      </c>
      <c r="C9" s="3" t="s">
        <v>157</v>
      </c>
      <c r="D9" s="3" t="s">
        <v>78</v>
      </c>
      <c r="E9" s="3" t="s">
        <v>70</v>
      </c>
      <c r="F9" s="3" t="s">
        <v>151</v>
      </c>
      <c r="G9" s="3" t="s">
        <v>134</v>
      </c>
      <c r="H9" s="3" t="s">
        <v>104</v>
      </c>
      <c r="I9" s="3" t="s">
        <v>142</v>
      </c>
      <c r="J9" s="3" t="s">
        <v>134</v>
      </c>
      <c r="K9" s="3" t="s">
        <v>98</v>
      </c>
      <c r="L9" s="3" t="s">
        <v>133</v>
      </c>
      <c r="M9" s="3" t="s">
        <v>136</v>
      </c>
      <c r="N9" s="3" t="s">
        <v>29</v>
      </c>
      <c r="O9" s="3" t="s">
        <v>143</v>
      </c>
      <c r="P9" s="3" t="s">
        <v>134</v>
      </c>
    </row>
    <row r="10" spans="1:16" x14ac:dyDescent="0.25">
      <c r="A10" s="2">
        <v>9</v>
      </c>
      <c r="B10" s="2" t="s">
        <v>158</v>
      </c>
      <c r="C10" s="3" t="s">
        <v>159</v>
      </c>
      <c r="D10" s="3" t="s">
        <v>39</v>
      </c>
      <c r="E10" s="3" t="s">
        <v>63</v>
      </c>
      <c r="F10" s="3" t="s">
        <v>141</v>
      </c>
      <c r="G10" s="3" t="s">
        <v>134</v>
      </c>
      <c r="H10" s="3" t="s">
        <v>103</v>
      </c>
      <c r="I10" s="3" t="s">
        <v>137</v>
      </c>
      <c r="J10" s="3" t="s">
        <v>134</v>
      </c>
      <c r="K10" s="3" t="s">
        <v>68</v>
      </c>
      <c r="L10" s="3" t="s">
        <v>135</v>
      </c>
      <c r="M10" s="3" t="s">
        <v>136</v>
      </c>
      <c r="N10" s="3" t="s">
        <v>62</v>
      </c>
      <c r="O10" s="3" t="s">
        <v>133</v>
      </c>
      <c r="P10" s="3" t="s">
        <v>134</v>
      </c>
    </row>
    <row r="11" spans="1:16" x14ac:dyDescent="0.25">
      <c r="A11" s="2">
        <v>10</v>
      </c>
      <c r="B11" s="2" t="s">
        <v>160</v>
      </c>
      <c r="C11" s="3" t="s">
        <v>161</v>
      </c>
      <c r="D11" s="3" t="s">
        <v>109</v>
      </c>
      <c r="E11" s="3" t="s">
        <v>86</v>
      </c>
      <c r="F11" s="3" t="s">
        <v>135</v>
      </c>
      <c r="G11" s="3" t="s">
        <v>134</v>
      </c>
      <c r="H11" s="3" t="s">
        <v>61</v>
      </c>
      <c r="I11" s="3" t="s">
        <v>151</v>
      </c>
      <c r="J11" s="3" t="s">
        <v>134</v>
      </c>
      <c r="K11" s="3" t="s">
        <v>30</v>
      </c>
      <c r="L11" s="3" t="s">
        <v>137</v>
      </c>
      <c r="M11" s="3" t="s">
        <v>134</v>
      </c>
      <c r="N11" s="3" t="s">
        <v>29</v>
      </c>
      <c r="O11" s="3" t="s">
        <v>143</v>
      </c>
      <c r="P11" s="3" t="s">
        <v>134</v>
      </c>
    </row>
    <row r="12" spans="1:16" x14ac:dyDescent="0.25">
      <c r="A12" s="2">
        <v>11</v>
      </c>
      <c r="B12" s="2" t="s">
        <v>162</v>
      </c>
      <c r="C12" s="3" t="s">
        <v>163</v>
      </c>
      <c r="D12" s="3" t="s">
        <v>54</v>
      </c>
      <c r="E12" s="3" t="s">
        <v>86</v>
      </c>
      <c r="F12" s="3" t="s">
        <v>135</v>
      </c>
      <c r="G12" s="3" t="s">
        <v>134</v>
      </c>
      <c r="H12" s="3" t="s">
        <v>111</v>
      </c>
      <c r="I12" s="3" t="s">
        <v>143</v>
      </c>
      <c r="J12" s="3" t="s">
        <v>134</v>
      </c>
      <c r="K12" s="3" t="s">
        <v>26</v>
      </c>
      <c r="L12" s="3" t="s">
        <v>141</v>
      </c>
      <c r="M12" s="3" t="s">
        <v>134</v>
      </c>
      <c r="N12" s="3" t="s">
        <v>59</v>
      </c>
      <c r="O12" s="3" t="s">
        <v>135</v>
      </c>
      <c r="P12" s="3" t="s">
        <v>134</v>
      </c>
    </row>
    <row r="13" spans="1:16" x14ac:dyDescent="0.25">
      <c r="A13" s="2">
        <v>12</v>
      </c>
      <c r="B13" s="2" t="s">
        <v>164</v>
      </c>
      <c r="C13" s="3" t="s">
        <v>165</v>
      </c>
      <c r="D13" s="3" t="s">
        <v>110</v>
      </c>
      <c r="E13" s="3" t="s">
        <v>47</v>
      </c>
      <c r="F13" s="3" t="s">
        <v>143</v>
      </c>
      <c r="G13" s="3" t="s">
        <v>136</v>
      </c>
      <c r="H13" s="3" t="s">
        <v>50</v>
      </c>
      <c r="I13" s="3" t="s">
        <v>135</v>
      </c>
      <c r="J13" s="3" t="s">
        <v>134</v>
      </c>
      <c r="K13" s="3" t="s">
        <v>36</v>
      </c>
      <c r="L13" s="3" t="s">
        <v>146</v>
      </c>
      <c r="M13" s="3" t="s">
        <v>134</v>
      </c>
      <c r="N13" s="3" t="s">
        <v>58</v>
      </c>
      <c r="O13" s="3" t="s">
        <v>142</v>
      </c>
      <c r="P13" s="3" t="s">
        <v>134</v>
      </c>
    </row>
    <row r="14" spans="1:16" x14ac:dyDescent="0.25">
      <c r="A14" s="2">
        <v>13</v>
      </c>
      <c r="B14" s="2" t="s">
        <v>166</v>
      </c>
      <c r="C14" s="3" t="s">
        <v>167</v>
      </c>
      <c r="D14" s="3" t="s">
        <v>43</v>
      </c>
      <c r="E14" s="3" t="s">
        <v>98</v>
      </c>
      <c r="F14" s="3" t="s">
        <v>133</v>
      </c>
      <c r="G14" s="3" t="s">
        <v>134</v>
      </c>
      <c r="H14" s="3" t="s">
        <v>40</v>
      </c>
      <c r="I14" s="3" t="s">
        <v>142</v>
      </c>
      <c r="J14" s="3" t="s">
        <v>134</v>
      </c>
      <c r="K14" s="3" t="s">
        <v>41</v>
      </c>
      <c r="L14" s="3" t="s">
        <v>135</v>
      </c>
      <c r="M14" s="3" t="s">
        <v>134</v>
      </c>
      <c r="N14" s="3" t="s">
        <v>32</v>
      </c>
      <c r="O14" s="3" t="s">
        <v>135</v>
      </c>
      <c r="P14" s="3" t="s">
        <v>134</v>
      </c>
    </row>
    <row r="15" spans="1:16" x14ac:dyDescent="0.25">
      <c r="A15" s="2">
        <v>14</v>
      </c>
      <c r="B15" s="2" t="s">
        <v>168</v>
      </c>
      <c r="C15" s="3" t="s">
        <v>169</v>
      </c>
      <c r="D15" s="3" t="s">
        <v>33</v>
      </c>
      <c r="E15" s="3" t="s">
        <v>31</v>
      </c>
      <c r="F15" s="3" t="s">
        <v>142</v>
      </c>
      <c r="G15" s="3" t="s">
        <v>134</v>
      </c>
      <c r="H15" s="3" t="s">
        <v>115</v>
      </c>
      <c r="I15" s="3" t="s">
        <v>170</v>
      </c>
      <c r="J15" s="3" t="s">
        <v>134</v>
      </c>
      <c r="K15" s="3" t="s">
        <v>68</v>
      </c>
      <c r="L15" s="3" t="s">
        <v>135</v>
      </c>
      <c r="M15" s="3" t="s">
        <v>134</v>
      </c>
      <c r="N15" s="3" t="s">
        <v>71</v>
      </c>
      <c r="O15" s="3" t="s">
        <v>133</v>
      </c>
      <c r="P15" s="3" t="s">
        <v>134</v>
      </c>
    </row>
    <row r="16" spans="1:16" x14ac:dyDescent="0.25">
      <c r="A16" s="2">
        <v>15</v>
      </c>
      <c r="B16" s="2" t="s">
        <v>171</v>
      </c>
      <c r="C16" s="3" t="s">
        <v>172</v>
      </c>
      <c r="D16" s="3" t="s">
        <v>38</v>
      </c>
      <c r="E16" s="3" t="s">
        <v>37</v>
      </c>
      <c r="F16" s="3" t="s">
        <v>138</v>
      </c>
      <c r="G16" s="3" t="s">
        <v>134</v>
      </c>
      <c r="H16" s="3" t="s">
        <v>16</v>
      </c>
      <c r="I16" s="3" t="s">
        <v>133</v>
      </c>
      <c r="J16" s="3" t="s">
        <v>136</v>
      </c>
      <c r="K16" s="3" t="s">
        <v>30</v>
      </c>
      <c r="L16" s="3" t="s">
        <v>137</v>
      </c>
      <c r="M16" s="3" t="s">
        <v>136</v>
      </c>
      <c r="N16" s="3" t="s">
        <v>87</v>
      </c>
      <c r="O16" s="3" t="s">
        <v>170</v>
      </c>
      <c r="P16" s="3" t="s">
        <v>134</v>
      </c>
    </row>
    <row r="17" spans="1:16" x14ac:dyDescent="0.25">
      <c r="A17" s="2">
        <v>16</v>
      </c>
      <c r="B17" s="2" t="s">
        <v>173</v>
      </c>
      <c r="C17" s="3" t="s">
        <v>174</v>
      </c>
      <c r="D17" s="3" t="s">
        <v>44</v>
      </c>
      <c r="E17" s="3" t="s">
        <v>110</v>
      </c>
      <c r="F17" s="3" t="s">
        <v>138</v>
      </c>
      <c r="G17" s="3" t="s">
        <v>134</v>
      </c>
      <c r="H17" s="3" t="s">
        <v>95</v>
      </c>
      <c r="I17" s="3" t="s">
        <v>142</v>
      </c>
      <c r="J17" s="3" t="s">
        <v>136</v>
      </c>
      <c r="K17" s="3" t="s">
        <v>49</v>
      </c>
      <c r="L17" s="3" t="s">
        <v>142</v>
      </c>
      <c r="M17" s="3" t="s">
        <v>136</v>
      </c>
      <c r="N17" s="3" t="s">
        <v>56</v>
      </c>
      <c r="O17" s="3" t="s">
        <v>143</v>
      </c>
      <c r="P17" s="3" t="s">
        <v>134</v>
      </c>
    </row>
    <row r="18" spans="1:16" x14ac:dyDescent="0.25">
      <c r="A18" s="2">
        <v>17</v>
      </c>
      <c r="B18" s="2" t="s">
        <v>175</v>
      </c>
      <c r="C18" s="3" t="s">
        <v>176</v>
      </c>
      <c r="D18" s="3" t="s">
        <v>40</v>
      </c>
      <c r="E18" s="3" t="s">
        <v>70</v>
      </c>
      <c r="F18" s="3" t="s">
        <v>151</v>
      </c>
      <c r="G18" s="3" t="s">
        <v>134</v>
      </c>
      <c r="H18" s="3" t="s">
        <v>59</v>
      </c>
      <c r="I18" s="3" t="s">
        <v>135</v>
      </c>
      <c r="J18" s="3" t="s">
        <v>134</v>
      </c>
      <c r="K18" s="3" t="s">
        <v>90</v>
      </c>
      <c r="L18" s="3" t="s">
        <v>141</v>
      </c>
      <c r="M18" s="3" t="s">
        <v>136</v>
      </c>
      <c r="N18" s="3" t="s">
        <v>80</v>
      </c>
      <c r="O18" s="3" t="s">
        <v>133</v>
      </c>
      <c r="P18" s="3" t="s">
        <v>134</v>
      </c>
    </row>
    <row r="19" spans="1:16" x14ac:dyDescent="0.25">
      <c r="A19" s="2">
        <v>18</v>
      </c>
      <c r="B19" s="2" t="s">
        <v>177</v>
      </c>
      <c r="C19" s="3" t="s">
        <v>178</v>
      </c>
      <c r="D19" s="3" t="s">
        <v>67</v>
      </c>
      <c r="E19" s="3" t="s">
        <v>110</v>
      </c>
      <c r="F19" s="3" t="s">
        <v>138</v>
      </c>
      <c r="G19" s="3" t="s">
        <v>134</v>
      </c>
      <c r="H19" s="3" t="s">
        <v>32</v>
      </c>
      <c r="I19" s="3" t="s">
        <v>135</v>
      </c>
      <c r="J19" s="3" t="s">
        <v>134</v>
      </c>
      <c r="K19" s="3" t="s">
        <v>68</v>
      </c>
      <c r="L19" s="3" t="s">
        <v>135</v>
      </c>
      <c r="M19" s="3" t="s">
        <v>134</v>
      </c>
      <c r="N19" s="3" t="s">
        <v>41</v>
      </c>
      <c r="O19" s="3" t="s">
        <v>135</v>
      </c>
      <c r="P19" s="3" t="s">
        <v>134</v>
      </c>
    </row>
    <row r="20" spans="1:16" x14ac:dyDescent="0.25">
      <c r="A20" s="2">
        <v>19</v>
      </c>
      <c r="B20" s="2" t="s">
        <v>179</v>
      </c>
      <c r="C20" s="3" t="s">
        <v>180</v>
      </c>
      <c r="D20" s="3" t="s">
        <v>102</v>
      </c>
      <c r="E20" s="3" t="s">
        <v>39</v>
      </c>
      <c r="F20" s="3" t="s">
        <v>137</v>
      </c>
      <c r="G20" s="3" t="s">
        <v>136</v>
      </c>
      <c r="H20" s="3" t="s">
        <v>45</v>
      </c>
      <c r="I20" s="3" t="s">
        <v>141</v>
      </c>
      <c r="J20" s="3" t="s">
        <v>134</v>
      </c>
      <c r="K20" s="3" t="s">
        <v>40</v>
      </c>
      <c r="L20" s="3" t="s">
        <v>142</v>
      </c>
      <c r="M20" s="3" t="s">
        <v>134</v>
      </c>
      <c r="N20" s="3" t="s">
        <v>69</v>
      </c>
      <c r="O20" s="3" t="s">
        <v>170</v>
      </c>
      <c r="P20" s="3" t="s">
        <v>134</v>
      </c>
    </row>
    <row r="21" spans="1:16" x14ac:dyDescent="0.25">
      <c r="A21" s="2">
        <v>20</v>
      </c>
      <c r="B21" s="2" t="s">
        <v>181</v>
      </c>
      <c r="C21" s="3" t="s">
        <v>182</v>
      </c>
      <c r="D21" s="3" t="s">
        <v>94</v>
      </c>
      <c r="E21" s="3" t="s">
        <v>28</v>
      </c>
      <c r="F21" s="3" t="s">
        <v>138</v>
      </c>
      <c r="G21" s="3" t="s">
        <v>134</v>
      </c>
      <c r="H21" s="3" t="s">
        <v>25</v>
      </c>
      <c r="I21" s="3" t="s">
        <v>151</v>
      </c>
      <c r="J21" s="3" t="s">
        <v>136</v>
      </c>
      <c r="K21" s="3" t="s">
        <v>44</v>
      </c>
      <c r="L21" s="3" t="s">
        <v>133</v>
      </c>
      <c r="M21" s="3" t="s">
        <v>134</v>
      </c>
      <c r="N21" s="3" t="s">
        <v>72</v>
      </c>
      <c r="O21" s="3" t="s">
        <v>141</v>
      </c>
      <c r="P21" s="3" t="s">
        <v>134</v>
      </c>
    </row>
    <row r="22" spans="1:16" x14ac:dyDescent="0.25">
      <c r="A22" s="2">
        <v>21</v>
      </c>
      <c r="B22" s="2" t="s">
        <v>183</v>
      </c>
      <c r="C22" s="3" t="s">
        <v>184</v>
      </c>
      <c r="D22" s="3" t="s">
        <v>102</v>
      </c>
      <c r="E22" s="3" t="s">
        <v>76</v>
      </c>
      <c r="F22" s="3" t="s">
        <v>142</v>
      </c>
      <c r="G22" s="3" t="s">
        <v>134</v>
      </c>
      <c r="H22" s="3" t="s">
        <v>42</v>
      </c>
      <c r="I22" s="3" t="s">
        <v>170</v>
      </c>
      <c r="J22" s="3" t="s">
        <v>134</v>
      </c>
      <c r="K22" s="3" t="s">
        <v>48</v>
      </c>
      <c r="L22" s="3" t="s">
        <v>137</v>
      </c>
      <c r="M22" s="3" t="s">
        <v>134</v>
      </c>
      <c r="N22" s="3" t="s">
        <v>65</v>
      </c>
      <c r="O22" s="3" t="s">
        <v>138</v>
      </c>
      <c r="P22" s="3" t="s">
        <v>134</v>
      </c>
    </row>
    <row r="23" spans="1:16" x14ac:dyDescent="0.25">
      <c r="A23" s="2">
        <v>22</v>
      </c>
      <c r="B23" s="2" t="s">
        <v>185</v>
      </c>
      <c r="C23" s="3" t="s">
        <v>186</v>
      </c>
      <c r="D23" s="3" t="s">
        <v>79</v>
      </c>
      <c r="E23" s="3" t="s">
        <v>69</v>
      </c>
      <c r="F23" s="3" t="s">
        <v>170</v>
      </c>
      <c r="G23" s="3" t="s">
        <v>134</v>
      </c>
      <c r="H23" s="3" t="s">
        <v>85</v>
      </c>
      <c r="I23" s="3" t="s">
        <v>137</v>
      </c>
      <c r="J23" s="3" t="s">
        <v>134</v>
      </c>
      <c r="K23" s="3" t="s">
        <v>55</v>
      </c>
      <c r="L23" s="3" t="s">
        <v>146</v>
      </c>
      <c r="M23" s="3" t="s">
        <v>134</v>
      </c>
      <c r="N23" s="3" t="s">
        <v>59</v>
      </c>
      <c r="O23" s="3" t="s">
        <v>135</v>
      </c>
      <c r="P23" s="3" t="s">
        <v>134</v>
      </c>
    </row>
    <row r="24" spans="1:16" x14ac:dyDescent="0.25">
      <c r="A24" s="2">
        <v>23</v>
      </c>
      <c r="B24" s="2" t="s">
        <v>187</v>
      </c>
      <c r="C24" s="3" t="s">
        <v>188</v>
      </c>
      <c r="D24" s="3" t="s">
        <v>38</v>
      </c>
      <c r="E24" s="3" t="s">
        <v>93</v>
      </c>
      <c r="F24" s="3" t="s">
        <v>143</v>
      </c>
      <c r="G24" s="3" t="s">
        <v>134</v>
      </c>
      <c r="H24" s="3" t="s">
        <v>35</v>
      </c>
      <c r="I24" s="3" t="s">
        <v>133</v>
      </c>
      <c r="J24" s="3" t="s">
        <v>134</v>
      </c>
      <c r="K24" s="3" t="s">
        <v>102</v>
      </c>
      <c r="L24" s="3" t="s">
        <v>143</v>
      </c>
      <c r="M24" s="3" t="s">
        <v>134</v>
      </c>
      <c r="N24" s="3" t="s">
        <v>26</v>
      </c>
      <c r="O24" s="3" t="s">
        <v>141</v>
      </c>
      <c r="P24" s="3" t="s">
        <v>134</v>
      </c>
    </row>
    <row r="25" spans="1:16" x14ac:dyDescent="0.25">
      <c r="A25" s="2">
        <v>24</v>
      </c>
      <c r="B25" s="2" t="s">
        <v>189</v>
      </c>
      <c r="C25" s="3" t="s">
        <v>190</v>
      </c>
      <c r="D25" s="3" t="s">
        <v>78</v>
      </c>
      <c r="E25" s="3" t="s">
        <v>50</v>
      </c>
      <c r="F25" s="3" t="s">
        <v>135</v>
      </c>
      <c r="G25" s="3" t="s">
        <v>134</v>
      </c>
      <c r="H25" s="3" t="s">
        <v>100</v>
      </c>
      <c r="I25" s="3" t="s">
        <v>146</v>
      </c>
      <c r="J25" s="3" t="s">
        <v>134</v>
      </c>
      <c r="K25" s="3" t="s">
        <v>67</v>
      </c>
      <c r="L25" s="3" t="s">
        <v>142</v>
      </c>
      <c r="M25" s="3" t="s">
        <v>134</v>
      </c>
      <c r="N25" s="3" t="s">
        <v>114</v>
      </c>
      <c r="O25" s="3" t="s">
        <v>135</v>
      </c>
      <c r="P25" s="3" t="s">
        <v>134</v>
      </c>
    </row>
    <row r="26" spans="1:16" x14ac:dyDescent="0.25">
      <c r="A26" s="2">
        <v>25</v>
      </c>
      <c r="B26" s="2" t="s">
        <v>191</v>
      </c>
      <c r="C26" s="3" t="s">
        <v>192</v>
      </c>
      <c r="D26" s="3" t="s">
        <v>46</v>
      </c>
      <c r="E26" s="3" t="s">
        <v>49</v>
      </c>
      <c r="F26" s="3" t="s">
        <v>142</v>
      </c>
      <c r="G26" s="3" t="s">
        <v>136</v>
      </c>
      <c r="H26" s="3" t="s">
        <v>113</v>
      </c>
      <c r="I26" s="3" t="s">
        <v>142</v>
      </c>
      <c r="J26" s="3" t="s">
        <v>136</v>
      </c>
      <c r="K26" s="3" t="s">
        <v>102</v>
      </c>
      <c r="L26" s="3" t="s">
        <v>143</v>
      </c>
      <c r="M26" s="3" t="s">
        <v>134</v>
      </c>
      <c r="N26" s="3" t="s">
        <v>79</v>
      </c>
      <c r="O26" s="3" t="s">
        <v>151</v>
      </c>
      <c r="P26" s="3" t="s">
        <v>134</v>
      </c>
    </row>
    <row r="27" spans="1:16" x14ac:dyDescent="0.25">
      <c r="A27" s="2">
        <v>26</v>
      </c>
      <c r="B27" s="2" t="s">
        <v>193</v>
      </c>
      <c r="C27" s="3" t="s">
        <v>194</v>
      </c>
      <c r="D27" s="3" t="s">
        <v>90</v>
      </c>
      <c r="E27" s="3" t="s">
        <v>101</v>
      </c>
      <c r="F27" s="3" t="s">
        <v>138</v>
      </c>
      <c r="G27" s="3" t="s">
        <v>136</v>
      </c>
      <c r="H27" s="3" t="s">
        <v>83</v>
      </c>
      <c r="I27" s="3" t="s">
        <v>138</v>
      </c>
      <c r="J27" s="3" t="s">
        <v>136</v>
      </c>
      <c r="K27" s="3" t="s">
        <v>72</v>
      </c>
      <c r="L27" s="3" t="s">
        <v>141</v>
      </c>
      <c r="M27" s="3" t="s">
        <v>134</v>
      </c>
      <c r="N27" s="3" t="s">
        <v>79</v>
      </c>
      <c r="O27" s="3" t="s">
        <v>151</v>
      </c>
      <c r="P27" s="3" t="s">
        <v>134</v>
      </c>
    </row>
    <row r="28" spans="1:16" x14ac:dyDescent="0.25">
      <c r="A28" s="2">
        <v>27</v>
      </c>
      <c r="B28" s="2" t="s">
        <v>195</v>
      </c>
      <c r="C28" s="3" t="s">
        <v>196</v>
      </c>
      <c r="D28" s="3" t="s">
        <v>96</v>
      </c>
      <c r="E28" s="3" t="s">
        <v>38</v>
      </c>
      <c r="F28" s="3" t="s">
        <v>143</v>
      </c>
      <c r="G28" s="3" t="s">
        <v>134</v>
      </c>
      <c r="H28" s="3" t="s">
        <v>36</v>
      </c>
      <c r="I28" s="3" t="s">
        <v>146</v>
      </c>
      <c r="J28" s="3" t="s">
        <v>134</v>
      </c>
      <c r="K28" s="3" t="s">
        <v>32</v>
      </c>
      <c r="L28" s="3" t="s">
        <v>135</v>
      </c>
      <c r="M28" s="3" t="s">
        <v>134</v>
      </c>
      <c r="N28" s="3" t="s">
        <v>77</v>
      </c>
      <c r="O28" s="3" t="s">
        <v>135</v>
      </c>
      <c r="P28" s="3" t="s">
        <v>134</v>
      </c>
    </row>
    <row r="29" spans="1:16" x14ac:dyDescent="0.25">
      <c r="A29" s="2">
        <v>28</v>
      </c>
      <c r="B29" s="2" t="s">
        <v>197</v>
      </c>
      <c r="C29" s="3" t="s">
        <v>198</v>
      </c>
      <c r="D29" s="3" t="s">
        <v>37</v>
      </c>
      <c r="E29" s="3" t="s">
        <v>92</v>
      </c>
      <c r="F29" s="3" t="s">
        <v>138</v>
      </c>
      <c r="G29" s="3" t="s">
        <v>134</v>
      </c>
      <c r="H29" s="3" t="s">
        <v>63</v>
      </c>
      <c r="I29" s="3" t="s">
        <v>141</v>
      </c>
      <c r="J29" s="3" t="s">
        <v>134</v>
      </c>
      <c r="K29" s="3" t="s">
        <v>37</v>
      </c>
      <c r="L29" s="3" t="s">
        <v>138</v>
      </c>
      <c r="M29" s="3" t="s">
        <v>134</v>
      </c>
      <c r="N29" s="3" t="s">
        <v>93</v>
      </c>
      <c r="O29" s="3" t="s">
        <v>143</v>
      </c>
      <c r="P29" s="3" t="s">
        <v>134</v>
      </c>
    </row>
    <row r="30" spans="1:16" x14ac:dyDescent="0.25">
      <c r="A30" s="2">
        <v>29</v>
      </c>
      <c r="B30" s="2" t="s">
        <v>199</v>
      </c>
      <c r="C30" s="3" t="s">
        <v>200</v>
      </c>
      <c r="D30" s="3" t="s">
        <v>30</v>
      </c>
      <c r="E30" s="3" t="s">
        <v>97</v>
      </c>
      <c r="F30" s="3" t="s">
        <v>151</v>
      </c>
      <c r="G30" s="3" t="s">
        <v>136</v>
      </c>
      <c r="H30" s="3" t="s">
        <v>103</v>
      </c>
      <c r="I30" s="3" t="s">
        <v>137</v>
      </c>
      <c r="J30" s="3" t="s">
        <v>134</v>
      </c>
      <c r="K30" s="3" t="s">
        <v>76</v>
      </c>
      <c r="L30" s="3" t="s">
        <v>142</v>
      </c>
      <c r="M30" s="3" t="s">
        <v>134</v>
      </c>
      <c r="N30" s="3" t="s">
        <v>48</v>
      </c>
      <c r="O30" s="3" t="s">
        <v>137</v>
      </c>
      <c r="P30" s="3" t="s">
        <v>134</v>
      </c>
    </row>
    <row r="31" spans="1:16" x14ac:dyDescent="0.25">
      <c r="A31" s="2">
        <v>30</v>
      </c>
      <c r="B31" s="2" t="s">
        <v>201</v>
      </c>
      <c r="C31" s="3" t="s">
        <v>202</v>
      </c>
      <c r="D31" s="3" t="s">
        <v>61</v>
      </c>
      <c r="E31" s="3" t="s">
        <v>19</v>
      </c>
      <c r="F31" s="3" t="s">
        <v>138</v>
      </c>
      <c r="G31" s="3" t="s">
        <v>134</v>
      </c>
      <c r="H31" s="3" t="s">
        <v>98</v>
      </c>
      <c r="I31" s="3" t="s">
        <v>133</v>
      </c>
      <c r="J31" s="3" t="s">
        <v>134</v>
      </c>
      <c r="K31" s="3" t="s">
        <v>101</v>
      </c>
      <c r="L31" s="3" t="s">
        <v>138</v>
      </c>
      <c r="M31" s="3" t="s">
        <v>134</v>
      </c>
      <c r="N31" s="3" t="s">
        <v>97</v>
      </c>
      <c r="O31" s="3" t="s">
        <v>151</v>
      </c>
      <c r="P31" s="3" t="s">
        <v>136</v>
      </c>
    </row>
    <row r="32" spans="1:16" x14ac:dyDescent="0.25">
      <c r="A32" s="2">
        <v>31</v>
      </c>
      <c r="B32" s="2" t="s">
        <v>203</v>
      </c>
      <c r="C32" s="3" t="s">
        <v>204</v>
      </c>
      <c r="D32" s="3" t="s">
        <v>70</v>
      </c>
      <c r="E32" s="3" t="s">
        <v>93</v>
      </c>
      <c r="F32" s="3" t="s">
        <v>143</v>
      </c>
      <c r="G32" s="3" t="s">
        <v>136</v>
      </c>
      <c r="H32" s="3" t="s">
        <v>67</v>
      </c>
      <c r="I32" s="3" t="s">
        <v>142</v>
      </c>
      <c r="J32" s="3" t="s">
        <v>134</v>
      </c>
      <c r="K32" s="3" t="s">
        <v>83</v>
      </c>
      <c r="L32" s="3" t="s">
        <v>138</v>
      </c>
      <c r="M32" s="3" t="s">
        <v>134</v>
      </c>
      <c r="N32" s="3" t="s">
        <v>63</v>
      </c>
      <c r="O32" s="3" t="s">
        <v>141</v>
      </c>
      <c r="P32" s="3" t="s">
        <v>134</v>
      </c>
    </row>
    <row r="33" spans="1:16" x14ac:dyDescent="0.25">
      <c r="A33" s="2">
        <v>32</v>
      </c>
      <c r="B33" s="2" t="s">
        <v>205</v>
      </c>
      <c r="C33" s="3" t="s">
        <v>206</v>
      </c>
      <c r="D33" s="3" t="s">
        <v>93</v>
      </c>
      <c r="E33" s="3" t="s">
        <v>74</v>
      </c>
      <c r="F33" s="3" t="s">
        <v>138</v>
      </c>
      <c r="G33" s="3" t="s">
        <v>134</v>
      </c>
      <c r="H33" s="3" t="s">
        <v>19</v>
      </c>
      <c r="I33" s="3" t="s">
        <v>138</v>
      </c>
      <c r="J33" s="3" t="s">
        <v>134</v>
      </c>
      <c r="K33" s="3" t="s">
        <v>63</v>
      </c>
      <c r="L33" s="3" t="s">
        <v>141</v>
      </c>
      <c r="M33" s="3" t="s">
        <v>134</v>
      </c>
      <c r="N33" s="3" t="s">
        <v>21</v>
      </c>
      <c r="O33" s="3" t="s">
        <v>137</v>
      </c>
      <c r="P33" s="3" t="s">
        <v>134</v>
      </c>
    </row>
    <row r="34" spans="1:16" x14ac:dyDescent="0.25">
      <c r="A34" s="2">
        <v>33</v>
      </c>
      <c r="B34" s="2" t="s">
        <v>207</v>
      </c>
      <c r="C34" s="3" t="s">
        <v>208</v>
      </c>
      <c r="D34" s="3" t="s">
        <v>77</v>
      </c>
      <c r="E34" s="3" t="s">
        <v>39</v>
      </c>
      <c r="F34" s="3" t="s">
        <v>137</v>
      </c>
      <c r="G34" s="3" t="s">
        <v>134</v>
      </c>
      <c r="H34" s="3" t="s">
        <v>23</v>
      </c>
      <c r="I34" s="3" t="s">
        <v>135</v>
      </c>
      <c r="J34" s="3" t="s">
        <v>136</v>
      </c>
      <c r="K34" s="3" t="s">
        <v>90</v>
      </c>
      <c r="L34" s="3" t="s">
        <v>141</v>
      </c>
      <c r="M34" s="3" t="s">
        <v>134</v>
      </c>
      <c r="N34" s="3" t="s">
        <v>22</v>
      </c>
      <c r="O34" s="3" t="s">
        <v>142</v>
      </c>
      <c r="P34" s="3" t="s">
        <v>134</v>
      </c>
    </row>
    <row r="35" spans="1:16" x14ac:dyDescent="0.25">
      <c r="A35" s="2">
        <v>34</v>
      </c>
      <c r="B35" s="2" t="s">
        <v>209</v>
      </c>
      <c r="C35" s="3" t="s">
        <v>210</v>
      </c>
      <c r="D35" s="3" t="s">
        <v>64</v>
      </c>
      <c r="E35" s="3" t="s">
        <v>114</v>
      </c>
      <c r="F35" s="3" t="s">
        <v>135</v>
      </c>
      <c r="G35" s="3" t="s">
        <v>134</v>
      </c>
      <c r="H35" s="3" t="s">
        <v>57</v>
      </c>
      <c r="I35" s="3" t="s">
        <v>137</v>
      </c>
      <c r="J35" s="3" t="s">
        <v>134</v>
      </c>
      <c r="K35" s="3" t="s">
        <v>92</v>
      </c>
      <c r="L35" s="3" t="s">
        <v>138</v>
      </c>
      <c r="M35" s="3" t="s">
        <v>136</v>
      </c>
      <c r="N35" s="3" t="s">
        <v>97</v>
      </c>
      <c r="O35" s="3" t="s">
        <v>151</v>
      </c>
      <c r="P35" s="3" t="s">
        <v>134</v>
      </c>
    </row>
    <row r="36" spans="1:16" x14ac:dyDescent="0.25">
      <c r="A36" s="2">
        <v>35</v>
      </c>
      <c r="B36" s="2" t="s">
        <v>211</v>
      </c>
      <c r="C36" s="3" t="s">
        <v>212</v>
      </c>
      <c r="D36" s="3" t="s">
        <v>33</v>
      </c>
      <c r="E36" s="3" t="s">
        <v>81</v>
      </c>
      <c r="F36" s="3" t="s">
        <v>141</v>
      </c>
      <c r="G36" s="3" t="s">
        <v>134</v>
      </c>
      <c r="H36" s="3" t="s">
        <v>76</v>
      </c>
      <c r="I36" s="3" t="s">
        <v>142</v>
      </c>
      <c r="J36" s="3" t="s">
        <v>134</v>
      </c>
      <c r="K36" s="3" t="s">
        <v>46</v>
      </c>
      <c r="L36" s="3" t="s">
        <v>138</v>
      </c>
      <c r="M36" s="3" t="s">
        <v>134</v>
      </c>
      <c r="N36" s="3" t="s">
        <v>104</v>
      </c>
      <c r="O36" s="3" t="s">
        <v>142</v>
      </c>
      <c r="P36" s="3" t="s">
        <v>134</v>
      </c>
    </row>
    <row r="37" spans="1:16" x14ac:dyDescent="0.25">
      <c r="A37" s="2">
        <v>36</v>
      </c>
      <c r="B37" s="2" t="s">
        <v>213</v>
      </c>
      <c r="C37" s="3" t="s">
        <v>214</v>
      </c>
      <c r="D37" s="3" t="s">
        <v>84</v>
      </c>
      <c r="E37" s="3" t="s">
        <v>74</v>
      </c>
      <c r="F37" s="3" t="s">
        <v>138</v>
      </c>
      <c r="G37" s="3" t="s">
        <v>134</v>
      </c>
      <c r="H37" s="3" t="s">
        <v>89</v>
      </c>
      <c r="I37" s="3" t="s">
        <v>133</v>
      </c>
      <c r="J37" s="3" t="s">
        <v>134</v>
      </c>
      <c r="K37" s="3" t="s">
        <v>49</v>
      </c>
      <c r="L37" s="3" t="s">
        <v>142</v>
      </c>
      <c r="M37" s="3" t="s">
        <v>136</v>
      </c>
      <c r="N37" s="3" t="s">
        <v>73</v>
      </c>
      <c r="O37" s="3" t="s">
        <v>146</v>
      </c>
      <c r="P37" s="3" t="s">
        <v>134</v>
      </c>
    </row>
    <row r="38" spans="1:16" x14ac:dyDescent="0.25">
      <c r="A38" s="2">
        <v>37</v>
      </c>
      <c r="B38" s="2" t="s">
        <v>215</v>
      </c>
      <c r="C38" s="3" t="s">
        <v>216</v>
      </c>
      <c r="D38" s="3" t="s">
        <v>49</v>
      </c>
      <c r="E38" s="3" t="s">
        <v>21</v>
      </c>
      <c r="F38" s="3" t="s">
        <v>137</v>
      </c>
      <c r="G38" s="3" t="s">
        <v>134</v>
      </c>
      <c r="H38" s="3" t="s">
        <v>77</v>
      </c>
      <c r="I38" s="3" t="s">
        <v>135</v>
      </c>
      <c r="J38" s="3" t="s">
        <v>134</v>
      </c>
      <c r="K38" s="3" t="s">
        <v>34</v>
      </c>
      <c r="L38" s="3" t="s">
        <v>151</v>
      </c>
      <c r="M38" s="3" t="s">
        <v>134</v>
      </c>
      <c r="N38" s="3" t="s">
        <v>66</v>
      </c>
      <c r="O38" s="3" t="s">
        <v>137</v>
      </c>
      <c r="P38" s="3" t="s">
        <v>134</v>
      </c>
    </row>
    <row r="39" spans="1:16" x14ac:dyDescent="0.25">
      <c r="A39" s="2">
        <v>38</v>
      </c>
      <c r="B39" s="2" t="s">
        <v>217</v>
      </c>
      <c r="C39" s="3" t="s">
        <v>218</v>
      </c>
      <c r="D39" s="3" t="s">
        <v>101</v>
      </c>
      <c r="E39" s="3" t="s">
        <v>110</v>
      </c>
      <c r="F39" s="3" t="s">
        <v>138</v>
      </c>
      <c r="G39" s="3" t="s">
        <v>134</v>
      </c>
      <c r="H39" s="3" t="s">
        <v>33</v>
      </c>
      <c r="I39" s="3" t="s">
        <v>170</v>
      </c>
      <c r="J39" s="3" t="s">
        <v>134</v>
      </c>
      <c r="K39" s="3" t="s">
        <v>93</v>
      </c>
      <c r="L39" s="3" t="s">
        <v>143</v>
      </c>
      <c r="M39" s="3" t="s">
        <v>136</v>
      </c>
      <c r="N39" s="3" t="s">
        <v>59</v>
      </c>
      <c r="O39" s="3" t="s">
        <v>135</v>
      </c>
      <c r="P39" s="3" t="s">
        <v>134</v>
      </c>
    </row>
    <row r="40" spans="1:16" x14ac:dyDescent="0.25">
      <c r="A40" s="2">
        <v>39</v>
      </c>
      <c r="B40" s="2" t="s">
        <v>219</v>
      </c>
      <c r="C40" s="3" t="s">
        <v>220</v>
      </c>
      <c r="D40" s="3" t="s">
        <v>93</v>
      </c>
      <c r="E40" s="3" t="s">
        <v>51</v>
      </c>
      <c r="F40" s="3" t="s">
        <v>170</v>
      </c>
      <c r="G40" s="3" t="s">
        <v>134</v>
      </c>
      <c r="H40" s="3" t="s">
        <v>52</v>
      </c>
      <c r="I40" s="3" t="s">
        <v>151</v>
      </c>
      <c r="J40" s="3" t="s">
        <v>134</v>
      </c>
      <c r="K40" s="3" t="s">
        <v>54</v>
      </c>
      <c r="L40" s="3" t="s">
        <v>141</v>
      </c>
      <c r="M40" s="3" t="s">
        <v>136</v>
      </c>
      <c r="N40" s="3" t="s">
        <v>20</v>
      </c>
      <c r="O40" s="3" t="s">
        <v>143</v>
      </c>
      <c r="P40" s="3" t="s">
        <v>134</v>
      </c>
    </row>
    <row r="41" spans="1:16" x14ac:dyDescent="0.25">
      <c r="A41" s="2">
        <v>40</v>
      </c>
      <c r="B41" s="2" t="s">
        <v>221</v>
      </c>
      <c r="C41" s="3" t="s">
        <v>222</v>
      </c>
      <c r="D41" s="3" t="s">
        <v>17</v>
      </c>
      <c r="E41" s="3" t="s">
        <v>30</v>
      </c>
      <c r="F41" s="3" t="s">
        <v>137</v>
      </c>
      <c r="G41" s="3" t="s">
        <v>134</v>
      </c>
      <c r="H41" s="3" t="s">
        <v>41</v>
      </c>
      <c r="I41" s="3" t="s">
        <v>135</v>
      </c>
      <c r="J41" s="3" t="s">
        <v>134</v>
      </c>
      <c r="K41" s="3" t="s">
        <v>92</v>
      </c>
      <c r="L41" s="3" t="s">
        <v>138</v>
      </c>
      <c r="M41" s="3" t="s">
        <v>134</v>
      </c>
      <c r="N41" s="3" t="s">
        <v>83</v>
      </c>
      <c r="O41" s="3" t="s">
        <v>138</v>
      </c>
      <c r="P41" s="3" t="s">
        <v>134</v>
      </c>
    </row>
    <row r="42" spans="1:16" x14ac:dyDescent="0.25">
      <c r="A42" s="2">
        <v>41</v>
      </c>
      <c r="B42" s="2" t="s">
        <v>223</v>
      </c>
      <c r="C42" s="3" t="s">
        <v>224</v>
      </c>
      <c r="D42" s="3" t="s">
        <v>106</v>
      </c>
      <c r="E42" s="3" t="s">
        <v>75</v>
      </c>
      <c r="F42" s="3" t="s">
        <v>143</v>
      </c>
      <c r="G42" s="3" t="s">
        <v>134</v>
      </c>
      <c r="H42" s="3" t="s">
        <v>71</v>
      </c>
      <c r="I42" s="3" t="s">
        <v>133</v>
      </c>
      <c r="J42" s="3" t="s">
        <v>134</v>
      </c>
      <c r="K42" s="3" t="s">
        <v>30</v>
      </c>
      <c r="L42" s="3" t="s">
        <v>137</v>
      </c>
      <c r="M42" s="3" t="s">
        <v>134</v>
      </c>
      <c r="N42" s="3" t="s">
        <v>77</v>
      </c>
      <c r="O42" s="3" t="s">
        <v>135</v>
      </c>
      <c r="P42" s="3" t="s">
        <v>134</v>
      </c>
    </row>
    <row r="43" spans="1:16" x14ac:dyDescent="0.25">
      <c r="A43" s="2">
        <v>42</v>
      </c>
      <c r="B43" s="2" t="s">
        <v>225</v>
      </c>
      <c r="C43" s="3" t="s">
        <v>226</v>
      </c>
      <c r="D43" s="3" t="s">
        <v>108</v>
      </c>
      <c r="E43" s="3" t="s">
        <v>114</v>
      </c>
      <c r="F43" s="3" t="s">
        <v>135</v>
      </c>
      <c r="G43" s="3" t="s">
        <v>136</v>
      </c>
      <c r="H43" s="3" t="s">
        <v>108</v>
      </c>
      <c r="I43" s="3" t="s">
        <v>141</v>
      </c>
      <c r="J43" s="3" t="s">
        <v>134</v>
      </c>
      <c r="K43" s="3" t="s">
        <v>48</v>
      </c>
      <c r="L43" s="3" t="s">
        <v>137</v>
      </c>
      <c r="M43" s="3" t="s">
        <v>134</v>
      </c>
      <c r="N43" s="3" t="s">
        <v>63</v>
      </c>
      <c r="O43" s="3" t="s">
        <v>141</v>
      </c>
      <c r="P43" s="3" t="s">
        <v>134</v>
      </c>
    </row>
    <row r="44" spans="1:16" x14ac:dyDescent="0.25">
      <c r="A44" s="2">
        <v>43</v>
      </c>
      <c r="B44" s="2" t="s">
        <v>227</v>
      </c>
      <c r="C44" s="3" t="s">
        <v>228</v>
      </c>
      <c r="D44" s="3" t="s">
        <v>91</v>
      </c>
      <c r="E44" s="3" t="s">
        <v>97</v>
      </c>
      <c r="F44" s="3" t="s">
        <v>151</v>
      </c>
      <c r="G44" s="3" t="s">
        <v>136</v>
      </c>
      <c r="H44" s="3" t="s">
        <v>66</v>
      </c>
      <c r="I44" s="3" t="s">
        <v>137</v>
      </c>
      <c r="J44" s="3" t="s">
        <v>134</v>
      </c>
      <c r="K44" s="3" t="s">
        <v>32</v>
      </c>
      <c r="L44" s="3" t="s">
        <v>135</v>
      </c>
      <c r="M44" s="3" t="s">
        <v>134</v>
      </c>
      <c r="N44" s="3" t="s">
        <v>26</v>
      </c>
      <c r="O44" s="3" t="s">
        <v>141</v>
      </c>
      <c r="P44" s="3" t="s">
        <v>134</v>
      </c>
    </row>
    <row r="45" spans="1:16" x14ac:dyDescent="0.25">
      <c r="A45" s="2">
        <v>44</v>
      </c>
      <c r="B45" s="2" t="s">
        <v>229</v>
      </c>
      <c r="C45" s="3" t="s">
        <v>230</v>
      </c>
      <c r="D45" s="3" t="s">
        <v>93</v>
      </c>
      <c r="E45" s="3" t="s">
        <v>89</v>
      </c>
      <c r="F45" s="3" t="s">
        <v>133</v>
      </c>
      <c r="G45" s="3" t="s">
        <v>134</v>
      </c>
      <c r="H45" s="3" t="s">
        <v>25</v>
      </c>
      <c r="I45" s="3" t="s">
        <v>151</v>
      </c>
      <c r="J45" s="3" t="s">
        <v>134</v>
      </c>
      <c r="K45" s="3" t="s">
        <v>26</v>
      </c>
      <c r="L45" s="3" t="s">
        <v>141</v>
      </c>
      <c r="M45" s="3" t="s">
        <v>134</v>
      </c>
      <c r="N45" s="3" t="s">
        <v>17</v>
      </c>
      <c r="O45" s="3" t="s">
        <v>141</v>
      </c>
      <c r="P45" s="3" t="s">
        <v>134</v>
      </c>
    </row>
    <row r="46" spans="1:16" x14ac:dyDescent="0.25">
      <c r="A46" s="2">
        <v>45</v>
      </c>
      <c r="B46" s="2" t="s">
        <v>231</v>
      </c>
      <c r="C46" s="3" t="s">
        <v>232</v>
      </c>
      <c r="D46" s="3" t="s">
        <v>46</v>
      </c>
      <c r="E46" s="3" t="s">
        <v>34</v>
      </c>
      <c r="F46" s="3" t="s">
        <v>151</v>
      </c>
      <c r="G46" s="3" t="s">
        <v>134</v>
      </c>
      <c r="H46" s="3" t="s">
        <v>25</v>
      </c>
      <c r="I46" s="3" t="s">
        <v>151</v>
      </c>
      <c r="J46" s="3" t="s">
        <v>134</v>
      </c>
      <c r="K46" s="3" t="s">
        <v>76</v>
      </c>
      <c r="L46" s="3" t="s">
        <v>142</v>
      </c>
      <c r="M46" s="3" t="s">
        <v>136</v>
      </c>
      <c r="N46" s="3" t="s">
        <v>102</v>
      </c>
      <c r="O46" s="3" t="s">
        <v>143</v>
      </c>
      <c r="P46" s="3" t="s">
        <v>134</v>
      </c>
    </row>
    <row r="47" spans="1:16" x14ac:dyDescent="0.25">
      <c r="A47" s="2">
        <v>46</v>
      </c>
      <c r="B47" s="2" t="s">
        <v>233</v>
      </c>
      <c r="C47" s="3" t="s">
        <v>234</v>
      </c>
      <c r="D47" s="3" t="s">
        <v>17</v>
      </c>
      <c r="E47" s="3" t="s">
        <v>95</v>
      </c>
      <c r="F47" s="3" t="s">
        <v>142</v>
      </c>
      <c r="G47" s="3" t="s">
        <v>134</v>
      </c>
      <c r="H47" s="3" t="s">
        <v>19</v>
      </c>
      <c r="I47" s="3" t="s">
        <v>138</v>
      </c>
      <c r="J47" s="3" t="s">
        <v>134</v>
      </c>
      <c r="K47" s="3" t="s">
        <v>50</v>
      </c>
      <c r="L47" s="3" t="s">
        <v>135</v>
      </c>
      <c r="M47" s="3" t="s">
        <v>134</v>
      </c>
      <c r="N47" s="3" t="s">
        <v>61</v>
      </c>
      <c r="O47" s="3" t="s">
        <v>151</v>
      </c>
      <c r="P47" s="3" t="s">
        <v>136</v>
      </c>
    </row>
    <row r="48" spans="1:16" x14ac:dyDescent="0.25">
      <c r="A48" s="2">
        <v>47</v>
      </c>
      <c r="B48" s="2" t="s">
        <v>235</v>
      </c>
      <c r="C48" s="3" t="s">
        <v>236</v>
      </c>
      <c r="D48" s="3" t="s">
        <v>97</v>
      </c>
      <c r="E48" s="3" t="s">
        <v>91</v>
      </c>
      <c r="F48" s="3" t="s">
        <v>146</v>
      </c>
      <c r="G48" s="3" t="s">
        <v>134</v>
      </c>
      <c r="H48" s="3" t="s">
        <v>58</v>
      </c>
      <c r="I48" s="3" t="s">
        <v>142</v>
      </c>
      <c r="J48" s="3" t="s">
        <v>134</v>
      </c>
      <c r="K48" s="3" t="s">
        <v>25</v>
      </c>
      <c r="L48" s="3" t="s">
        <v>151</v>
      </c>
      <c r="M48" s="3" t="s">
        <v>136</v>
      </c>
      <c r="N48" s="3" t="s">
        <v>97</v>
      </c>
      <c r="O48" s="3" t="s">
        <v>151</v>
      </c>
      <c r="P48" s="3" t="s">
        <v>136</v>
      </c>
    </row>
    <row r="49" spans="1:16" x14ac:dyDescent="0.25">
      <c r="A49" s="2">
        <v>48</v>
      </c>
      <c r="B49" s="2" t="s">
        <v>237</v>
      </c>
      <c r="C49" s="3" t="s">
        <v>238</v>
      </c>
      <c r="D49" s="3" t="s">
        <v>29</v>
      </c>
      <c r="E49" s="3" t="s">
        <v>107</v>
      </c>
      <c r="F49" s="3" t="s">
        <v>133</v>
      </c>
      <c r="G49" s="3" t="s">
        <v>134</v>
      </c>
      <c r="H49" s="3" t="s">
        <v>30</v>
      </c>
      <c r="I49" s="3" t="s">
        <v>137</v>
      </c>
      <c r="J49" s="3" t="s">
        <v>134</v>
      </c>
      <c r="K49" s="3" t="s">
        <v>112</v>
      </c>
      <c r="L49" s="3" t="s">
        <v>137</v>
      </c>
      <c r="M49" s="3" t="s">
        <v>134</v>
      </c>
      <c r="N49" s="3" t="s">
        <v>25</v>
      </c>
      <c r="O49" s="3" t="s">
        <v>151</v>
      </c>
      <c r="P49" s="3" t="s">
        <v>134</v>
      </c>
    </row>
    <row r="50" spans="1:16" x14ac:dyDescent="0.25">
      <c r="A50" s="2">
        <v>49</v>
      </c>
      <c r="B50" s="2" t="s">
        <v>239</v>
      </c>
      <c r="C50" s="3" t="s">
        <v>240</v>
      </c>
      <c r="D50" s="3" t="s">
        <v>28</v>
      </c>
      <c r="E50" s="3" t="s">
        <v>46</v>
      </c>
      <c r="F50" s="3" t="s">
        <v>138</v>
      </c>
      <c r="G50" s="3" t="s">
        <v>134</v>
      </c>
      <c r="H50" s="3" t="s">
        <v>104</v>
      </c>
      <c r="I50" s="3" t="s">
        <v>142</v>
      </c>
      <c r="J50" s="3" t="s">
        <v>134</v>
      </c>
      <c r="K50" s="3" t="s">
        <v>25</v>
      </c>
      <c r="L50" s="3" t="s">
        <v>151</v>
      </c>
      <c r="M50" s="3" t="s">
        <v>134</v>
      </c>
      <c r="N50" s="3" t="s">
        <v>49</v>
      </c>
      <c r="O50" s="3" t="s">
        <v>142</v>
      </c>
      <c r="P50" s="3" t="s">
        <v>134</v>
      </c>
    </row>
    <row r="51" spans="1:16" x14ac:dyDescent="0.25">
      <c r="A51" s="2">
        <v>50</v>
      </c>
      <c r="B51" s="2" t="s">
        <v>241</v>
      </c>
      <c r="C51" s="3" t="s">
        <v>242</v>
      </c>
      <c r="D51" s="3" t="s">
        <v>71</v>
      </c>
      <c r="E51" s="3" t="s">
        <v>61</v>
      </c>
      <c r="F51" s="3" t="s">
        <v>151</v>
      </c>
      <c r="G51" s="3" t="s">
        <v>134</v>
      </c>
      <c r="H51" s="3" t="s">
        <v>59</v>
      </c>
      <c r="I51" s="3" t="s">
        <v>135</v>
      </c>
      <c r="J51" s="3" t="s">
        <v>134</v>
      </c>
      <c r="K51" s="3" t="s">
        <v>16</v>
      </c>
      <c r="L51" s="3" t="s">
        <v>133</v>
      </c>
      <c r="M51" s="3" t="s">
        <v>136</v>
      </c>
      <c r="N51" s="3" t="s">
        <v>73</v>
      </c>
      <c r="O51" s="3" t="s">
        <v>146</v>
      </c>
      <c r="P51" s="3" t="s">
        <v>134</v>
      </c>
    </row>
    <row r="52" spans="1:16" x14ac:dyDescent="0.25">
      <c r="A52" s="2">
        <v>51</v>
      </c>
      <c r="B52" s="2" t="s">
        <v>243</v>
      </c>
      <c r="C52" s="3" t="s">
        <v>244</v>
      </c>
      <c r="D52" s="3" t="s">
        <v>53</v>
      </c>
      <c r="E52" s="3" t="s">
        <v>111</v>
      </c>
      <c r="F52" s="3" t="s">
        <v>143</v>
      </c>
      <c r="G52" s="3" t="s">
        <v>134</v>
      </c>
      <c r="H52" s="3" t="s">
        <v>52</v>
      </c>
      <c r="I52" s="3" t="s">
        <v>151</v>
      </c>
      <c r="J52" s="3" t="s">
        <v>134</v>
      </c>
      <c r="K52" s="3" t="s">
        <v>53</v>
      </c>
      <c r="L52" s="3" t="s">
        <v>133</v>
      </c>
      <c r="M52" s="3" t="s">
        <v>134</v>
      </c>
      <c r="N52" s="3" t="s">
        <v>58</v>
      </c>
      <c r="O52" s="3" t="s">
        <v>142</v>
      </c>
      <c r="P52" s="3" t="s">
        <v>134</v>
      </c>
    </row>
    <row r="53" spans="1:16" x14ac:dyDescent="0.25">
      <c r="A53" s="2">
        <v>52</v>
      </c>
      <c r="B53" s="2" t="s">
        <v>245</v>
      </c>
      <c r="C53" s="3" t="s">
        <v>246</v>
      </c>
      <c r="D53" s="3" t="s">
        <v>69</v>
      </c>
      <c r="E53" s="3" t="s">
        <v>100</v>
      </c>
      <c r="F53" s="3" t="s">
        <v>146</v>
      </c>
      <c r="G53" s="3" t="s">
        <v>134</v>
      </c>
      <c r="H53" s="3" t="s">
        <v>46</v>
      </c>
      <c r="I53" s="3" t="s">
        <v>138</v>
      </c>
      <c r="J53" s="3" t="s">
        <v>136</v>
      </c>
      <c r="K53" s="3" t="s">
        <v>29</v>
      </c>
      <c r="L53" s="3" t="s">
        <v>143</v>
      </c>
      <c r="M53" s="3" t="s">
        <v>134</v>
      </c>
      <c r="N53" s="3" t="s">
        <v>83</v>
      </c>
      <c r="O53" s="3" t="s">
        <v>138</v>
      </c>
      <c r="P53" s="3" t="s">
        <v>136</v>
      </c>
    </row>
    <row r="54" spans="1:16" x14ac:dyDescent="0.25">
      <c r="A54" s="2">
        <v>53</v>
      </c>
      <c r="B54" s="2" t="s">
        <v>247</v>
      </c>
      <c r="C54" s="3" t="s">
        <v>248</v>
      </c>
      <c r="D54" s="3" t="s">
        <v>24</v>
      </c>
      <c r="E54" s="3" t="s">
        <v>66</v>
      </c>
      <c r="F54" s="3" t="s">
        <v>137</v>
      </c>
      <c r="G54" s="3" t="s">
        <v>134</v>
      </c>
      <c r="H54" s="3" t="s">
        <v>57</v>
      </c>
      <c r="I54" s="3" t="s">
        <v>137</v>
      </c>
      <c r="J54" s="3" t="s">
        <v>134</v>
      </c>
      <c r="K54" s="3" t="s">
        <v>81</v>
      </c>
      <c r="L54" s="3" t="s">
        <v>141</v>
      </c>
      <c r="M54" s="3" t="s">
        <v>136</v>
      </c>
      <c r="N54" s="3" t="s">
        <v>115</v>
      </c>
      <c r="O54" s="3" t="s">
        <v>170</v>
      </c>
      <c r="P54" s="3" t="s">
        <v>134</v>
      </c>
    </row>
    <row r="55" spans="1:16" x14ac:dyDescent="0.25">
      <c r="A55" s="2">
        <v>54</v>
      </c>
      <c r="B55" s="2" t="s">
        <v>249</v>
      </c>
      <c r="C55" s="3" t="s">
        <v>250</v>
      </c>
      <c r="D55" s="3" t="s">
        <v>99</v>
      </c>
      <c r="E55" s="3" t="s">
        <v>73</v>
      </c>
      <c r="F55" s="3" t="s">
        <v>146</v>
      </c>
      <c r="G55" s="3" t="s">
        <v>134</v>
      </c>
      <c r="H55" s="3" t="s">
        <v>58</v>
      </c>
      <c r="I55" s="3" t="s">
        <v>142</v>
      </c>
      <c r="J55" s="3" t="s">
        <v>134</v>
      </c>
      <c r="K55" s="3" t="s">
        <v>55</v>
      </c>
      <c r="L55" s="3" t="s">
        <v>146</v>
      </c>
      <c r="M55" s="3" t="s">
        <v>134</v>
      </c>
      <c r="N55" s="3" t="s">
        <v>29</v>
      </c>
      <c r="O55" s="3" t="s">
        <v>143</v>
      </c>
      <c r="P55" s="3" t="s">
        <v>134</v>
      </c>
    </row>
    <row r="56" spans="1:16" x14ac:dyDescent="0.25">
      <c r="A56" s="2">
        <v>55</v>
      </c>
      <c r="B56" s="2" t="s">
        <v>251</v>
      </c>
      <c r="C56" s="3" t="s">
        <v>252</v>
      </c>
      <c r="D56" s="3" t="s">
        <v>107</v>
      </c>
      <c r="E56" s="3" t="s">
        <v>81</v>
      </c>
      <c r="F56" s="3" t="s">
        <v>141</v>
      </c>
      <c r="G56" s="3" t="s">
        <v>134</v>
      </c>
      <c r="H56" s="3" t="s">
        <v>98</v>
      </c>
      <c r="I56" s="3" t="s">
        <v>133</v>
      </c>
      <c r="J56" s="3" t="s">
        <v>134</v>
      </c>
      <c r="K56" s="3" t="s">
        <v>113</v>
      </c>
      <c r="L56" s="3" t="s">
        <v>142</v>
      </c>
      <c r="M56" s="3" t="s">
        <v>134</v>
      </c>
      <c r="N56" s="3" t="s">
        <v>25</v>
      </c>
      <c r="O56" s="3" t="s">
        <v>151</v>
      </c>
      <c r="P56" s="3" t="s">
        <v>134</v>
      </c>
    </row>
    <row r="57" spans="1:16" x14ac:dyDescent="0.25">
      <c r="A57" s="2">
        <v>56</v>
      </c>
      <c r="B57" s="2" t="s">
        <v>253</v>
      </c>
      <c r="C57" s="3" t="s">
        <v>254</v>
      </c>
      <c r="D57" s="3" t="s">
        <v>64</v>
      </c>
      <c r="E57" s="3" t="s">
        <v>108</v>
      </c>
      <c r="F57" s="3" t="s">
        <v>141</v>
      </c>
      <c r="G57" s="3" t="s">
        <v>134</v>
      </c>
      <c r="H57" s="3" t="s">
        <v>89</v>
      </c>
      <c r="I57" s="3" t="s">
        <v>133</v>
      </c>
      <c r="J57" s="3" t="s">
        <v>134</v>
      </c>
      <c r="K57" s="3" t="s">
        <v>76</v>
      </c>
      <c r="L57" s="3" t="s">
        <v>142</v>
      </c>
      <c r="M57" s="3" t="s">
        <v>134</v>
      </c>
      <c r="N57" s="3" t="s">
        <v>93</v>
      </c>
      <c r="O57" s="3" t="s">
        <v>143</v>
      </c>
      <c r="P57" s="3" t="s">
        <v>134</v>
      </c>
    </row>
    <row r="58" spans="1:16" x14ac:dyDescent="0.25">
      <c r="A58" s="2">
        <v>57</v>
      </c>
      <c r="B58" s="2" t="s">
        <v>255</v>
      </c>
      <c r="C58" s="3" t="s">
        <v>256</v>
      </c>
      <c r="D58" s="3" t="s">
        <v>73</v>
      </c>
      <c r="E58" s="3" t="s">
        <v>61</v>
      </c>
      <c r="F58" s="3" t="s">
        <v>151</v>
      </c>
      <c r="G58" s="3" t="s">
        <v>134</v>
      </c>
      <c r="H58" s="3" t="s">
        <v>77</v>
      </c>
      <c r="I58" s="3" t="s">
        <v>135</v>
      </c>
      <c r="J58" s="3" t="s">
        <v>134</v>
      </c>
      <c r="K58" s="3" t="s">
        <v>114</v>
      </c>
      <c r="L58" s="3" t="s">
        <v>135</v>
      </c>
      <c r="M58" s="3" t="s">
        <v>134</v>
      </c>
      <c r="N58" s="3" t="s">
        <v>16</v>
      </c>
      <c r="O58" s="3" t="s">
        <v>133</v>
      </c>
      <c r="P58" s="3" t="s">
        <v>136</v>
      </c>
    </row>
    <row r="59" spans="1:16" x14ac:dyDescent="0.25">
      <c r="A59" s="2">
        <v>58</v>
      </c>
      <c r="B59" s="2" t="s">
        <v>257</v>
      </c>
      <c r="C59" s="3" t="s">
        <v>258</v>
      </c>
      <c r="D59" s="3" t="s">
        <v>94</v>
      </c>
      <c r="E59" s="3" t="s">
        <v>37</v>
      </c>
      <c r="F59" s="3" t="s">
        <v>138</v>
      </c>
      <c r="G59" s="3" t="s">
        <v>134</v>
      </c>
      <c r="H59" s="3" t="s">
        <v>52</v>
      </c>
      <c r="I59" s="3" t="s">
        <v>151</v>
      </c>
      <c r="J59" s="3" t="s">
        <v>134</v>
      </c>
      <c r="K59" s="3" t="s">
        <v>93</v>
      </c>
      <c r="L59" s="3" t="s">
        <v>143</v>
      </c>
      <c r="M59" s="3" t="s">
        <v>134</v>
      </c>
      <c r="N59" s="3" t="s">
        <v>95</v>
      </c>
      <c r="O59" s="3" t="s">
        <v>142</v>
      </c>
      <c r="P59" s="3" t="s">
        <v>134</v>
      </c>
    </row>
    <row r="60" spans="1:16" x14ac:dyDescent="0.25">
      <c r="A60" s="2">
        <v>59</v>
      </c>
      <c r="B60" s="2" t="s">
        <v>259</v>
      </c>
      <c r="C60" s="3" t="s">
        <v>260</v>
      </c>
      <c r="D60" s="3" t="s">
        <v>35</v>
      </c>
      <c r="E60" s="3" t="s">
        <v>21</v>
      </c>
      <c r="F60" s="3" t="s">
        <v>137</v>
      </c>
      <c r="G60" s="3" t="s">
        <v>134</v>
      </c>
      <c r="H60" s="3" t="s">
        <v>42</v>
      </c>
      <c r="I60" s="3" t="s">
        <v>170</v>
      </c>
      <c r="J60" s="3" t="s">
        <v>134</v>
      </c>
      <c r="K60" s="3" t="s">
        <v>107</v>
      </c>
      <c r="L60" s="3" t="s">
        <v>133</v>
      </c>
      <c r="M60" s="3" t="s">
        <v>134</v>
      </c>
      <c r="N60" s="3" t="s">
        <v>51</v>
      </c>
      <c r="O60" s="3" t="s">
        <v>170</v>
      </c>
      <c r="P60" s="3" t="s">
        <v>134</v>
      </c>
    </row>
    <row r="61" spans="1:16" x14ac:dyDescent="0.25">
      <c r="A61" s="2">
        <v>60</v>
      </c>
      <c r="B61" s="2" t="s">
        <v>261</v>
      </c>
      <c r="C61" s="3" t="s">
        <v>262</v>
      </c>
      <c r="D61" s="3" t="s">
        <v>75</v>
      </c>
      <c r="E61" s="3" t="s">
        <v>115</v>
      </c>
      <c r="F61" s="3" t="s">
        <v>170</v>
      </c>
      <c r="G61" s="3" t="s">
        <v>136</v>
      </c>
      <c r="H61" s="3" t="s">
        <v>56</v>
      </c>
      <c r="I61" s="3" t="s">
        <v>143</v>
      </c>
      <c r="J61" s="3" t="s">
        <v>134</v>
      </c>
      <c r="K61" s="3" t="s">
        <v>30</v>
      </c>
      <c r="L61" s="3" t="s">
        <v>137</v>
      </c>
      <c r="M61" s="3" t="s">
        <v>134</v>
      </c>
      <c r="N61" s="3" t="s">
        <v>77</v>
      </c>
      <c r="O61" s="3" t="s">
        <v>135</v>
      </c>
      <c r="P61" s="3" t="s">
        <v>134</v>
      </c>
    </row>
    <row r="62" spans="1:16" x14ac:dyDescent="0.25">
      <c r="A62" s="2">
        <v>61</v>
      </c>
      <c r="B62" s="2" t="s">
        <v>263</v>
      </c>
      <c r="C62" s="3" t="s">
        <v>264</v>
      </c>
      <c r="D62" s="3" t="s">
        <v>65</v>
      </c>
      <c r="E62" s="3" t="s">
        <v>30</v>
      </c>
      <c r="F62" s="3" t="s">
        <v>137</v>
      </c>
      <c r="G62" s="3" t="s">
        <v>134</v>
      </c>
      <c r="H62" s="3" t="s">
        <v>87</v>
      </c>
      <c r="I62" s="3" t="s">
        <v>170</v>
      </c>
      <c r="J62" s="3" t="s">
        <v>134</v>
      </c>
      <c r="K62" s="3" t="s">
        <v>101</v>
      </c>
      <c r="L62" s="3" t="s">
        <v>138</v>
      </c>
      <c r="M62" s="3" t="s">
        <v>134</v>
      </c>
      <c r="N62" s="3" t="s">
        <v>17</v>
      </c>
      <c r="O62" s="3" t="s">
        <v>141</v>
      </c>
      <c r="P62" s="3" t="s">
        <v>136</v>
      </c>
    </row>
    <row r="63" spans="1:16" x14ac:dyDescent="0.25">
      <c r="A63" s="2">
        <v>62</v>
      </c>
      <c r="B63" s="2" t="s">
        <v>265</v>
      </c>
      <c r="C63" s="3" t="s">
        <v>266</v>
      </c>
      <c r="D63" s="3" t="s">
        <v>67</v>
      </c>
      <c r="E63" s="3" t="s">
        <v>59</v>
      </c>
      <c r="F63" s="3" t="s">
        <v>135</v>
      </c>
      <c r="G63" s="3" t="s">
        <v>134</v>
      </c>
      <c r="H63" s="3" t="s">
        <v>37</v>
      </c>
      <c r="I63" s="3" t="s">
        <v>138</v>
      </c>
      <c r="J63" s="3" t="s">
        <v>134</v>
      </c>
      <c r="K63" s="3" t="s">
        <v>80</v>
      </c>
      <c r="L63" s="3" t="s">
        <v>133</v>
      </c>
      <c r="M63" s="3" t="s">
        <v>134</v>
      </c>
      <c r="N63" s="3" t="s">
        <v>99</v>
      </c>
      <c r="O63" s="3" t="s">
        <v>141</v>
      </c>
      <c r="P63" s="3" t="s">
        <v>134</v>
      </c>
    </row>
    <row r="64" spans="1:16" x14ac:dyDescent="0.25">
      <c r="A64" s="2">
        <v>63</v>
      </c>
      <c r="B64" s="2" t="s">
        <v>267</v>
      </c>
      <c r="C64" s="3" t="s">
        <v>268</v>
      </c>
      <c r="D64" s="3" t="s">
        <v>52</v>
      </c>
      <c r="E64" s="3" t="s">
        <v>90</v>
      </c>
      <c r="F64" s="3" t="s">
        <v>141</v>
      </c>
      <c r="G64" s="3" t="s">
        <v>134</v>
      </c>
      <c r="H64" s="3" t="s">
        <v>43</v>
      </c>
      <c r="I64" s="3" t="s">
        <v>151</v>
      </c>
      <c r="J64" s="3" t="s">
        <v>134</v>
      </c>
      <c r="K64" s="3" t="s">
        <v>40</v>
      </c>
      <c r="L64" s="3" t="s">
        <v>142</v>
      </c>
      <c r="M64" s="3" t="s">
        <v>134</v>
      </c>
      <c r="N64" s="3" t="s">
        <v>58</v>
      </c>
      <c r="O64" s="3" t="s">
        <v>142</v>
      </c>
      <c r="P64" s="3" t="s">
        <v>134</v>
      </c>
    </row>
    <row r="65" spans="1:16" x14ac:dyDescent="0.25">
      <c r="A65" s="2">
        <v>64</v>
      </c>
      <c r="B65" s="2" t="s">
        <v>269</v>
      </c>
      <c r="C65" s="3" t="s">
        <v>270</v>
      </c>
      <c r="D65" s="3" t="s">
        <v>96</v>
      </c>
      <c r="E65" s="3" t="s">
        <v>69</v>
      </c>
      <c r="F65" s="3" t="s">
        <v>170</v>
      </c>
      <c r="G65" s="3" t="s">
        <v>134</v>
      </c>
      <c r="H65" s="3" t="s">
        <v>51</v>
      </c>
      <c r="I65" s="3" t="s">
        <v>170</v>
      </c>
      <c r="J65" s="3" t="s">
        <v>134</v>
      </c>
      <c r="K65" s="3" t="s">
        <v>81</v>
      </c>
      <c r="L65" s="3" t="s">
        <v>141</v>
      </c>
      <c r="M65" s="3" t="s">
        <v>136</v>
      </c>
      <c r="N65" s="3" t="s">
        <v>36</v>
      </c>
      <c r="O65" s="3" t="s">
        <v>146</v>
      </c>
      <c r="P65" s="3" t="s">
        <v>134</v>
      </c>
    </row>
    <row r="66" spans="1:16" x14ac:dyDescent="0.25">
      <c r="A66" s="2">
        <v>65</v>
      </c>
      <c r="B66" s="2" t="s">
        <v>271</v>
      </c>
      <c r="C66" s="3" t="s">
        <v>272</v>
      </c>
      <c r="D66" s="3" t="s">
        <v>58</v>
      </c>
      <c r="E66" s="3" t="s">
        <v>53</v>
      </c>
      <c r="F66" s="3" t="s">
        <v>133</v>
      </c>
      <c r="G66" s="3" t="s">
        <v>134</v>
      </c>
      <c r="H66" s="3" t="s">
        <v>111</v>
      </c>
      <c r="I66" s="3" t="s">
        <v>143</v>
      </c>
      <c r="J66" s="3" t="s">
        <v>136</v>
      </c>
      <c r="K66" s="3" t="s">
        <v>94</v>
      </c>
      <c r="L66" s="3" t="s">
        <v>137</v>
      </c>
      <c r="M66" s="3" t="s">
        <v>134</v>
      </c>
      <c r="N66" s="3" t="s">
        <v>67</v>
      </c>
      <c r="O66" s="3" t="s">
        <v>142</v>
      </c>
      <c r="P66" s="3" t="s">
        <v>134</v>
      </c>
    </row>
    <row r="67" spans="1:16" x14ac:dyDescent="0.25">
      <c r="A67" s="2">
        <v>66</v>
      </c>
      <c r="B67" s="2" t="s">
        <v>273</v>
      </c>
      <c r="C67" s="3" t="s">
        <v>274</v>
      </c>
      <c r="D67" s="3" t="s">
        <v>84</v>
      </c>
      <c r="E67" s="3" t="s">
        <v>113</v>
      </c>
      <c r="F67" s="3" t="s">
        <v>142</v>
      </c>
      <c r="G67" s="3" t="s">
        <v>136</v>
      </c>
      <c r="H67" s="3" t="s">
        <v>87</v>
      </c>
      <c r="I67" s="3" t="s">
        <v>170</v>
      </c>
      <c r="J67" s="3" t="s">
        <v>134</v>
      </c>
      <c r="K67" s="3" t="s">
        <v>25</v>
      </c>
      <c r="L67" s="3" t="s">
        <v>151</v>
      </c>
      <c r="M67" s="3" t="s">
        <v>134</v>
      </c>
      <c r="N67" s="3" t="s">
        <v>59</v>
      </c>
      <c r="O67" s="3" t="s">
        <v>135</v>
      </c>
      <c r="P67" s="3" t="s">
        <v>134</v>
      </c>
    </row>
    <row r="68" spans="1:16" x14ac:dyDescent="0.25">
      <c r="A68" s="2">
        <v>67</v>
      </c>
      <c r="B68" s="2" t="s">
        <v>275</v>
      </c>
      <c r="C68" s="3" t="s">
        <v>276</v>
      </c>
      <c r="D68" s="3" t="s">
        <v>40</v>
      </c>
      <c r="E68" s="3" t="s">
        <v>106</v>
      </c>
      <c r="F68" s="3" t="s">
        <v>151</v>
      </c>
      <c r="G68" s="3" t="s">
        <v>136</v>
      </c>
      <c r="H68" s="3" t="s">
        <v>24</v>
      </c>
      <c r="I68" s="3" t="s">
        <v>170</v>
      </c>
      <c r="J68" s="3" t="s">
        <v>134</v>
      </c>
      <c r="K68" s="3" t="s">
        <v>80</v>
      </c>
      <c r="L68" s="3" t="s">
        <v>133</v>
      </c>
      <c r="M68" s="3" t="s">
        <v>134</v>
      </c>
      <c r="N68" s="3" t="s">
        <v>75</v>
      </c>
      <c r="O68" s="3" t="s">
        <v>143</v>
      </c>
      <c r="P68" s="3" t="s">
        <v>136</v>
      </c>
    </row>
    <row r="69" spans="1:16" x14ac:dyDescent="0.25">
      <c r="A69" s="2">
        <v>68</v>
      </c>
      <c r="B69" s="2" t="s">
        <v>277</v>
      </c>
      <c r="C69" s="3" t="s">
        <v>278</v>
      </c>
      <c r="D69" s="3" t="s">
        <v>75</v>
      </c>
      <c r="E69" s="3" t="s">
        <v>104</v>
      </c>
      <c r="F69" s="3" t="s">
        <v>142</v>
      </c>
      <c r="G69" s="3" t="s">
        <v>134</v>
      </c>
      <c r="H69" s="3" t="s">
        <v>106</v>
      </c>
      <c r="I69" s="3" t="s">
        <v>151</v>
      </c>
      <c r="J69" s="3" t="s">
        <v>134</v>
      </c>
      <c r="K69" s="3" t="s">
        <v>26</v>
      </c>
      <c r="L69" s="3" t="s">
        <v>141</v>
      </c>
      <c r="M69" s="3" t="s">
        <v>134</v>
      </c>
      <c r="N69" s="3" t="s">
        <v>81</v>
      </c>
      <c r="O69" s="3" t="s">
        <v>141</v>
      </c>
      <c r="P69" s="3" t="s">
        <v>134</v>
      </c>
    </row>
    <row r="70" spans="1:16" x14ac:dyDescent="0.25">
      <c r="A70" s="2">
        <v>69</v>
      </c>
      <c r="B70" s="2" t="s">
        <v>279</v>
      </c>
      <c r="C70" s="3" t="s">
        <v>280</v>
      </c>
      <c r="D70" s="3" t="s">
        <v>64</v>
      </c>
      <c r="E70" s="3" t="s">
        <v>68</v>
      </c>
      <c r="F70" s="3" t="s">
        <v>135</v>
      </c>
      <c r="G70" s="3" t="s">
        <v>136</v>
      </c>
      <c r="H70" s="3" t="s">
        <v>71</v>
      </c>
      <c r="I70" s="3" t="s">
        <v>133</v>
      </c>
      <c r="J70" s="3" t="s">
        <v>134</v>
      </c>
      <c r="K70" s="3" t="s">
        <v>108</v>
      </c>
      <c r="L70" s="3" t="s">
        <v>141</v>
      </c>
      <c r="M70" s="3" t="s">
        <v>134</v>
      </c>
      <c r="N70" s="3" t="s">
        <v>107</v>
      </c>
      <c r="O70" s="3" t="s">
        <v>133</v>
      </c>
      <c r="P70" s="3" t="s">
        <v>134</v>
      </c>
    </row>
    <row r="71" spans="1:16" x14ac:dyDescent="0.25">
      <c r="A71" s="2">
        <v>70</v>
      </c>
      <c r="B71" s="2" t="s">
        <v>281</v>
      </c>
      <c r="C71" s="3" t="s">
        <v>282</v>
      </c>
      <c r="D71" s="3" t="s">
        <v>86</v>
      </c>
      <c r="E71" s="3" t="s">
        <v>84</v>
      </c>
      <c r="F71" s="3" t="s">
        <v>143</v>
      </c>
      <c r="G71" s="3" t="s">
        <v>134</v>
      </c>
      <c r="H71" s="3" t="s">
        <v>100</v>
      </c>
      <c r="I71" s="3" t="s">
        <v>146</v>
      </c>
      <c r="J71" s="3" t="s">
        <v>136</v>
      </c>
      <c r="K71" s="3" t="s">
        <v>54</v>
      </c>
      <c r="L71" s="3" t="s">
        <v>141</v>
      </c>
      <c r="M71" s="3" t="s">
        <v>134</v>
      </c>
      <c r="N71" s="3" t="s">
        <v>92</v>
      </c>
      <c r="O71" s="3" t="s">
        <v>138</v>
      </c>
      <c r="P71" s="3" t="s">
        <v>134</v>
      </c>
    </row>
    <row r="72" spans="1:16" x14ac:dyDescent="0.25">
      <c r="A72" s="2">
        <v>71</v>
      </c>
      <c r="B72" s="2" t="s">
        <v>283</v>
      </c>
      <c r="C72" s="3" t="s">
        <v>284</v>
      </c>
      <c r="D72" s="3" t="s">
        <v>68</v>
      </c>
      <c r="E72" s="3" t="s">
        <v>63</v>
      </c>
      <c r="F72" s="3" t="s">
        <v>141</v>
      </c>
      <c r="G72" s="3" t="s">
        <v>134</v>
      </c>
      <c r="H72" s="3" t="s">
        <v>66</v>
      </c>
      <c r="I72" s="3" t="s">
        <v>137</v>
      </c>
      <c r="J72" s="3" t="s">
        <v>136</v>
      </c>
      <c r="K72" s="3" t="s">
        <v>55</v>
      </c>
      <c r="L72" s="3" t="s">
        <v>146</v>
      </c>
      <c r="M72" s="3" t="s">
        <v>134</v>
      </c>
      <c r="N72" s="3" t="s">
        <v>44</v>
      </c>
      <c r="O72" s="3" t="s">
        <v>133</v>
      </c>
      <c r="P72" s="3" t="s">
        <v>136</v>
      </c>
    </row>
    <row r="73" spans="1:16" x14ac:dyDescent="0.25">
      <c r="A73" s="2">
        <v>72</v>
      </c>
      <c r="B73" s="2" t="s">
        <v>285</v>
      </c>
      <c r="C73" s="3" t="s">
        <v>286</v>
      </c>
      <c r="D73" s="3" t="s">
        <v>85</v>
      </c>
      <c r="E73" s="3" t="s">
        <v>106</v>
      </c>
      <c r="F73" s="3" t="s">
        <v>151</v>
      </c>
      <c r="G73" s="3" t="s">
        <v>134</v>
      </c>
      <c r="H73" s="3" t="s">
        <v>38</v>
      </c>
      <c r="I73" s="3" t="s">
        <v>143</v>
      </c>
      <c r="J73" s="3" t="s">
        <v>134</v>
      </c>
      <c r="K73" s="3" t="s">
        <v>91</v>
      </c>
      <c r="L73" s="3" t="s">
        <v>146</v>
      </c>
      <c r="M73" s="3" t="s">
        <v>134</v>
      </c>
      <c r="N73" s="3" t="s">
        <v>109</v>
      </c>
      <c r="O73" s="3" t="s">
        <v>146</v>
      </c>
      <c r="P73" s="3" t="s">
        <v>134</v>
      </c>
    </row>
    <row r="74" spans="1:16" x14ac:dyDescent="0.25">
      <c r="A74" s="2">
        <v>73</v>
      </c>
      <c r="B74" s="2" t="s">
        <v>287</v>
      </c>
      <c r="C74" s="3" t="s">
        <v>288</v>
      </c>
      <c r="D74" s="3" t="s">
        <v>103</v>
      </c>
      <c r="E74" s="3" t="s">
        <v>73</v>
      </c>
      <c r="F74" s="3" t="s">
        <v>146</v>
      </c>
      <c r="G74" s="3" t="s">
        <v>134</v>
      </c>
      <c r="H74" s="3" t="s">
        <v>32</v>
      </c>
      <c r="I74" s="3" t="s">
        <v>135</v>
      </c>
      <c r="J74" s="3" t="s">
        <v>134</v>
      </c>
      <c r="K74" s="3" t="s">
        <v>46</v>
      </c>
      <c r="L74" s="3" t="s">
        <v>138</v>
      </c>
      <c r="M74" s="3" t="s">
        <v>134</v>
      </c>
      <c r="N74" s="3" t="s">
        <v>45</v>
      </c>
      <c r="O74" s="3" t="s">
        <v>141</v>
      </c>
      <c r="P74" s="3" t="s">
        <v>134</v>
      </c>
    </row>
    <row r="75" spans="1:16" x14ac:dyDescent="0.25">
      <c r="A75" s="2">
        <v>74</v>
      </c>
      <c r="B75" s="2" t="s">
        <v>289</v>
      </c>
      <c r="C75" s="3" t="s">
        <v>290</v>
      </c>
      <c r="D75" s="3" t="s">
        <v>111</v>
      </c>
      <c r="E75" s="3" t="s">
        <v>72</v>
      </c>
      <c r="F75" s="3" t="s">
        <v>141</v>
      </c>
      <c r="G75" s="3" t="s">
        <v>136</v>
      </c>
      <c r="H75" s="3" t="s">
        <v>68</v>
      </c>
      <c r="I75" s="3" t="s">
        <v>135</v>
      </c>
      <c r="J75" s="3" t="s">
        <v>134</v>
      </c>
      <c r="K75" s="3" t="s">
        <v>22</v>
      </c>
      <c r="L75" s="3" t="s">
        <v>142</v>
      </c>
      <c r="M75" s="3" t="s">
        <v>136</v>
      </c>
      <c r="N75" s="3" t="s">
        <v>57</v>
      </c>
      <c r="O75" s="3" t="s">
        <v>137</v>
      </c>
      <c r="P75" s="3" t="s">
        <v>134</v>
      </c>
    </row>
    <row r="76" spans="1:16" x14ac:dyDescent="0.25">
      <c r="A76" s="2">
        <v>75</v>
      </c>
      <c r="B76" s="2" t="s">
        <v>291</v>
      </c>
      <c r="C76" s="3" t="s">
        <v>292</v>
      </c>
      <c r="D76" s="3" t="s">
        <v>40</v>
      </c>
      <c r="E76" s="3" t="s">
        <v>73</v>
      </c>
      <c r="F76" s="3" t="s">
        <v>146</v>
      </c>
      <c r="G76" s="3" t="s">
        <v>134</v>
      </c>
      <c r="H76" s="3" t="s">
        <v>60</v>
      </c>
      <c r="I76" s="3" t="s">
        <v>170</v>
      </c>
      <c r="J76" s="3" t="s">
        <v>136</v>
      </c>
      <c r="K76" s="3" t="s">
        <v>96</v>
      </c>
      <c r="L76" s="3" t="s">
        <v>170</v>
      </c>
      <c r="M76" s="3" t="s">
        <v>136</v>
      </c>
      <c r="N76" s="3" t="s">
        <v>48</v>
      </c>
      <c r="O76" s="3" t="s">
        <v>137</v>
      </c>
      <c r="P76" s="3" t="s">
        <v>134</v>
      </c>
    </row>
    <row r="77" spans="1:16" x14ac:dyDescent="0.25">
      <c r="A77" s="2">
        <v>76</v>
      </c>
      <c r="B77" s="2" t="s">
        <v>293</v>
      </c>
      <c r="C77" s="3" t="s">
        <v>294</v>
      </c>
      <c r="D77" s="3" t="s">
        <v>110</v>
      </c>
      <c r="E77" s="3" t="s">
        <v>108</v>
      </c>
      <c r="F77" s="3" t="s">
        <v>141</v>
      </c>
      <c r="G77" s="3" t="s">
        <v>134</v>
      </c>
      <c r="H77" s="3" t="s">
        <v>42</v>
      </c>
      <c r="I77" s="3" t="s">
        <v>170</v>
      </c>
      <c r="J77" s="3" t="s">
        <v>134</v>
      </c>
      <c r="K77" s="3" t="s">
        <v>59</v>
      </c>
      <c r="L77" s="3" t="s">
        <v>135</v>
      </c>
      <c r="M77" s="3" t="s">
        <v>134</v>
      </c>
      <c r="N77" s="3" t="s">
        <v>21</v>
      </c>
      <c r="O77" s="3" t="s">
        <v>137</v>
      </c>
      <c r="P77" s="3" t="s">
        <v>136</v>
      </c>
    </row>
    <row r="78" spans="1:16" x14ac:dyDescent="0.25">
      <c r="A78" s="2">
        <v>77</v>
      </c>
      <c r="B78" s="2" t="s">
        <v>295</v>
      </c>
      <c r="C78" s="3" t="s">
        <v>296</v>
      </c>
      <c r="D78" s="3" t="s">
        <v>62</v>
      </c>
      <c r="E78" s="3" t="s">
        <v>96</v>
      </c>
      <c r="F78" s="3" t="s">
        <v>170</v>
      </c>
      <c r="G78" s="3" t="s">
        <v>134</v>
      </c>
      <c r="H78" s="3" t="s">
        <v>27</v>
      </c>
      <c r="I78" s="3" t="s">
        <v>146</v>
      </c>
      <c r="J78" s="3" t="s">
        <v>134</v>
      </c>
      <c r="K78" s="3" t="s">
        <v>40</v>
      </c>
      <c r="L78" s="3" t="s">
        <v>142</v>
      </c>
      <c r="M78" s="3" t="s">
        <v>134</v>
      </c>
      <c r="N78" s="3" t="s">
        <v>55</v>
      </c>
      <c r="O78" s="3" t="s">
        <v>146</v>
      </c>
      <c r="P78" s="3" t="s">
        <v>134</v>
      </c>
    </row>
    <row r="79" spans="1:16" x14ac:dyDescent="0.25">
      <c r="A79" s="2">
        <v>78</v>
      </c>
      <c r="B79" s="2" t="s">
        <v>297</v>
      </c>
      <c r="C79" s="3" t="s">
        <v>298</v>
      </c>
      <c r="D79" s="3" t="s">
        <v>30</v>
      </c>
      <c r="E79" s="3" t="s">
        <v>105</v>
      </c>
      <c r="F79" s="3" t="s">
        <v>135</v>
      </c>
      <c r="G79" s="3" t="s">
        <v>134</v>
      </c>
      <c r="H79" s="3" t="s">
        <v>60</v>
      </c>
      <c r="I79" s="3" t="s">
        <v>170</v>
      </c>
      <c r="J79" s="3" t="s">
        <v>134</v>
      </c>
      <c r="K79" s="3" t="s">
        <v>45</v>
      </c>
      <c r="L79" s="3" t="s">
        <v>141</v>
      </c>
      <c r="M79" s="3" t="s">
        <v>136</v>
      </c>
      <c r="N79" s="3" t="s">
        <v>44</v>
      </c>
      <c r="O79" s="3" t="s">
        <v>133</v>
      </c>
      <c r="P79" s="3" t="s">
        <v>134</v>
      </c>
    </row>
    <row r="80" spans="1:16" x14ac:dyDescent="0.25">
      <c r="A80" s="2">
        <v>79</v>
      </c>
      <c r="B80" s="2" t="s">
        <v>299</v>
      </c>
      <c r="C80" s="3" t="s">
        <v>300</v>
      </c>
      <c r="D80" s="3" t="s">
        <v>45</v>
      </c>
      <c r="E80" s="3" t="s">
        <v>23</v>
      </c>
      <c r="F80" s="3" t="s">
        <v>135</v>
      </c>
      <c r="G80" s="3" t="s">
        <v>134</v>
      </c>
      <c r="H80" s="3" t="s">
        <v>112</v>
      </c>
      <c r="I80" s="3" t="s">
        <v>137</v>
      </c>
      <c r="J80" s="3" t="s">
        <v>134</v>
      </c>
      <c r="K80" s="3" t="s">
        <v>63</v>
      </c>
      <c r="L80" s="3" t="s">
        <v>141</v>
      </c>
      <c r="M80" s="3" t="s">
        <v>136</v>
      </c>
      <c r="N80" s="3" t="s">
        <v>56</v>
      </c>
      <c r="O80" s="3" t="s">
        <v>143</v>
      </c>
      <c r="P80" s="3" t="s">
        <v>134</v>
      </c>
    </row>
    <row r="81" spans="1:16" x14ac:dyDescent="0.25">
      <c r="A81" s="2">
        <v>80</v>
      </c>
      <c r="B81" s="2" t="s">
        <v>301</v>
      </c>
      <c r="C81" s="3" t="s">
        <v>302</v>
      </c>
      <c r="D81" s="3" t="s">
        <v>104</v>
      </c>
      <c r="E81" s="3" t="s">
        <v>40</v>
      </c>
      <c r="F81" s="3" t="s">
        <v>142</v>
      </c>
      <c r="G81" s="3" t="s">
        <v>134</v>
      </c>
      <c r="H81" s="3" t="s">
        <v>90</v>
      </c>
      <c r="I81" s="3" t="s">
        <v>141</v>
      </c>
      <c r="J81" s="3" t="s">
        <v>134</v>
      </c>
      <c r="K81" s="3" t="s">
        <v>16</v>
      </c>
      <c r="L81" s="3" t="s">
        <v>133</v>
      </c>
      <c r="M81" s="3" t="s">
        <v>134</v>
      </c>
      <c r="N81" s="3" t="s">
        <v>111</v>
      </c>
      <c r="O81" s="3" t="s">
        <v>143</v>
      </c>
      <c r="P81" s="3" t="s">
        <v>134</v>
      </c>
    </row>
    <row r="82" spans="1:16" x14ac:dyDescent="0.25">
      <c r="A82" s="2">
        <v>81</v>
      </c>
      <c r="B82" s="2" t="s">
        <v>303</v>
      </c>
      <c r="C82" s="3" t="s">
        <v>304</v>
      </c>
      <c r="D82" s="3" t="s">
        <v>109</v>
      </c>
      <c r="E82" s="3" t="s">
        <v>27</v>
      </c>
      <c r="F82" s="3" t="s">
        <v>146</v>
      </c>
      <c r="G82" s="3" t="s">
        <v>134</v>
      </c>
      <c r="H82" s="3" t="s">
        <v>111</v>
      </c>
      <c r="I82" s="3" t="s">
        <v>143</v>
      </c>
      <c r="J82" s="3" t="s">
        <v>134</v>
      </c>
      <c r="K82" s="3" t="s">
        <v>98</v>
      </c>
      <c r="L82" s="3" t="s">
        <v>133</v>
      </c>
      <c r="M82" s="3" t="s">
        <v>136</v>
      </c>
      <c r="N82" s="3" t="s">
        <v>65</v>
      </c>
      <c r="O82" s="3" t="s">
        <v>138</v>
      </c>
      <c r="P82" s="3" t="s">
        <v>134</v>
      </c>
    </row>
    <row r="83" spans="1:16" x14ac:dyDescent="0.25">
      <c r="A83" s="2">
        <v>82</v>
      </c>
      <c r="B83" s="2" t="s">
        <v>305</v>
      </c>
      <c r="C83" s="3" t="s">
        <v>306</v>
      </c>
      <c r="D83" s="3" t="s">
        <v>48</v>
      </c>
      <c r="E83" s="3" t="s">
        <v>32</v>
      </c>
      <c r="F83" s="3" t="s">
        <v>135</v>
      </c>
      <c r="G83" s="3" t="s">
        <v>134</v>
      </c>
      <c r="H83" s="3" t="s">
        <v>26</v>
      </c>
      <c r="I83" s="3" t="s">
        <v>141</v>
      </c>
      <c r="J83" s="3" t="s">
        <v>134</v>
      </c>
      <c r="K83" s="3" t="s">
        <v>20</v>
      </c>
      <c r="L83" s="3" t="s">
        <v>143</v>
      </c>
      <c r="M83" s="3" t="s">
        <v>136</v>
      </c>
      <c r="N83" s="3" t="s">
        <v>81</v>
      </c>
      <c r="O83" s="3" t="s">
        <v>141</v>
      </c>
      <c r="P83" s="3" t="s">
        <v>134</v>
      </c>
    </row>
    <row r="84" spans="1:16" x14ac:dyDescent="0.25">
      <c r="A84" s="2">
        <v>83</v>
      </c>
      <c r="B84" s="2" t="s">
        <v>307</v>
      </c>
      <c r="C84" s="3" t="s">
        <v>308</v>
      </c>
      <c r="D84" s="3" t="s">
        <v>38</v>
      </c>
      <c r="E84" s="3" t="s">
        <v>25</v>
      </c>
      <c r="F84" s="3" t="s">
        <v>151</v>
      </c>
      <c r="G84" s="3" t="s">
        <v>134</v>
      </c>
      <c r="H84" s="3" t="s">
        <v>77</v>
      </c>
      <c r="I84" s="3" t="s">
        <v>135</v>
      </c>
      <c r="J84" s="3" t="s">
        <v>134</v>
      </c>
      <c r="K84" s="3" t="s">
        <v>92</v>
      </c>
      <c r="L84" s="3" t="s">
        <v>138</v>
      </c>
      <c r="M84" s="3" t="s">
        <v>134</v>
      </c>
      <c r="N84" s="3" t="s">
        <v>34</v>
      </c>
      <c r="O84" s="3" t="s">
        <v>151</v>
      </c>
      <c r="P84" s="3" t="s">
        <v>134</v>
      </c>
    </row>
    <row r="85" spans="1:16" x14ac:dyDescent="0.25">
      <c r="A85" s="2">
        <v>84</v>
      </c>
      <c r="B85" s="2" t="s">
        <v>309</v>
      </c>
      <c r="C85" s="3" t="s">
        <v>310</v>
      </c>
      <c r="D85" s="3" t="s">
        <v>104</v>
      </c>
      <c r="E85" s="3" t="s">
        <v>102</v>
      </c>
      <c r="F85" s="3" t="s">
        <v>143</v>
      </c>
      <c r="G85" s="3" t="s">
        <v>134</v>
      </c>
      <c r="H85" s="3" t="s">
        <v>22</v>
      </c>
      <c r="I85" s="3" t="s">
        <v>142</v>
      </c>
      <c r="J85" s="3" t="s">
        <v>134</v>
      </c>
      <c r="K85" s="3" t="s">
        <v>29</v>
      </c>
      <c r="L85" s="3" t="s">
        <v>143</v>
      </c>
      <c r="M85" s="3" t="s">
        <v>134</v>
      </c>
      <c r="N85" s="3" t="s">
        <v>97</v>
      </c>
      <c r="O85" s="3" t="s">
        <v>151</v>
      </c>
      <c r="P85" s="3" t="s">
        <v>134</v>
      </c>
    </row>
    <row r="86" spans="1:16" x14ac:dyDescent="0.25">
      <c r="A86" s="2">
        <v>85</v>
      </c>
      <c r="B86" s="2" t="s">
        <v>311</v>
      </c>
      <c r="C86" s="3" t="s">
        <v>312</v>
      </c>
      <c r="D86" s="3" t="s">
        <v>80</v>
      </c>
      <c r="E86" s="3" t="s">
        <v>36</v>
      </c>
      <c r="F86" s="3" t="s">
        <v>146</v>
      </c>
      <c r="G86" s="3" t="s">
        <v>134</v>
      </c>
      <c r="H86" s="3" t="s">
        <v>50</v>
      </c>
      <c r="I86" s="3" t="s">
        <v>135</v>
      </c>
      <c r="J86" s="3" t="s">
        <v>134</v>
      </c>
      <c r="K86" s="3" t="s">
        <v>23</v>
      </c>
      <c r="L86" s="3" t="s">
        <v>135</v>
      </c>
      <c r="M86" s="3" t="s">
        <v>134</v>
      </c>
      <c r="N86" s="3" t="s">
        <v>78</v>
      </c>
      <c r="O86" s="3" t="s">
        <v>170</v>
      </c>
      <c r="P86" s="3" t="s">
        <v>134</v>
      </c>
    </row>
    <row r="87" spans="1:16" x14ac:dyDescent="0.25">
      <c r="A87" s="2">
        <v>86</v>
      </c>
      <c r="B87" s="2" t="s">
        <v>313</v>
      </c>
      <c r="C87" s="3" t="s">
        <v>314</v>
      </c>
      <c r="D87" s="3" t="s">
        <v>107</v>
      </c>
      <c r="E87" s="3" t="s">
        <v>86</v>
      </c>
      <c r="F87" s="3" t="s">
        <v>135</v>
      </c>
      <c r="G87" s="3" t="s">
        <v>136</v>
      </c>
      <c r="H87" s="3" t="s">
        <v>34</v>
      </c>
      <c r="I87" s="3" t="s">
        <v>151</v>
      </c>
      <c r="J87" s="3" t="s">
        <v>134</v>
      </c>
      <c r="K87" s="3" t="s">
        <v>39</v>
      </c>
      <c r="L87" s="3" t="s">
        <v>137</v>
      </c>
      <c r="M87" s="3" t="s">
        <v>134</v>
      </c>
      <c r="N87" s="3" t="s">
        <v>94</v>
      </c>
      <c r="O87" s="3" t="s">
        <v>137</v>
      </c>
      <c r="P87" s="3" t="s">
        <v>134</v>
      </c>
    </row>
    <row r="88" spans="1:16" x14ac:dyDescent="0.25">
      <c r="A88" s="2">
        <v>87</v>
      </c>
      <c r="B88" s="2" t="s">
        <v>315</v>
      </c>
      <c r="C88" s="3" t="s">
        <v>316</v>
      </c>
      <c r="D88" s="3" t="s">
        <v>82</v>
      </c>
      <c r="E88" s="3" t="s">
        <v>53</v>
      </c>
      <c r="F88" s="3" t="s">
        <v>133</v>
      </c>
      <c r="G88" s="3" t="s">
        <v>134</v>
      </c>
      <c r="H88" s="3" t="s">
        <v>32</v>
      </c>
      <c r="I88" s="3" t="s">
        <v>135</v>
      </c>
      <c r="J88" s="3" t="s">
        <v>134</v>
      </c>
      <c r="K88" s="3" t="s">
        <v>68</v>
      </c>
      <c r="L88" s="3" t="s">
        <v>135</v>
      </c>
      <c r="M88" s="3" t="s">
        <v>134</v>
      </c>
      <c r="N88" s="3" t="s">
        <v>36</v>
      </c>
      <c r="O88" s="3" t="s">
        <v>146</v>
      </c>
      <c r="P88" s="3" t="s">
        <v>134</v>
      </c>
    </row>
    <row r="89" spans="1:16" x14ac:dyDescent="0.25">
      <c r="A89" s="2">
        <v>88</v>
      </c>
      <c r="B89" s="2" t="s">
        <v>317</v>
      </c>
      <c r="C89" s="3" t="s">
        <v>318</v>
      </c>
      <c r="D89" s="3" t="s">
        <v>83</v>
      </c>
      <c r="E89" s="3" t="s">
        <v>55</v>
      </c>
      <c r="F89" s="3" t="s">
        <v>146</v>
      </c>
      <c r="G89" s="3" t="s">
        <v>134</v>
      </c>
      <c r="H89" s="3" t="s">
        <v>111</v>
      </c>
      <c r="I89" s="3" t="s">
        <v>143</v>
      </c>
      <c r="J89" s="3" t="s">
        <v>134</v>
      </c>
      <c r="K89" s="3" t="s">
        <v>56</v>
      </c>
      <c r="L89" s="3" t="s">
        <v>143</v>
      </c>
      <c r="M89" s="3" t="s">
        <v>134</v>
      </c>
      <c r="N89" s="3" t="s">
        <v>109</v>
      </c>
      <c r="O89" s="3" t="s">
        <v>146</v>
      </c>
      <c r="P89" s="3" t="s">
        <v>134</v>
      </c>
    </row>
    <row r="90" spans="1:16" x14ac:dyDescent="0.25">
      <c r="A90" s="2">
        <v>89</v>
      </c>
      <c r="B90" s="2" t="s">
        <v>319</v>
      </c>
      <c r="C90" s="3" t="s">
        <v>320</v>
      </c>
      <c r="D90" s="3" t="s">
        <v>60</v>
      </c>
      <c r="E90" s="3" t="s">
        <v>102</v>
      </c>
      <c r="F90" s="3" t="s">
        <v>143</v>
      </c>
      <c r="G90" s="3" t="s">
        <v>134</v>
      </c>
      <c r="H90" s="3" t="s">
        <v>31</v>
      </c>
      <c r="I90" s="3" t="s">
        <v>142</v>
      </c>
      <c r="J90" s="3" t="s">
        <v>134</v>
      </c>
      <c r="K90" s="3" t="s">
        <v>45</v>
      </c>
      <c r="L90" s="3" t="s">
        <v>141</v>
      </c>
      <c r="M90" s="3" t="s">
        <v>134</v>
      </c>
      <c r="N90" s="3" t="s">
        <v>70</v>
      </c>
      <c r="O90" s="3" t="s">
        <v>151</v>
      </c>
      <c r="P90" s="3" t="s">
        <v>134</v>
      </c>
    </row>
    <row r="91" spans="1:16" x14ac:dyDescent="0.25">
      <c r="A91" s="2">
        <v>90</v>
      </c>
      <c r="B91" s="2" t="s">
        <v>321</v>
      </c>
      <c r="C91" s="3" t="s">
        <v>322</v>
      </c>
      <c r="D91" s="3" t="s">
        <v>53</v>
      </c>
      <c r="E91" s="3" t="s">
        <v>75</v>
      </c>
      <c r="F91" s="3" t="s">
        <v>143</v>
      </c>
      <c r="G91" s="3" t="s">
        <v>134</v>
      </c>
      <c r="H91" s="3" t="s">
        <v>64</v>
      </c>
      <c r="I91" s="3" t="s">
        <v>146</v>
      </c>
      <c r="J91" s="3" t="s">
        <v>134</v>
      </c>
      <c r="K91" s="3" t="s">
        <v>56</v>
      </c>
      <c r="L91" s="3" t="s">
        <v>143</v>
      </c>
      <c r="M91" s="3" t="s">
        <v>134</v>
      </c>
      <c r="N91" s="3" t="s">
        <v>57</v>
      </c>
      <c r="O91" s="3" t="s">
        <v>137</v>
      </c>
      <c r="P91" s="3" t="s">
        <v>136</v>
      </c>
    </row>
    <row r="92" spans="1:16" x14ac:dyDescent="0.25">
      <c r="A92" s="2">
        <v>91</v>
      </c>
      <c r="B92" s="2" t="s">
        <v>323</v>
      </c>
      <c r="C92" s="3" t="s">
        <v>324</v>
      </c>
      <c r="D92" s="3" t="s">
        <v>71</v>
      </c>
      <c r="E92" s="3" t="s">
        <v>57</v>
      </c>
      <c r="F92" s="3" t="s">
        <v>137</v>
      </c>
      <c r="G92" s="3" t="s">
        <v>134</v>
      </c>
      <c r="H92" s="3" t="s">
        <v>77</v>
      </c>
      <c r="I92" s="3" t="s">
        <v>135</v>
      </c>
      <c r="J92" s="3" t="s">
        <v>134</v>
      </c>
      <c r="K92" s="3" t="s">
        <v>89</v>
      </c>
      <c r="L92" s="3" t="s">
        <v>133</v>
      </c>
      <c r="M92" s="3" t="s">
        <v>134</v>
      </c>
      <c r="N92" s="3" t="s">
        <v>105</v>
      </c>
      <c r="O92" s="3" t="s">
        <v>135</v>
      </c>
      <c r="P92" s="3" t="s">
        <v>134</v>
      </c>
    </row>
    <row r="93" spans="1:16" x14ac:dyDescent="0.25">
      <c r="A93" s="2">
        <v>92</v>
      </c>
      <c r="B93" s="2" t="s">
        <v>325</v>
      </c>
      <c r="C93" s="3" t="s">
        <v>326</v>
      </c>
      <c r="D93" s="3" t="s">
        <v>22</v>
      </c>
      <c r="E93" s="3" t="s">
        <v>81</v>
      </c>
      <c r="F93" s="3" t="s">
        <v>141</v>
      </c>
      <c r="G93" s="3" t="s">
        <v>134</v>
      </c>
      <c r="H93" s="3" t="s">
        <v>49</v>
      </c>
      <c r="I93" s="3" t="s">
        <v>142</v>
      </c>
      <c r="J93" s="3" t="s">
        <v>134</v>
      </c>
      <c r="K93" s="3" t="s">
        <v>107</v>
      </c>
      <c r="L93" s="3" t="s">
        <v>133</v>
      </c>
      <c r="M93" s="3" t="s">
        <v>136</v>
      </c>
      <c r="N93" s="3" t="s">
        <v>42</v>
      </c>
      <c r="O93" s="3" t="s">
        <v>170</v>
      </c>
      <c r="P93" s="3" t="s">
        <v>134</v>
      </c>
    </row>
    <row r="94" spans="1:16" x14ac:dyDescent="0.25">
      <c r="A94" s="2">
        <v>93</v>
      </c>
      <c r="B94" s="2" t="s">
        <v>327</v>
      </c>
      <c r="C94" s="3" t="s">
        <v>328</v>
      </c>
      <c r="D94" s="3" t="s">
        <v>98</v>
      </c>
      <c r="E94" s="3" t="s">
        <v>101</v>
      </c>
      <c r="F94" s="3" t="s">
        <v>138</v>
      </c>
      <c r="G94" s="3" t="s">
        <v>134</v>
      </c>
      <c r="H94" s="3" t="s">
        <v>88</v>
      </c>
      <c r="I94" s="3" t="s">
        <v>151</v>
      </c>
      <c r="J94" s="3" t="s">
        <v>134</v>
      </c>
      <c r="K94" s="3" t="s">
        <v>26</v>
      </c>
      <c r="L94" s="3" t="s">
        <v>141</v>
      </c>
      <c r="M94" s="3" t="s">
        <v>134</v>
      </c>
      <c r="N94" s="3" t="s">
        <v>93</v>
      </c>
      <c r="O94" s="3" t="s">
        <v>143</v>
      </c>
      <c r="P94" s="3" t="s">
        <v>134</v>
      </c>
    </row>
    <row r="95" spans="1:16" x14ac:dyDescent="0.25">
      <c r="A95" s="2">
        <v>94</v>
      </c>
      <c r="B95" s="2" t="s">
        <v>329</v>
      </c>
      <c r="C95" s="3" t="s">
        <v>330</v>
      </c>
      <c r="D95" s="3" t="s">
        <v>66</v>
      </c>
      <c r="E95" s="3" t="s">
        <v>76</v>
      </c>
      <c r="F95" s="3" t="s">
        <v>142</v>
      </c>
      <c r="G95" s="3" t="s">
        <v>134</v>
      </c>
      <c r="H95" s="3" t="s">
        <v>110</v>
      </c>
      <c r="I95" s="3" t="s">
        <v>138</v>
      </c>
      <c r="J95" s="3" t="s">
        <v>134</v>
      </c>
      <c r="K95" s="3" t="s">
        <v>16</v>
      </c>
      <c r="L95" s="3" t="s">
        <v>133</v>
      </c>
      <c r="M95" s="3" t="s">
        <v>134</v>
      </c>
      <c r="N95" s="3" t="s">
        <v>42</v>
      </c>
      <c r="O95" s="3" t="s">
        <v>170</v>
      </c>
      <c r="P95" s="3" t="s">
        <v>134</v>
      </c>
    </row>
    <row r="96" spans="1:16" x14ac:dyDescent="0.25">
      <c r="A96" s="2">
        <v>95</v>
      </c>
      <c r="B96" s="2" t="s">
        <v>331</v>
      </c>
      <c r="C96" s="3" t="s">
        <v>332</v>
      </c>
      <c r="D96" s="3" t="s">
        <v>41</v>
      </c>
      <c r="E96" s="3" t="s">
        <v>48</v>
      </c>
      <c r="F96" s="3" t="s">
        <v>137</v>
      </c>
      <c r="G96" s="3" t="s">
        <v>134</v>
      </c>
      <c r="H96" s="3" t="s">
        <v>57</v>
      </c>
      <c r="I96" s="3" t="s">
        <v>137</v>
      </c>
      <c r="J96" s="3" t="s">
        <v>134</v>
      </c>
      <c r="K96" s="3" t="s">
        <v>88</v>
      </c>
      <c r="L96" s="3" t="s">
        <v>151</v>
      </c>
      <c r="M96" s="3" t="s">
        <v>134</v>
      </c>
      <c r="N96" s="3" t="s">
        <v>100</v>
      </c>
      <c r="O96" s="3" t="s">
        <v>146</v>
      </c>
      <c r="P96" s="3" t="s">
        <v>136</v>
      </c>
    </row>
    <row r="97" spans="1:16" x14ac:dyDescent="0.25">
      <c r="A97" s="2">
        <v>96</v>
      </c>
      <c r="B97" s="2" t="s">
        <v>333</v>
      </c>
      <c r="C97" s="3" t="s">
        <v>334</v>
      </c>
      <c r="D97" s="3" t="s">
        <v>36</v>
      </c>
      <c r="E97" s="3" t="s">
        <v>23</v>
      </c>
      <c r="F97" s="3" t="s">
        <v>135</v>
      </c>
      <c r="G97" s="3" t="s">
        <v>134</v>
      </c>
      <c r="H97" s="3" t="s">
        <v>53</v>
      </c>
      <c r="I97" s="3" t="s">
        <v>133</v>
      </c>
      <c r="J97" s="3" t="s">
        <v>134</v>
      </c>
      <c r="K97" s="3" t="s">
        <v>58</v>
      </c>
      <c r="L97" s="3" t="s">
        <v>142</v>
      </c>
      <c r="M97" s="3" t="s">
        <v>134</v>
      </c>
      <c r="N97" s="3" t="s">
        <v>95</v>
      </c>
      <c r="O97" s="3" t="s">
        <v>142</v>
      </c>
      <c r="P97" s="3" t="s">
        <v>134</v>
      </c>
    </row>
    <row r="98" spans="1:16" x14ac:dyDescent="0.25">
      <c r="A98" s="2">
        <v>97</v>
      </c>
      <c r="B98" s="2" t="s">
        <v>335</v>
      </c>
      <c r="C98" s="3" t="s">
        <v>336</v>
      </c>
      <c r="D98" s="3" t="s">
        <v>20</v>
      </c>
      <c r="E98" s="3" t="s">
        <v>73</v>
      </c>
      <c r="F98" s="3" t="s">
        <v>146</v>
      </c>
      <c r="G98" s="3" t="s">
        <v>134</v>
      </c>
      <c r="H98" s="3" t="s">
        <v>87</v>
      </c>
      <c r="I98" s="3" t="s">
        <v>170</v>
      </c>
      <c r="J98" s="3" t="s">
        <v>134</v>
      </c>
      <c r="K98" s="3" t="s">
        <v>32</v>
      </c>
      <c r="L98" s="3" t="s">
        <v>135</v>
      </c>
      <c r="M98" s="3" t="s">
        <v>134</v>
      </c>
      <c r="N98" s="3" t="s">
        <v>96</v>
      </c>
      <c r="O98" s="3" t="s">
        <v>170</v>
      </c>
      <c r="P98" s="3" t="s">
        <v>134</v>
      </c>
    </row>
    <row r="99" spans="1:16" x14ac:dyDescent="0.25">
      <c r="A99" s="2">
        <v>98</v>
      </c>
      <c r="B99" s="2" t="s">
        <v>337</v>
      </c>
      <c r="C99" s="3" t="s">
        <v>338</v>
      </c>
      <c r="D99" s="3" t="s">
        <v>16</v>
      </c>
      <c r="E99" s="3" t="s">
        <v>111</v>
      </c>
      <c r="F99" s="3" t="s">
        <v>143</v>
      </c>
      <c r="G99" s="3" t="s">
        <v>134</v>
      </c>
      <c r="H99" s="3" t="s">
        <v>84</v>
      </c>
      <c r="I99" s="3" t="s">
        <v>143</v>
      </c>
      <c r="J99" s="3" t="s">
        <v>134</v>
      </c>
      <c r="K99" s="3" t="s">
        <v>93</v>
      </c>
      <c r="L99" s="3" t="s">
        <v>143</v>
      </c>
      <c r="M99" s="3" t="s">
        <v>134</v>
      </c>
      <c r="N99" s="3" t="s">
        <v>41</v>
      </c>
      <c r="O99" s="3" t="s">
        <v>135</v>
      </c>
      <c r="P99" s="3" t="s">
        <v>134</v>
      </c>
    </row>
    <row r="100" spans="1:16" x14ac:dyDescent="0.25">
      <c r="A100" s="2">
        <v>99</v>
      </c>
      <c r="B100" s="2" t="s">
        <v>339</v>
      </c>
      <c r="C100" s="3" t="s">
        <v>340</v>
      </c>
      <c r="D100" s="3" t="s">
        <v>54</v>
      </c>
      <c r="E100" s="3" t="s">
        <v>36</v>
      </c>
      <c r="F100" s="3" t="s">
        <v>146</v>
      </c>
      <c r="G100" s="3" t="s">
        <v>134</v>
      </c>
      <c r="H100" s="3" t="s">
        <v>35</v>
      </c>
      <c r="I100" s="3" t="s">
        <v>133</v>
      </c>
      <c r="J100" s="3" t="s">
        <v>134</v>
      </c>
      <c r="K100" s="3" t="s">
        <v>26</v>
      </c>
      <c r="L100" s="3" t="s">
        <v>141</v>
      </c>
      <c r="M100" s="3" t="s">
        <v>134</v>
      </c>
      <c r="N100" s="3" t="s">
        <v>18</v>
      </c>
      <c r="O100" s="3" t="s">
        <v>146</v>
      </c>
      <c r="P100" s="3" t="s">
        <v>134</v>
      </c>
    </row>
    <row r="101" spans="1:16" x14ac:dyDescent="0.25">
      <c r="A101" s="2">
        <v>100</v>
      </c>
      <c r="B101" s="2" t="s">
        <v>341</v>
      </c>
      <c r="C101" s="3" t="s">
        <v>342</v>
      </c>
      <c r="D101" s="3" t="s">
        <v>79</v>
      </c>
      <c r="E101" s="3" t="s">
        <v>42</v>
      </c>
      <c r="F101" s="3" t="s">
        <v>170</v>
      </c>
      <c r="G101" s="3" t="s">
        <v>134</v>
      </c>
      <c r="H101" s="3" t="s">
        <v>73</v>
      </c>
      <c r="I101" s="3" t="s">
        <v>146</v>
      </c>
      <c r="J101" s="3" t="s">
        <v>134</v>
      </c>
      <c r="K101" s="3" t="s">
        <v>29</v>
      </c>
      <c r="L101" s="3" t="s">
        <v>143</v>
      </c>
      <c r="M101" s="3" t="s">
        <v>134</v>
      </c>
      <c r="N101" s="3" t="s">
        <v>38</v>
      </c>
      <c r="O101" s="3" t="s">
        <v>143</v>
      </c>
      <c r="P101" s="3" t="s">
        <v>134</v>
      </c>
    </row>
    <row r="102" spans="1:16" x14ac:dyDescent="0.25">
      <c r="A102" s="2">
        <v>101</v>
      </c>
      <c r="B102" s="2" t="s">
        <v>343</v>
      </c>
      <c r="C102" s="3" t="s">
        <v>344</v>
      </c>
      <c r="D102" s="3" t="s">
        <v>30</v>
      </c>
      <c r="E102" s="3" t="s">
        <v>81</v>
      </c>
      <c r="F102" s="3" t="s">
        <v>141</v>
      </c>
      <c r="G102" s="3" t="s">
        <v>134</v>
      </c>
      <c r="H102" s="3" t="s">
        <v>75</v>
      </c>
      <c r="I102" s="3" t="s">
        <v>143</v>
      </c>
      <c r="J102" s="3" t="s">
        <v>134</v>
      </c>
      <c r="K102" s="3" t="s">
        <v>104</v>
      </c>
      <c r="L102" s="3" t="s">
        <v>142</v>
      </c>
      <c r="M102" s="3" t="s">
        <v>134</v>
      </c>
      <c r="N102" s="3" t="s">
        <v>109</v>
      </c>
      <c r="O102" s="3" t="s">
        <v>146</v>
      </c>
      <c r="P102" s="3" t="s">
        <v>134</v>
      </c>
    </row>
    <row r="103" spans="1:16" x14ac:dyDescent="0.25">
      <c r="A103" s="2">
        <v>102</v>
      </c>
      <c r="B103" s="2" t="s">
        <v>345</v>
      </c>
      <c r="C103" s="3" t="s">
        <v>346</v>
      </c>
      <c r="D103" s="3" t="s">
        <v>51</v>
      </c>
      <c r="E103" s="3" t="s">
        <v>85</v>
      </c>
      <c r="F103" s="3" t="s">
        <v>137</v>
      </c>
      <c r="G103" s="3" t="s">
        <v>136</v>
      </c>
      <c r="H103" s="3" t="s">
        <v>34</v>
      </c>
      <c r="I103" s="3" t="s">
        <v>151</v>
      </c>
      <c r="J103" s="3" t="s">
        <v>134</v>
      </c>
      <c r="K103" s="3" t="s">
        <v>49</v>
      </c>
      <c r="L103" s="3" t="s">
        <v>142</v>
      </c>
      <c r="M103" s="3" t="s">
        <v>134</v>
      </c>
      <c r="N103" s="3" t="s">
        <v>103</v>
      </c>
      <c r="O103" s="3" t="s">
        <v>137</v>
      </c>
      <c r="P103" s="3" t="s">
        <v>136</v>
      </c>
    </row>
    <row r="104" spans="1:16" x14ac:dyDescent="0.25">
      <c r="A104" s="2">
        <v>103</v>
      </c>
      <c r="B104" s="2" t="s">
        <v>347</v>
      </c>
      <c r="C104" s="3" t="s">
        <v>348</v>
      </c>
      <c r="D104" s="3" t="s">
        <v>71</v>
      </c>
      <c r="E104" s="3" t="s">
        <v>46</v>
      </c>
      <c r="F104" s="3" t="s">
        <v>138</v>
      </c>
      <c r="G104" s="3" t="s">
        <v>134</v>
      </c>
      <c r="H104" s="3" t="s">
        <v>43</v>
      </c>
      <c r="I104" s="3" t="s">
        <v>151</v>
      </c>
      <c r="J104" s="3" t="s">
        <v>134</v>
      </c>
      <c r="K104" s="3" t="s">
        <v>29</v>
      </c>
      <c r="L104" s="3" t="s">
        <v>143</v>
      </c>
      <c r="M104" s="3" t="s">
        <v>134</v>
      </c>
      <c r="N104" s="3" t="s">
        <v>93</v>
      </c>
      <c r="O104" s="3" t="s">
        <v>143</v>
      </c>
      <c r="P104" s="3" t="s">
        <v>134</v>
      </c>
    </row>
    <row r="105" spans="1:16" x14ac:dyDescent="0.25">
      <c r="A105" s="2">
        <v>104</v>
      </c>
      <c r="B105" s="2" t="s">
        <v>349</v>
      </c>
      <c r="C105" s="3" t="s">
        <v>350</v>
      </c>
      <c r="D105" s="3" t="s">
        <v>59</v>
      </c>
      <c r="E105" s="3" t="s">
        <v>111</v>
      </c>
      <c r="F105" s="3" t="s">
        <v>143</v>
      </c>
      <c r="G105" s="3" t="s">
        <v>134</v>
      </c>
      <c r="H105" s="3" t="s">
        <v>90</v>
      </c>
      <c r="I105" s="3" t="s">
        <v>141</v>
      </c>
      <c r="J105" s="3" t="s">
        <v>134</v>
      </c>
      <c r="K105" s="3" t="s">
        <v>75</v>
      </c>
      <c r="L105" s="3" t="s">
        <v>143</v>
      </c>
      <c r="M105" s="3" t="s">
        <v>134</v>
      </c>
      <c r="N105" s="3" t="s">
        <v>69</v>
      </c>
      <c r="O105" s="3" t="s">
        <v>170</v>
      </c>
      <c r="P105" s="3" t="s">
        <v>134</v>
      </c>
    </row>
    <row r="106" spans="1:16" x14ac:dyDescent="0.25">
      <c r="A106" s="2">
        <v>105</v>
      </c>
      <c r="B106" s="2" t="s">
        <v>351</v>
      </c>
      <c r="C106" s="3" t="s">
        <v>352</v>
      </c>
      <c r="D106" s="3" t="s">
        <v>41</v>
      </c>
      <c r="E106" s="3" t="s">
        <v>98</v>
      </c>
      <c r="F106" s="3" t="s">
        <v>133</v>
      </c>
      <c r="G106" s="3" t="s">
        <v>134</v>
      </c>
      <c r="H106" s="3" t="s">
        <v>103</v>
      </c>
      <c r="I106" s="3" t="s">
        <v>137</v>
      </c>
      <c r="J106" s="3" t="s">
        <v>134</v>
      </c>
      <c r="K106" s="3" t="s">
        <v>24</v>
      </c>
      <c r="L106" s="3" t="s">
        <v>170</v>
      </c>
      <c r="M106" s="3" t="s">
        <v>134</v>
      </c>
      <c r="N106" s="3" t="s">
        <v>32</v>
      </c>
      <c r="O106" s="3" t="s">
        <v>135</v>
      </c>
      <c r="P106" s="3" t="s">
        <v>134</v>
      </c>
    </row>
    <row r="107" spans="1:16" x14ac:dyDescent="0.25">
      <c r="A107" s="2">
        <v>106</v>
      </c>
      <c r="B107" s="2" t="s">
        <v>353</v>
      </c>
      <c r="C107" s="3" t="s">
        <v>354</v>
      </c>
      <c r="D107" s="3" t="s">
        <v>113</v>
      </c>
      <c r="E107" s="3" t="s">
        <v>50</v>
      </c>
      <c r="F107" s="3" t="s">
        <v>135</v>
      </c>
      <c r="G107" s="3" t="s">
        <v>134</v>
      </c>
      <c r="H107" s="3" t="s">
        <v>22</v>
      </c>
      <c r="I107" s="3" t="s">
        <v>142</v>
      </c>
      <c r="J107" s="3" t="s">
        <v>134</v>
      </c>
      <c r="K107" s="3" t="s">
        <v>63</v>
      </c>
      <c r="L107" s="3" t="s">
        <v>141</v>
      </c>
      <c r="M107" s="3" t="s">
        <v>134</v>
      </c>
      <c r="N107" s="3" t="s">
        <v>55</v>
      </c>
      <c r="O107" s="3" t="s">
        <v>146</v>
      </c>
      <c r="P107" s="3" t="s">
        <v>134</v>
      </c>
    </row>
    <row r="108" spans="1:16" x14ac:dyDescent="0.25">
      <c r="A108" s="2">
        <v>107</v>
      </c>
      <c r="B108" s="2" t="s">
        <v>355</v>
      </c>
      <c r="C108" s="3" t="s">
        <v>356</v>
      </c>
      <c r="D108" s="3" t="s">
        <v>92</v>
      </c>
      <c r="E108" s="3" t="s">
        <v>25</v>
      </c>
      <c r="F108" s="3" t="s">
        <v>151</v>
      </c>
      <c r="G108" s="3" t="s">
        <v>134</v>
      </c>
      <c r="H108" s="3" t="s">
        <v>29</v>
      </c>
      <c r="I108" s="3" t="s">
        <v>143</v>
      </c>
      <c r="J108" s="3" t="s">
        <v>134</v>
      </c>
      <c r="K108" s="3" t="s">
        <v>38</v>
      </c>
      <c r="L108" s="3" t="s">
        <v>143</v>
      </c>
      <c r="M108" s="3" t="s">
        <v>134</v>
      </c>
      <c r="N108" s="3" t="s">
        <v>111</v>
      </c>
      <c r="O108" s="3" t="s">
        <v>143</v>
      </c>
      <c r="P108" s="3" t="s">
        <v>134</v>
      </c>
    </row>
    <row r="109" spans="1:16" x14ac:dyDescent="0.25">
      <c r="A109" s="2">
        <v>108</v>
      </c>
      <c r="B109" s="2" t="s">
        <v>357</v>
      </c>
      <c r="C109" s="3" t="s">
        <v>358</v>
      </c>
      <c r="D109" s="3" t="s">
        <v>64</v>
      </c>
      <c r="E109" s="3" t="s">
        <v>68</v>
      </c>
      <c r="F109" s="3" t="s">
        <v>135</v>
      </c>
      <c r="G109" s="3" t="s">
        <v>136</v>
      </c>
      <c r="H109" s="3" t="s">
        <v>80</v>
      </c>
      <c r="I109" s="3" t="s">
        <v>133</v>
      </c>
      <c r="J109" s="3" t="s">
        <v>134</v>
      </c>
      <c r="K109" s="3" t="s">
        <v>88</v>
      </c>
      <c r="L109" s="3" t="s">
        <v>151</v>
      </c>
      <c r="M109" s="3" t="s">
        <v>134</v>
      </c>
      <c r="N109" s="3" t="s">
        <v>95</v>
      </c>
      <c r="O109" s="3" t="s">
        <v>142</v>
      </c>
      <c r="P109" s="3" t="s">
        <v>134</v>
      </c>
    </row>
    <row r="110" spans="1:16" x14ac:dyDescent="0.25">
      <c r="A110" s="2">
        <v>109</v>
      </c>
      <c r="B110" s="2" t="s">
        <v>359</v>
      </c>
      <c r="C110" s="3" t="s">
        <v>360</v>
      </c>
      <c r="D110" s="3" t="s">
        <v>55</v>
      </c>
      <c r="E110" s="3" t="s">
        <v>38</v>
      </c>
      <c r="F110" s="3" t="s">
        <v>143</v>
      </c>
      <c r="G110" s="3" t="s">
        <v>134</v>
      </c>
      <c r="H110" s="3" t="s">
        <v>79</v>
      </c>
      <c r="I110" s="3" t="s">
        <v>151</v>
      </c>
      <c r="J110" s="3" t="s">
        <v>134</v>
      </c>
      <c r="K110" s="3" t="s">
        <v>115</v>
      </c>
      <c r="L110" s="3" t="s">
        <v>170</v>
      </c>
      <c r="M110" s="3" t="s">
        <v>136</v>
      </c>
      <c r="N110" s="3" t="s">
        <v>73</v>
      </c>
      <c r="O110" s="3" t="s">
        <v>146</v>
      </c>
      <c r="P110" s="3" t="s">
        <v>134</v>
      </c>
    </row>
    <row r="111" spans="1:16" x14ac:dyDescent="0.25">
      <c r="A111" s="2">
        <v>110</v>
      </c>
      <c r="B111" s="2" t="s">
        <v>361</v>
      </c>
      <c r="C111" s="3" t="s">
        <v>362</v>
      </c>
      <c r="D111" s="3" t="s">
        <v>92</v>
      </c>
      <c r="E111" s="3" t="s">
        <v>21</v>
      </c>
      <c r="F111" s="3" t="s">
        <v>137</v>
      </c>
      <c r="G111" s="3" t="s">
        <v>134</v>
      </c>
      <c r="H111" s="3" t="s">
        <v>100</v>
      </c>
      <c r="I111" s="3" t="s">
        <v>146</v>
      </c>
      <c r="J111" s="3" t="s">
        <v>134</v>
      </c>
      <c r="K111" s="3" t="s">
        <v>27</v>
      </c>
      <c r="L111" s="3" t="s">
        <v>146</v>
      </c>
      <c r="M111" s="3" t="s">
        <v>134</v>
      </c>
      <c r="N111" s="3" t="s">
        <v>30</v>
      </c>
      <c r="O111" s="3" t="s">
        <v>137</v>
      </c>
      <c r="P111" s="3" t="s">
        <v>134</v>
      </c>
    </row>
    <row r="112" spans="1:16" x14ac:dyDescent="0.25">
      <c r="A112" s="2">
        <v>111</v>
      </c>
      <c r="B112" s="2" t="s">
        <v>363</v>
      </c>
      <c r="C112" s="3" t="s">
        <v>364</v>
      </c>
      <c r="D112" s="3" t="s">
        <v>33</v>
      </c>
      <c r="E112" s="3" t="s">
        <v>43</v>
      </c>
      <c r="F112" s="3" t="s">
        <v>151</v>
      </c>
      <c r="G112" s="3" t="s">
        <v>134</v>
      </c>
      <c r="H112" s="3" t="s">
        <v>115</v>
      </c>
      <c r="I112" s="3" t="s">
        <v>170</v>
      </c>
      <c r="J112" s="3" t="s">
        <v>134</v>
      </c>
      <c r="K112" s="3" t="s">
        <v>73</v>
      </c>
      <c r="L112" s="3" t="s">
        <v>146</v>
      </c>
      <c r="M112" s="3" t="s">
        <v>134</v>
      </c>
      <c r="N112" s="3" t="s">
        <v>55</v>
      </c>
      <c r="O112" s="3" t="s">
        <v>146</v>
      </c>
      <c r="P112" s="3" t="s">
        <v>134</v>
      </c>
    </row>
    <row r="113" spans="1:16" x14ac:dyDescent="0.25">
      <c r="A113" s="2">
        <v>112</v>
      </c>
      <c r="B113" s="2" t="s">
        <v>365</v>
      </c>
      <c r="C113" s="3" t="s">
        <v>366</v>
      </c>
      <c r="D113" s="3" t="s">
        <v>44</v>
      </c>
      <c r="E113" s="3" t="s">
        <v>46</v>
      </c>
      <c r="F113" s="3" t="s">
        <v>138</v>
      </c>
      <c r="G113" s="3" t="s">
        <v>134</v>
      </c>
      <c r="H113" s="3" t="s">
        <v>102</v>
      </c>
      <c r="I113" s="3" t="s">
        <v>143</v>
      </c>
      <c r="J113" s="3" t="s">
        <v>136</v>
      </c>
      <c r="K113" s="3" t="s">
        <v>21</v>
      </c>
      <c r="L113" s="3" t="s">
        <v>137</v>
      </c>
      <c r="M113" s="3" t="s">
        <v>134</v>
      </c>
      <c r="N113" s="3" t="s">
        <v>93</v>
      </c>
      <c r="O113" s="3" t="s">
        <v>143</v>
      </c>
      <c r="P113" s="3" t="s">
        <v>136</v>
      </c>
    </row>
    <row r="114" spans="1:16" x14ac:dyDescent="0.25">
      <c r="A114" s="2">
        <v>113</v>
      </c>
      <c r="B114" s="2" t="s">
        <v>367</v>
      </c>
      <c r="C114" s="3" t="s">
        <v>368</v>
      </c>
      <c r="D114" s="3" t="s">
        <v>75</v>
      </c>
      <c r="E114" s="3" t="s">
        <v>50</v>
      </c>
      <c r="F114" s="3" t="s">
        <v>135</v>
      </c>
      <c r="G114" s="3" t="s">
        <v>134</v>
      </c>
      <c r="H114" s="3" t="s">
        <v>62</v>
      </c>
      <c r="I114" s="3" t="s">
        <v>133</v>
      </c>
      <c r="J114" s="3" t="s">
        <v>134</v>
      </c>
      <c r="K114" s="3" t="s">
        <v>44</v>
      </c>
      <c r="L114" s="3" t="s">
        <v>133</v>
      </c>
      <c r="M114" s="3" t="s">
        <v>134</v>
      </c>
      <c r="N114" s="3" t="s">
        <v>87</v>
      </c>
      <c r="O114" s="3" t="s">
        <v>170</v>
      </c>
      <c r="P114" s="3" t="s">
        <v>134</v>
      </c>
    </row>
    <row r="115" spans="1:16" x14ac:dyDescent="0.25">
      <c r="A115" s="2">
        <v>114</v>
      </c>
      <c r="B115" s="2" t="s">
        <v>369</v>
      </c>
      <c r="C115" s="3" t="s">
        <v>370</v>
      </c>
      <c r="D115" s="3" t="s">
        <v>70</v>
      </c>
      <c r="E115" s="3" t="s">
        <v>20</v>
      </c>
      <c r="F115" s="3" t="s">
        <v>143</v>
      </c>
      <c r="G115" s="3" t="s">
        <v>134</v>
      </c>
      <c r="H115" s="3" t="s">
        <v>98</v>
      </c>
      <c r="I115" s="3" t="s">
        <v>133</v>
      </c>
      <c r="J115" s="3" t="s">
        <v>136</v>
      </c>
      <c r="K115" s="3" t="s">
        <v>107</v>
      </c>
      <c r="L115" s="3" t="s">
        <v>133</v>
      </c>
      <c r="M115" s="3" t="s">
        <v>136</v>
      </c>
      <c r="N115" s="3" t="s">
        <v>46</v>
      </c>
      <c r="O115" s="3" t="s">
        <v>138</v>
      </c>
      <c r="P115" s="3" t="s">
        <v>134</v>
      </c>
    </row>
    <row r="116" spans="1:16" x14ac:dyDescent="0.25">
      <c r="A116" s="2">
        <v>115</v>
      </c>
      <c r="B116" s="2" t="s">
        <v>371</v>
      </c>
      <c r="C116" s="3" t="s">
        <v>372</v>
      </c>
      <c r="D116" s="3" t="s">
        <v>85</v>
      </c>
      <c r="E116" s="3" t="s">
        <v>88</v>
      </c>
      <c r="F116" s="3" t="s">
        <v>151</v>
      </c>
      <c r="G116" s="3" t="s">
        <v>134</v>
      </c>
      <c r="H116" s="3" t="s">
        <v>62</v>
      </c>
      <c r="I116" s="3" t="s">
        <v>133</v>
      </c>
      <c r="J116" s="3" t="s">
        <v>134</v>
      </c>
      <c r="K116" s="3" t="s">
        <v>85</v>
      </c>
      <c r="L116" s="3" t="s">
        <v>137</v>
      </c>
      <c r="M116" s="3" t="s">
        <v>134</v>
      </c>
      <c r="N116" s="3" t="s">
        <v>34</v>
      </c>
      <c r="O116" s="3" t="s">
        <v>151</v>
      </c>
      <c r="P116" s="3" t="s">
        <v>134</v>
      </c>
    </row>
    <row r="117" spans="1:16" x14ac:dyDescent="0.25">
      <c r="A117" s="2">
        <v>116</v>
      </c>
      <c r="B117" s="2" t="s">
        <v>373</v>
      </c>
      <c r="C117" s="3" t="s">
        <v>374</v>
      </c>
      <c r="D117" s="3" t="s">
        <v>91</v>
      </c>
      <c r="E117" s="3" t="s">
        <v>46</v>
      </c>
      <c r="F117" s="3" t="s">
        <v>138</v>
      </c>
      <c r="G117" s="3" t="s">
        <v>134</v>
      </c>
      <c r="H117" s="3" t="s">
        <v>35</v>
      </c>
      <c r="I117" s="3" t="s">
        <v>133</v>
      </c>
      <c r="J117" s="3" t="s">
        <v>136</v>
      </c>
      <c r="K117" s="3" t="s">
        <v>114</v>
      </c>
      <c r="L117" s="3" t="s">
        <v>135</v>
      </c>
      <c r="M117" s="3" t="s">
        <v>134</v>
      </c>
      <c r="N117" s="3" t="s">
        <v>90</v>
      </c>
      <c r="O117" s="3" t="s">
        <v>141</v>
      </c>
      <c r="P117" s="3" t="s">
        <v>134</v>
      </c>
    </row>
    <row r="118" spans="1:16" x14ac:dyDescent="0.25">
      <c r="A118" s="2">
        <v>117</v>
      </c>
      <c r="B118" s="2" t="s">
        <v>375</v>
      </c>
      <c r="C118" s="3" t="s">
        <v>376</v>
      </c>
      <c r="D118" s="3" t="s">
        <v>53</v>
      </c>
      <c r="E118" s="3" t="s">
        <v>64</v>
      </c>
      <c r="F118" s="3" t="s">
        <v>146</v>
      </c>
      <c r="G118" s="3" t="s">
        <v>134</v>
      </c>
      <c r="H118" s="3" t="s">
        <v>55</v>
      </c>
      <c r="I118" s="3" t="s">
        <v>146</v>
      </c>
      <c r="J118" s="3" t="s">
        <v>134</v>
      </c>
      <c r="K118" s="3" t="s">
        <v>95</v>
      </c>
      <c r="L118" s="3" t="s">
        <v>142</v>
      </c>
      <c r="M118" s="3" t="s">
        <v>134</v>
      </c>
      <c r="N118" s="3" t="s">
        <v>62</v>
      </c>
      <c r="O118" s="3" t="s">
        <v>133</v>
      </c>
      <c r="P118" s="3" t="s">
        <v>136</v>
      </c>
    </row>
    <row r="119" spans="1:16" x14ac:dyDescent="0.25">
      <c r="A119" s="2">
        <v>118</v>
      </c>
      <c r="B119" s="2" t="s">
        <v>377</v>
      </c>
      <c r="C119" s="3" t="s">
        <v>378</v>
      </c>
      <c r="D119" s="3" t="s">
        <v>48</v>
      </c>
      <c r="E119" s="3" t="s">
        <v>57</v>
      </c>
      <c r="F119" s="3" t="s">
        <v>137</v>
      </c>
      <c r="G119" s="3" t="s">
        <v>136</v>
      </c>
      <c r="H119" s="3" t="s">
        <v>30</v>
      </c>
      <c r="I119" s="3" t="s">
        <v>137</v>
      </c>
      <c r="J119" s="3" t="s">
        <v>136</v>
      </c>
      <c r="K119" s="3" t="s">
        <v>78</v>
      </c>
      <c r="L119" s="3" t="s">
        <v>170</v>
      </c>
      <c r="M119" s="3" t="s">
        <v>134</v>
      </c>
      <c r="N119" s="3" t="s">
        <v>103</v>
      </c>
      <c r="O119" s="3" t="s">
        <v>137</v>
      </c>
      <c r="P119" s="3" t="s">
        <v>136</v>
      </c>
    </row>
    <row r="120" spans="1:16" x14ac:dyDescent="0.25">
      <c r="A120" s="2">
        <v>119</v>
      </c>
      <c r="B120" s="2" t="s">
        <v>379</v>
      </c>
      <c r="C120" s="3" t="s">
        <v>380</v>
      </c>
      <c r="D120" s="3" t="s">
        <v>80</v>
      </c>
      <c r="E120" s="3" t="s">
        <v>84</v>
      </c>
      <c r="F120" s="3" t="s">
        <v>143</v>
      </c>
      <c r="G120" s="3" t="s">
        <v>134</v>
      </c>
      <c r="H120" s="3" t="s">
        <v>104</v>
      </c>
      <c r="I120" s="3" t="s">
        <v>142</v>
      </c>
      <c r="J120" s="3" t="s">
        <v>136</v>
      </c>
      <c r="K120" s="3" t="s">
        <v>40</v>
      </c>
      <c r="L120" s="3" t="s">
        <v>142</v>
      </c>
      <c r="M120" s="3" t="s">
        <v>136</v>
      </c>
      <c r="N120" s="3" t="s">
        <v>75</v>
      </c>
      <c r="O120" s="3" t="s">
        <v>143</v>
      </c>
      <c r="P120" s="3" t="s">
        <v>134</v>
      </c>
    </row>
    <row r="121" spans="1:16" x14ac:dyDescent="0.25">
      <c r="A121" s="2">
        <v>120</v>
      </c>
      <c r="B121" s="2" t="s">
        <v>381</v>
      </c>
      <c r="C121" s="3" t="s">
        <v>382</v>
      </c>
      <c r="D121" s="3" t="s">
        <v>67</v>
      </c>
      <c r="E121" s="3" t="s">
        <v>31</v>
      </c>
      <c r="F121" s="3" t="s">
        <v>142</v>
      </c>
      <c r="G121" s="3" t="s">
        <v>134</v>
      </c>
      <c r="H121" s="3" t="s">
        <v>85</v>
      </c>
      <c r="I121" s="3" t="s">
        <v>137</v>
      </c>
      <c r="J121" s="3" t="s">
        <v>134</v>
      </c>
      <c r="K121" s="3" t="s">
        <v>79</v>
      </c>
      <c r="L121" s="3" t="s">
        <v>151</v>
      </c>
      <c r="M121" s="3" t="s">
        <v>134</v>
      </c>
      <c r="N121" s="3" t="s">
        <v>83</v>
      </c>
      <c r="O121" s="3" t="s">
        <v>138</v>
      </c>
      <c r="P121" s="3" t="s">
        <v>136</v>
      </c>
    </row>
    <row r="122" spans="1:16" x14ac:dyDescent="0.25">
      <c r="A122" s="2">
        <v>121</v>
      </c>
      <c r="B122" s="2" t="s">
        <v>383</v>
      </c>
      <c r="C122" s="3" t="s">
        <v>384</v>
      </c>
      <c r="D122" s="3" t="s">
        <v>28</v>
      </c>
      <c r="E122" s="3" t="s">
        <v>53</v>
      </c>
      <c r="F122" s="3" t="s">
        <v>133</v>
      </c>
      <c r="G122" s="3" t="s">
        <v>136</v>
      </c>
      <c r="H122" s="3" t="s">
        <v>60</v>
      </c>
      <c r="I122" s="3" t="s">
        <v>170</v>
      </c>
      <c r="J122" s="3" t="s">
        <v>134</v>
      </c>
      <c r="K122" s="3" t="s">
        <v>47</v>
      </c>
      <c r="L122" s="3" t="s">
        <v>143</v>
      </c>
      <c r="M122" s="3" t="s">
        <v>134</v>
      </c>
      <c r="N122" s="3" t="s">
        <v>66</v>
      </c>
      <c r="O122" s="3" t="s">
        <v>137</v>
      </c>
      <c r="P122" s="3" t="s">
        <v>136</v>
      </c>
    </row>
    <row r="123" spans="1:16" x14ac:dyDescent="0.25">
      <c r="A123" s="2">
        <v>122</v>
      </c>
      <c r="B123" s="2" t="s">
        <v>385</v>
      </c>
      <c r="C123" s="3" t="s">
        <v>386</v>
      </c>
      <c r="D123" s="3" t="s">
        <v>57</v>
      </c>
      <c r="E123" s="3" t="s">
        <v>106</v>
      </c>
      <c r="F123" s="3" t="s">
        <v>151</v>
      </c>
      <c r="G123" s="3" t="s">
        <v>136</v>
      </c>
      <c r="H123" s="3" t="s">
        <v>66</v>
      </c>
      <c r="I123" s="3" t="s">
        <v>137</v>
      </c>
      <c r="J123" s="3" t="s">
        <v>134</v>
      </c>
      <c r="K123" s="3" t="s">
        <v>22</v>
      </c>
      <c r="L123" s="3" t="s">
        <v>142</v>
      </c>
      <c r="M123" s="3" t="s">
        <v>134</v>
      </c>
      <c r="N123" s="3" t="s">
        <v>41</v>
      </c>
      <c r="O123" s="3" t="s">
        <v>135</v>
      </c>
      <c r="P123" s="3" t="s">
        <v>134</v>
      </c>
    </row>
    <row r="124" spans="1:16" x14ac:dyDescent="0.25">
      <c r="A124" s="2">
        <v>123</v>
      </c>
      <c r="B124" s="2" t="s">
        <v>387</v>
      </c>
      <c r="C124" s="3" t="s">
        <v>388</v>
      </c>
      <c r="D124" s="3" t="s">
        <v>56</v>
      </c>
      <c r="E124" s="3" t="s">
        <v>31</v>
      </c>
      <c r="F124" s="3" t="s">
        <v>142</v>
      </c>
      <c r="G124" s="3" t="s">
        <v>136</v>
      </c>
      <c r="H124" s="3" t="s">
        <v>56</v>
      </c>
      <c r="I124" s="3" t="s">
        <v>143</v>
      </c>
      <c r="J124" s="3" t="s">
        <v>134</v>
      </c>
      <c r="K124" s="3" t="s">
        <v>61</v>
      </c>
      <c r="L124" s="3" t="s">
        <v>151</v>
      </c>
      <c r="M124" s="3" t="s">
        <v>134</v>
      </c>
      <c r="N124" s="3" t="s">
        <v>82</v>
      </c>
      <c r="O124" s="3" t="s">
        <v>146</v>
      </c>
      <c r="P124" s="3" t="s">
        <v>134</v>
      </c>
    </row>
    <row r="125" spans="1:16" x14ac:dyDescent="0.25">
      <c r="A125" s="2">
        <v>124</v>
      </c>
      <c r="B125" s="2" t="s">
        <v>389</v>
      </c>
      <c r="C125" s="3" t="s">
        <v>390</v>
      </c>
      <c r="D125" s="3" t="s">
        <v>63</v>
      </c>
      <c r="E125" s="3" t="s">
        <v>78</v>
      </c>
      <c r="F125" s="3" t="s">
        <v>170</v>
      </c>
      <c r="G125" s="3" t="s">
        <v>134</v>
      </c>
      <c r="H125" s="3" t="s">
        <v>41</v>
      </c>
      <c r="I125" s="3" t="s">
        <v>135</v>
      </c>
      <c r="J125" s="3" t="s">
        <v>134</v>
      </c>
      <c r="K125" s="3" t="s">
        <v>58</v>
      </c>
      <c r="L125" s="3" t="s">
        <v>142</v>
      </c>
      <c r="M125" s="3" t="s">
        <v>136</v>
      </c>
      <c r="N125" s="3" t="s">
        <v>110</v>
      </c>
      <c r="O125" s="3" t="s">
        <v>138</v>
      </c>
      <c r="P125" s="3" t="s">
        <v>134</v>
      </c>
    </row>
    <row r="126" spans="1:16" x14ac:dyDescent="0.25">
      <c r="A126" s="2">
        <v>125</v>
      </c>
      <c r="B126" s="2" t="s">
        <v>391</v>
      </c>
      <c r="C126" s="3" t="s">
        <v>392</v>
      </c>
      <c r="D126" s="3" t="s">
        <v>108</v>
      </c>
      <c r="E126" s="3" t="s">
        <v>21</v>
      </c>
      <c r="F126" s="3" t="s">
        <v>137</v>
      </c>
      <c r="G126" s="3" t="s">
        <v>136</v>
      </c>
      <c r="H126" s="3" t="s">
        <v>112</v>
      </c>
      <c r="I126" s="3" t="s">
        <v>137</v>
      </c>
      <c r="J126" s="3" t="s">
        <v>136</v>
      </c>
      <c r="K126" s="3" t="s">
        <v>102</v>
      </c>
      <c r="L126" s="3" t="s">
        <v>143</v>
      </c>
      <c r="M126" s="3" t="s">
        <v>134</v>
      </c>
      <c r="N126" s="3" t="s">
        <v>61</v>
      </c>
      <c r="O126" s="3" t="s">
        <v>151</v>
      </c>
      <c r="P126" s="3" t="s">
        <v>134</v>
      </c>
    </row>
    <row r="127" spans="1:16" x14ac:dyDescent="0.25">
      <c r="A127" s="2">
        <v>126</v>
      </c>
      <c r="B127" s="2" t="s">
        <v>393</v>
      </c>
      <c r="C127" s="3" t="s">
        <v>394</v>
      </c>
      <c r="D127" s="3" t="s">
        <v>39</v>
      </c>
      <c r="E127" s="3" t="s">
        <v>33</v>
      </c>
      <c r="F127" s="3" t="s">
        <v>170</v>
      </c>
      <c r="G127" s="3" t="s">
        <v>136</v>
      </c>
      <c r="H127" s="3" t="s">
        <v>31</v>
      </c>
      <c r="I127" s="3" t="s">
        <v>142</v>
      </c>
      <c r="J127" s="3" t="s">
        <v>134</v>
      </c>
      <c r="K127" s="3" t="s">
        <v>46</v>
      </c>
      <c r="L127" s="3" t="s">
        <v>138</v>
      </c>
      <c r="M127" s="3" t="s">
        <v>136</v>
      </c>
      <c r="N127" s="3" t="s">
        <v>68</v>
      </c>
      <c r="O127" s="3" t="s">
        <v>135</v>
      </c>
      <c r="P127" s="3" t="s">
        <v>134</v>
      </c>
    </row>
    <row r="128" spans="1:16" x14ac:dyDescent="0.25">
      <c r="A128" s="2">
        <v>127</v>
      </c>
      <c r="B128" s="2" t="s">
        <v>395</v>
      </c>
      <c r="C128" s="3" t="s">
        <v>396</v>
      </c>
      <c r="D128" s="3" t="s">
        <v>33</v>
      </c>
      <c r="E128" s="3" t="s">
        <v>96</v>
      </c>
      <c r="F128" s="3" t="s">
        <v>170</v>
      </c>
      <c r="G128" s="3" t="s">
        <v>134</v>
      </c>
      <c r="H128" s="3" t="s">
        <v>34</v>
      </c>
      <c r="I128" s="3" t="s">
        <v>151</v>
      </c>
      <c r="J128" s="3" t="s">
        <v>134</v>
      </c>
      <c r="K128" s="3" t="s">
        <v>60</v>
      </c>
      <c r="L128" s="3" t="s">
        <v>170</v>
      </c>
      <c r="M128" s="3" t="s">
        <v>134</v>
      </c>
      <c r="N128" s="3" t="s">
        <v>72</v>
      </c>
      <c r="O128" s="3" t="s">
        <v>141</v>
      </c>
      <c r="P128" s="3" t="s">
        <v>136</v>
      </c>
    </row>
    <row r="129" spans="1:16" x14ac:dyDescent="0.25">
      <c r="A129" s="2">
        <v>128</v>
      </c>
      <c r="B129" s="2" t="s">
        <v>397</v>
      </c>
      <c r="C129" s="3" t="s">
        <v>398</v>
      </c>
      <c r="D129" s="3" t="s">
        <v>49</v>
      </c>
      <c r="E129" s="3" t="s">
        <v>43</v>
      </c>
      <c r="F129" s="3" t="s">
        <v>151</v>
      </c>
      <c r="G129" s="3" t="s">
        <v>134</v>
      </c>
      <c r="H129" s="3" t="s">
        <v>48</v>
      </c>
      <c r="I129" s="3" t="s">
        <v>137</v>
      </c>
      <c r="J129" s="3" t="s">
        <v>134</v>
      </c>
      <c r="K129" s="3" t="s">
        <v>47</v>
      </c>
      <c r="L129" s="3" t="s">
        <v>143</v>
      </c>
      <c r="M129" s="3" t="s">
        <v>134</v>
      </c>
      <c r="N129" s="3" t="s">
        <v>74</v>
      </c>
      <c r="O129" s="3" t="s">
        <v>138</v>
      </c>
      <c r="P129" s="3" t="s">
        <v>134</v>
      </c>
    </row>
    <row r="130" spans="1:16" x14ac:dyDescent="0.25">
      <c r="A130" s="2">
        <v>129</v>
      </c>
      <c r="B130" s="2" t="s">
        <v>399</v>
      </c>
      <c r="C130" s="3" t="s">
        <v>400</v>
      </c>
      <c r="D130" s="3" t="s">
        <v>54</v>
      </c>
      <c r="E130" s="3" t="s">
        <v>49</v>
      </c>
      <c r="F130" s="3" t="s">
        <v>142</v>
      </c>
      <c r="G130" s="3" t="s">
        <v>134</v>
      </c>
      <c r="H130" s="3" t="s">
        <v>106</v>
      </c>
      <c r="I130" s="3" t="s">
        <v>151</v>
      </c>
      <c r="J130" s="3" t="s">
        <v>134</v>
      </c>
      <c r="K130" s="3" t="s">
        <v>115</v>
      </c>
      <c r="L130" s="3" t="s">
        <v>170</v>
      </c>
      <c r="M130" s="3" t="s">
        <v>134</v>
      </c>
      <c r="N130" s="3" t="s">
        <v>99</v>
      </c>
      <c r="O130" s="3" t="s">
        <v>141</v>
      </c>
      <c r="P130" s="3" t="s">
        <v>134</v>
      </c>
    </row>
    <row r="131" spans="1:16" x14ac:dyDescent="0.25">
      <c r="A131" s="2">
        <v>130</v>
      </c>
      <c r="B131" s="2" t="s">
        <v>401</v>
      </c>
      <c r="C131" s="3" t="s">
        <v>402</v>
      </c>
      <c r="D131" s="3" t="s">
        <v>85</v>
      </c>
      <c r="E131" s="3" t="s">
        <v>20</v>
      </c>
      <c r="F131" s="3" t="s">
        <v>143</v>
      </c>
      <c r="G131" s="3" t="s">
        <v>134</v>
      </c>
      <c r="H131" s="3" t="s">
        <v>64</v>
      </c>
      <c r="I131" s="3" t="s">
        <v>146</v>
      </c>
      <c r="J131" s="3" t="s">
        <v>134</v>
      </c>
      <c r="K131" s="3" t="s">
        <v>78</v>
      </c>
      <c r="L131" s="3" t="s">
        <v>170</v>
      </c>
      <c r="M131" s="3" t="s">
        <v>136</v>
      </c>
      <c r="N131" s="3" t="s">
        <v>59</v>
      </c>
      <c r="O131" s="3" t="s">
        <v>135</v>
      </c>
      <c r="P131" s="3" t="s">
        <v>134</v>
      </c>
    </row>
    <row r="132" spans="1:16" x14ac:dyDescent="0.25">
      <c r="A132" s="2">
        <v>131</v>
      </c>
      <c r="B132" s="2" t="s">
        <v>403</v>
      </c>
      <c r="C132" s="3" t="s">
        <v>404</v>
      </c>
      <c r="D132" s="3" t="s">
        <v>110</v>
      </c>
      <c r="E132" s="3" t="s">
        <v>65</v>
      </c>
      <c r="F132" s="3" t="s">
        <v>138</v>
      </c>
      <c r="G132" s="3" t="s">
        <v>134</v>
      </c>
      <c r="H132" s="3" t="s">
        <v>63</v>
      </c>
      <c r="I132" s="3" t="s">
        <v>141</v>
      </c>
      <c r="J132" s="3" t="s">
        <v>134</v>
      </c>
      <c r="K132" s="3" t="s">
        <v>25</v>
      </c>
      <c r="L132" s="3" t="s">
        <v>151</v>
      </c>
      <c r="M132" s="3" t="s">
        <v>136</v>
      </c>
      <c r="N132" s="3" t="s">
        <v>49</v>
      </c>
      <c r="O132" s="3" t="s">
        <v>142</v>
      </c>
      <c r="P132" s="3" t="s">
        <v>134</v>
      </c>
    </row>
    <row r="133" spans="1:16" x14ac:dyDescent="0.25">
      <c r="A133" s="2">
        <v>132</v>
      </c>
      <c r="B133" s="2" t="s">
        <v>405</v>
      </c>
      <c r="C133" s="3" t="s">
        <v>406</v>
      </c>
      <c r="D133" s="3" t="s">
        <v>20</v>
      </c>
      <c r="E133" s="3" t="s">
        <v>82</v>
      </c>
      <c r="F133" s="3" t="s">
        <v>146</v>
      </c>
      <c r="G133" s="3" t="s">
        <v>136</v>
      </c>
      <c r="H133" s="3" t="s">
        <v>76</v>
      </c>
      <c r="I133" s="3" t="s">
        <v>142</v>
      </c>
      <c r="J133" s="3" t="s">
        <v>134</v>
      </c>
      <c r="K133" s="3" t="s">
        <v>97</v>
      </c>
      <c r="L133" s="3" t="s">
        <v>151</v>
      </c>
      <c r="M133" s="3" t="s">
        <v>134</v>
      </c>
      <c r="N133" s="3" t="s">
        <v>100</v>
      </c>
      <c r="O133" s="3" t="s">
        <v>146</v>
      </c>
      <c r="P133" s="3" t="s">
        <v>136</v>
      </c>
    </row>
    <row r="134" spans="1:16" x14ac:dyDescent="0.25">
      <c r="A134" s="2">
        <v>133</v>
      </c>
      <c r="B134" s="2" t="s">
        <v>407</v>
      </c>
      <c r="C134" s="3" t="s">
        <v>408</v>
      </c>
      <c r="D134" s="3" t="s">
        <v>100</v>
      </c>
      <c r="E134" s="3" t="s">
        <v>25</v>
      </c>
      <c r="F134" s="3" t="s">
        <v>151</v>
      </c>
      <c r="G134" s="3" t="s">
        <v>134</v>
      </c>
      <c r="H134" s="3" t="s">
        <v>67</v>
      </c>
      <c r="I134" s="3" t="s">
        <v>142</v>
      </c>
      <c r="J134" s="3" t="s">
        <v>134</v>
      </c>
      <c r="K134" s="3" t="s">
        <v>38</v>
      </c>
      <c r="L134" s="3" t="s">
        <v>143</v>
      </c>
      <c r="M134" s="3" t="s">
        <v>134</v>
      </c>
      <c r="N134" s="3" t="s">
        <v>109</v>
      </c>
      <c r="O134" s="3" t="s">
        <v>146</v>
      </c>
      <c r="P134" s="3" t="s">
        <v>136</v>
      </c>
    </row>
    <row r="135" spans="1:16" x14ac:dyDescent="0.25">
      <c r="A135" s="2">
        <v>134</v>
      </c>
      <c r="B135" s="2" t="s">
        <v>409</v>
      </c>
      <c r="C135" s="3" t="s">
        <v>410</v>
      </c>
      <c r="D135" s="3" t="s">
        <v>77</v>
      </c>
      <c r="E135" s="3" t="s">
        <v>27</v>
      </c>
      <c r="F135" s="3" t="s">
        <v>146</v>
      </c>
      <c r="G135" s="3" t="s">
        <v>134</v>
      </c>
      <c r="H135" s="3" t="s">
        <v>65</v>
      </c>
      <c r="I135" s="3" t="s">
        <v>138</v>
      </c>
      <c r="J135" s="3" t="s">
        <v>134</v>
      </c>
      <c r="K135" s="3" t="s">
        <v>86</v>
      </c>
      <c r="L135" s="3" t="s">
        <v>135</v>
      </c>
      <c r="M135" s="3" t="s">
        <v>134</v>
      </c>
      <c r="N135" s="3" t="s">
        <v>71</v>
      </c>
      <c r="O135" s="3" t="s">
        <v>133</v>
      </c>
      <c r="P135" s="3" t="s">
        <v>134</v>
      </c>
    </row>
    <row r="136" spans="1:16" x14ac:dyDescent="0.25">
      <c r="A136" s="2">
        <v>135</v>
      </c>
      <c r="B136" s="2" t="s">
        <v>411</v>
      </c>
      <c r="C136" s="3" t="s">
        <v>412</v>
      </c>
      <c r="D136" s="3" t="s">
        <v>70</v>
      </c>
      <c r="E136" s="3" t="s">
        <v>78</v>
      </c>
      <c r="F136" s="3" t="s">
        <v>170</v>
      </c>
      <c r="G136" s="3" t="s">
        <v>134</v>
      </c>
      <c r="H136" s="3" t="s">
        <v>34</v>
      </c>
      <c r="I136" s="3" t="s">
        <v>151</v>
      </c>
      <c r="J136" s="3" t="s">
        <v>136</v>
      </c>
      <c r="K136" s="3" t="s">
        <v>33</v>
      </c>
      <c r="L136" s="3" t="s">
        <v>170</v>
      </c>
      <c r="M136" s="3" t="s">
        <v>134</v>
      </c>
      <c r="N136" s="3" t="s">
        <v>103</v>
      </c>
      <c r="O136" s="3" t="s">
        <v>137</v>
      </c>
      <c r="P136" s="3" t="s">
        <v>134</v>
      </c>
    </row>
    <row r="137" spans="1:16" x14ac:dyDescent="0.25">
      <c r="A137" s="2">
        <v>136</v>
      </c>
      <c r="B137" s="2" t="s">
        <v>413</v>
      </c>
      <c r="C137" s="3" t="s">
        <v>414</v>
      </c>
      <c r="D137" s="3" t="s">
        <v>84</v>
      </c>
      <c r="E137" s="3" t="s">
        <v>26</v>
      </c>
      <c r="F137" s="3" t="s">
        <v>141</v>
      </c>
      <c r="G137" s="3" t="s">
        <v>134</v>
      </c>
      <c r="H137" s="3" t="s">
        <v>68</v>
      </c>
      <c r="I137" s="3" t="s">
        <v>135</v>
      </c>
      <c r="J137" s="3" t="s">
        <v>134</v>
      </c>
      <c r="K137" s="3" t="s">
        <v>110</v>
      </c>
      <c r="L137" s="3" t="s">
        <v>138</v>
      </c>
      <c r="M137" s="3" t="s">
        <v>136</v>
      </c>
      <c r="N137" s="3" t="s">
        <v>27</v>
      </c>
      <c r="O137" s="3" t="s">
        <v>146</v>
      </c>
      <c r="P137" s="3" t="s">
        <v>134</v>
      </c>
    </row>
    <row r="138" spans="1:16" x14ac:dyDescent="0.25">
      <c r="A138" s="2">
        <v>137</v>
      </c>
      <c r="B138" s="2" t="s">
        <v>415</v>
      </c>
      <c r="C138" s="3" t="s">
        <v>416</v>
      </c>
      <c r="D138" s="3" t="s">
        <v>101</v>
      </c>
      <c r="E138" s="3" t="s">
        <v>54</v>
      </c>
      <c r="F138" s="3" t="s">
        <v>141</v>
      </c>
      <c r="G138" s="3" t="s">
        <v>134</v>
      </c>
      <c r="H138" s="3" t="s">
        <v>70</v>
      </c>
      <c r="I138" s="3" t="s">
        <v>151</v>
      </c>
      <c r="J138" s="3" t="s">
        <v>134</v>
      </c>
      <c r="K138" s="3" t="s">
        <v>111</v>
      </c>
      <c r="L138" s="3" t="s">
        <v>143</v>
      </c>
      <c r="M138" s="3" t="s">
        <v>134</v>
      </c>
      <c r="N138" s="3" t="s">
        <v>90</v>
      </c>
      <c r="O138" s="3" t="s">
        <v>141</v>
      </c>
      <c r="P138" s="3" t="s">
        <v>134</v>
      </c>
    </row>
    <row r="139" spans="1:16" x14ac:dyDescent="0.25">
      <c r="A139" s="2">
        <v>138</v>
      </c>
      <c r="B139" s="2" t="s">
        <v>417</v>
      </c>
      <c r="C139" s="3" t="s">
        <v>418</v>
      </c>
      <c r="D139" s="3" t="s">
        <v>55</v>
      </c>
      <c r="E139" s="3" t="s">
        <v>59</v>
      </c>
      <c r="F139" s="3" t="s">
        <v>135</v>
      </c>
      <c r="G139" s="3" t="s">
        <v>134</v>
      </c>
      <c r="H139" s="3" t="s">
        <v>28</v>
      </c>
      <c r="I139" s="3" t="s">
        <v>138</v>
      </c>
      <c r="J139" s="3" t="s">
        <v>136</v>
      </c>
      <c r="K139" s="3" t="s">
        <v>94</v>
      </c>
      <c r="L139" s="3" t="s">
        <v>137</v>
      </c>
      <c r="M139" s="3" t="s">
        <v>134</v>
      </c>
      <c r="N139" s="3" t="s">
        <v>97</v>
      </c>
      <c r="O139" s="3" t="s">
        <v>151</v>
      </c>
      <c r="P139" s="3" t="s">
        <v>134</v>
      </c>
    </row>
    <row r="140" spans="1:16" x14ac:dyDescent="0.25">
      <c r="A140" s="2">
        <v>139</v>
      </c>
      <c r="B140" s="2" t="s">
        <v>419</v>
      </c>
      <c r="C140" s="3" t="s">
        <v>420</v>
      </c>
      <c r="D140" s="3" t="s">
        <v>37</v>
      </c>
      <c r="E140" s="3" t="s">
        <v>100</v>
      </c>
      <c r="F140" s="3" t="s">
        <v>146</v>
      </c>
      <c r="G140" s="3" t="s">
        <v>134</v>
      </c>
      <c r="H140" s="3" t="s">
        <v>52</v>
      </c>
      <c r="I140" s="3" t="s">
        <v>151</v>
      </c>
      <c r="J140" s="3" t="s">
        <v>136</v>
      </c>
      <c r="K140" s="3" t="s">
        <v>101</v>
      </c>
      <c r="L140" s="3" t="s">
        <v>138</v>
      </c>
      <c r="M140" s="3" t="s">
        <v>134</v>
      </c>
      <c r="N140" s="3" t="s">
        <v>42</v>
      </c>
      <c r="O140" s="3" t="s">
        <v>170</v>
      </c>
      <c r="P140" s="3" t="s">
        <v>134</v>
      </c>
    </row>
    <row r="141" spans="1:16" x14ac:dyDescent="0.25">
      <c r="A141" s="2">
        <v>140</v>
      </c>
      <c r="B141" s="2" t="s">
        <v>421</v>
      </c>
      <c r="C141" s="3" t="s">
        <v>422</v>
      </c>
      <c r="D141" s="3" t="s">
        <v>20</v>
      </c>
      <c r="E141" s="3" t="s">
        <v>45</v>
      </c>
      <c r="F141" s="3" t="s">
        <v>141</v>
      </c>
      <c r="G141" s="3" t="s">
        <v>134</v>
      </c>
      <c r="H141" s="3" t="s">
        <v>74</v>
      </c>
      <c r="I141" s="3" t="s">
        <v>138</v>
      </c>
      <c r="J141" s="3" t="s">
        <v>134</v>
      </c>
      <c r="K141" s="3" t="s">
        <v>22</v>
      </c>
      <c r="L141" s="3" t="s">
        <v>142</v>
      </c>
      <c r="M141" s="3" t="s">
        <v>134</v>
      </c>
      <c r="N141" s="3" t="s">
        <v>112</v>
      </c>
      <c r="O141" s="3" t="s">
        <v>137</v>
      </c>
      <c r="P141" s="3" t="s">
        <v>134</v>
      </c>
    </row>
    <row r="142" spans="1:16" x14ac:dyDescent="0.25">
      <c r="A142" s="2">
        <v>141</v>
      </c>
      <c r="B142" s="2" t="s">
        <v>423</v>
      </c>
      <c r="C142" s="3" t="s">
        <v>424</v>
      </c>
      <c r="D142" s="3" t="s">
        <v>97</v>
      </c>
      <c r="E142" s="3" t="s">
        <v>106</v>
      </c>
      <c r="F142" s="3" t="s">
        <v>151</v>
      </c>
      <c r="G142" s="3" t="s">
        <v>134</v>
      </c>
      <c r="H142" s="3" t="s">
        <v>59</v>
      </c>
      <c r="I142" s="3" t="s">
        <v>135</v>
      </c>
      <c r="J142" s="3" t="s">
        <v>136</v>
      </c>
      <c r="K142" s="3" t="s">
        <v>99</v>
      </c>
      <c r="L142" s="3" t="s">
        <v>141</v>
      </c>
      <c r="M142" s="3" t="s">
        <v>134</v>
      </c>
      <c r="N142" s="3" t="s">
        <v>112</v>
      </c>
      <c r="O142" s="3" t="s">
        <v>137</v>
      </c>
      <c r="P142" s="3" t="s">
        <v>134</v>
      </c>
    </row>
    <row r="143" spans="1:16" x14ac:dyDescent="0.25">
      <c r="A143" s="2">
        <v>142</v>
      </c>
      <c r="B143" s="2" t="s">
        <v>425</v>
      </c>
      <c r="C143" s="3" t="s">
        <v>426</v>
      </c>
      <c r="D143" s="3" t="s">
        <v>27</v>
      </c>
      <c r="E143" s="3" t="s">
        <v>90</v>
      </c>
      <c r="F143" s="3" t="s">
        <v>141</v>
      </c>
      <c r="G143" s="3" t="s">
        <v>134</v>
      </c>
      <c r="H143" s="3" t="s">
        <v>55</v>
      </c>
      <c r="I143" s="3" t="s">
        <v>146</v>
      </c>
      <c r="J143" s="3" t="s">
        <v>134</v>
      </c>
      <c r="K143" s="3" t="s">
        <v>44</v>
      </c>
      <c r="L143" s="3" t="s">
        <v>133</v>
      </c>
      <c r="M143" s="3" t="s">
        <v>134</v>
      </c>
      <c r="N143" s="3" t="s">
        <v>97</v>
      </c>
      <c r="O143" s="3" t="s">
        <v>151</v>
      </c>
      <c r="P143" s="3" t="s">
        <v>136</v>
      </c>
    </row>
    <row r="144" spans="1:16" x14ac:dyDescent="0.25">
      <c r="A144" s="2">
        <v>143</v>
      </c>
      <c r="B144" s="2" t="s">
        <v>427</v>
      </c>
      <c r="C144" s="3" t="s">
        <v>428</v>
      </c>
      <c r="D144" s="3" t="s">
        <v>29</v>
      </c>
      <c r="E144" s="3" t="s">
        <v>61</v>
      </c>
      <c r="F144" s="3" t="s">
        <v>151</v>
      </c>
      <c r="G144" s="3" t="s">
        <v>134</v>
      </c>
      <c r="H144" s="3" t="s">
        <v>43</v>
      </c>
      <c r="I144" s="3" t="s">
        <v>151</v>
      </c>
      <c r="J144" s="3" t="s">
        <v>134</v>
      </c>
      <c r="K144" s="3" t="s">
        <v>32</v>
      </c>
      <c r="L144" s="3" t="s">
        <v>135</v>
      </c>
      <c r="M144" s="3" t="s">
        <v>134</v>
      </c>
      <c r="N144" s="3" t="s">
        <v>31</v>
      </c>
      <c r="O144" s="3" t="s">
        <v>142</v>
      </c>
      <c r="P144" s="3" t="s">
        <v>134</v>
      </c>
    </row>
    <row r="145" spans="1:16" x14ac:dyDescent="0.25">
      <c r="A145" s="2">
        <v>144</v>
      </c>
      <c r="B145" s="2" t="s">
        <v>429</v>
      </c>
      <c r="C145" s="3" t="s">
        <v>430</v>
      </c>
      <c r="D145" s="3" t="s">
        <v>66</v>
      </c>
      <c r="E145" s="3" t="s">
        <v>32</v>
      </c>
      <c r="F145" s="3" t="s">
        <v>135</v>
      </c>
      <c r="G145" s="3" t="s">
        <v>134</v>
      </c>
      <c r="H145" s="3" t="s">
        <v>16</v>
      </c>
      <c r="I145" s="3" t="s">
        <v>133</v>
      </c>
      <c r="J145" s="3" t="s">
        <v>134</v>
      </c>
      <c r="K145" s="3" t="s">
        <v>67</v>
      </c>
      <c r="L145" s="3" t="s">
        <v>142</v>
      </c>
      <c r="M145" s="3" t="s">
        <v>134</v>
      </c>
      <c r="N145" s="3" t="s">
        <v>115</v>
      </c>
      <c r="O145" s="3" t="s">
        <v>170</v>
      </c>
      <c r="P145" s="3" t="s">
        <v>134</v>
      </c>
    </row>
    <row r="146" spans="1:16" x14ac:dyDescent="0.25">
      <c r="A146" s="2">
        <v>145</v>
      </c>
      <c r="B146" s="2" t="s">
        <v>431</v>
      </c>
      <c r="C146" s="3" t="s">
        <v>432</v>
      </c>
      <c r="D146" s="3" t="s">
        <v>70</v>
      </c>
      <c r="E146" s="3" t="s">
        <v>33</v>
      </c>
      <c r="F146" s="3" t="s">
        <v>170</v>
      </c>
      <c r="G146" s="3" t="s">
        <v>134</v>
      </c>
      <c r="H146" s="3" t="s">
        <v>32</v>
      </c>
      <c r="I146" s="3" t="s">
        <v>135</v>
      </c>
      <c r="J146" s="3" t="s">
        <v>136</v>
      </c>
      <c r="K146" s="3" t="s">
        <v>82</v>
      </c>
      <c r="L146" s="3" t="s">
        <v>146</v>
      </c>
      <c r="M146" s="3" t="s">
        <v>136</v>
      </c>
      <c r="N146" s="3" t="s">
        <v>99</v>
      </c>
      <c r="O146" s="3" t="s">
        <v>141</v>
      </c>
      <c r="P146" s="3" t="s">
        <v>134</v>
      </c>
    </row>
    <row r="147" spans="1:16" x14ac:dyDescent="0.25">
      <c r="A147" s="2">
        <v>146</v>
      </c>
      <c r="B147" s="2" t="s">
        <v>433</v>
      </c>
      <c r="C147" s="3" t="s">
        <v>434</v>
      </c>
      <c r="D147" s="3" t="s">
        <v>59</v>
      </c>
      <c r="E147" s="3" t="s">
        <v>67</v>
      </c>
      <c r="F147" s="3" t="s">
        <v>142</v>
      </c>
      <c r="G147" s="3" t="s">
        <v>136</v>
      </c>
      <c r="H147" s="3" t="s">
        <v>72</v>
      </c>
      <c r="I147" s="3" t="s">
        <v>141</v>
      </c>
      <c r="J147" s="3" t="s">
        <v>136</v>
      </c>
      <c r="K147" s="3" t="s">
        <v>112</v>
      </c>
      <c r="L147" s="3" t="s">
        <v>137</v>
      </c>
      <c r="M147" s="3" t="s">
        <v>134</v>
      </c>
      <c r="N147" s="3" t="s">
        <v>60</v>
      </c>
      <c r="O147" s="3" t="s">
        <v>170</v>
      </c>
      <c r="P147" s="3" t="s">
        <v>134</v>
      </c>
    </row>
    <row r="148" spans="1:16" x14ac:dyDescent="0.25">
      <c r="A148" s="2">
        <v>147</v>
      </c>
      <c r="B148" s="2" t="s">
        <v>435</v>
      </c>
      <c r="C148" s="3" t="s">
        <v>436</v>
      </c>
      <c r="D148" s="3" t="s">
        <v>58</v>
      </c>
      <c r="E148" s="3" t="s">
        <v>89</v>
      </c>
      <c r="F148" s="3" t="s">
        <v>133</v>
      </c>
      <c r="G148" s="3" t="s">
        <v>134</v>
      </c>
      <c r="H148" s="3" t="s">
        <v>55</v>
      </c>
      <c r="I148" s="3" t="s">
        <v>146</v>
      </c>
      <c r="J148" s="3" t="s">
        <v>134</v>
      </c>
      <c r="K148" s="3" t="s">
        <v>97</v>
      </c>
      <c r="L148" s="3" t="s">
        <v>151</v>
      </c>
      <c r="M148" s="3" t="s">
        <v>134</v>
      </c>
      <c r="N148" s="3" t="s">
        <v>100</v>
      </c>
      <c r="O148" s="3" t="s">
        <v>146</v>
      </c>
      <c r="P148" s="3" t="s">
        <v>134</v>
      </c>
    </row>
    <row r="149" spans="1:16" x14ac:dyDescent="0.25">
      <c r="A149" s="2">
        <v>148</v>
      </c>
      <c r="B149" s="2" t="s">
        <v>437</v>
      </c>
      <c r="C149" s="3" t="s">
        <v>438</v>
      </c>
      <c r="D149" s="3" t="s">
        <v>69</v>
      </c>
      <c r="E149" s="3" t="s">
        <v>58</v>
      </c>
      <c r="F149" s="3" t="s">
        <v>142</v>
      </c>
      <c r="G149" s="3" t="s">
        <v>134</v>
      </c>
      <c r="H149" s="3" t="s">
        <v>83</v>
      </c>
      <c r="I149" s="3" t="s">
        <v>138</v>
      </c>
      <c r="J149" s="3" t="s">
        <v>134</v>
      </c>
      <c r="K149" s="3" t="s">
        <v>36</v>
      </c>
      <c r="L149" s="3" t="s">
        <v>146</v>
      </c>
      <c r="M149" s="3" t="s">
        <v>134</v>
      </c>
      <c r="N149" s="3" t="s">
        <v>26</v>
      </c>
      <c r="O149" s="3" t="s">
        <v>141</v>
      </c>
      <c r="P149" s="3" t="s">
        <v>134</v>
      </c>
    </row>
    <row r="150" spans="1:16" x14ac:dyDescent="0.25">
      <c r="A150" s="2">
        <v>149</v>
      </c>
      <c r="B150" s="2" t="s">
        <v>439</v>
      </c>
      <c r="C150" s="3" t="s">
        <v>440</v>
      </c>
      <c r="D150" s="3" t="s">
        <v>39</v>
      </c>
      <c r="E150" s="3" t="s">
        <v>48</v>
      </c>
      <c r="F150" s="3" t="s">
        <v>137</v>
      </c>
      <c r="G150" s="3" t="s">
        <v>134</v>
      </c>
      <c r="H150" s="3" t="s">
        <v>75</v>
      </c>
      <c r="I150" s="3" t="s">
        <v>143</v>
      </c>
      <c r="J150" s="3" t="s">
        <v>136</v>
      </c>
      <c r="K150" s="3" t="s">
        <v>99</v>
      </c>
      <c r="L150" s="3" t="s">
        <v>141</v>
      </c>
      <c r="M150" s="3" t="s">
        <v>134</v>
      </c>
      <c r="N150" s="3" t="s">
        <v>103</v>
      </c>
      <c r="O150" s="3" t="s">
        <v>137</v>
      </c>
      <c r="P150" s="3" t="s">
        <v>134</v>
      </c>
    </row>
    <row r="151" spans="1:16" x14ac:dyDescent="0.25">
      <c r="A151" s="2">
        <v>150</v>
      </c>
      <c r="B151" s="2" t="s">
        <v>441</v>
      </c>
      <c r="C151" s="3" t="s">
        <v>442</v>
      </c>
      <c r="D151" s="3" t="s">
        <v>52</v>
      </c>
      <c r="E151" s="3" t="s">
        <v>68</v>
      </c>
      <c r="F151" s="3" t="s">
        <v>135</v>
      </c>
      <c r="G151" s="3" t="s">
        <v>134</v>
      </c>
      <c r="H151" s="3" t="s">
        <v>106</v>
      </c>
      <c r="I151" s="3" t="s">
        <v>151</v>
      </c>
      <c r="J151" s="3" t="s">
        <v>134</v>
      </c>
      <c r="K151" s="3" t="s">
        <v>93</v>
      </c>
      <c r="L151" s="3" t="s">
        <v>143</v>
      </c>
      <c r="M151" s="3" t="s">
        <v>134</v>
      </c>
      <c r="N151" s="3" t="s">
        <v>50</v>
      </c>
      <c r="O151" s="3" t="s">
        <v>135</v>
      </c>
      <c r="P151" s="3" t="s">
        <v>134</v>
      </c>
    </row>
    <row r="152" spans="1:16" x14ac:dyDescent="0.25">
      <c r="A152" s="2">
        <v>151</v>
      </c>
      <c r="B152" s="2" t="s">
        <v>443</v>
      </c>
      <c r="C152" s="3" t="s">
        <v>444</v>
      </c>
      <c r="D152" s="3" t="s">
        <v>99</v>
      </c>
      <c r="E152" s="3" t="s">
        <v>49</v>
      </c>
      <c r="F152" s="3" t="s">
        <v>142</v>
      </c>
      <c r="G152" s="3" t="s">
        <v>134</v>
      </c>
      <c r="H152" s="3" t="s">
        <v>68</v>
      </c>
      <c r="I152" s="3" t="s">
        <v>135</v>
      </c>
      <c r="J152" s="3" t="s">
        <v>134</v>
      </c>
      <c r="K152" s="3" t="s">
        <v>96</v>
      </c>
      <c r="L152" s="3" t="s">
        <v>170</v>
      </c>
      <c r="M152" s="3" t="s">
        <v>134</v>
      </c>
      <c r="N152" s="3" t="s">
        <v>32</v>
      </c>
      <c r="O152" s="3" t="s">
        <v>135</v>
      </c>
      <c r="P152" s="3" t="s">
        <v>134</v>
      </c>
    </row>
    <row r="153" spans="1:16" x14ac:dyDescent="0.25">
      <c r="A153" s="2">
        <v>152</v>
      </c>
      <c r="B153" s="2" t="s">
        <v>445</v>
      </c>
      <c r="C153" s="3" t="s">
        <v>446</v>
      </c>
      <c r="D153" s="3" t="s">
        <v>94</v>
      </c>
      <c r="E153" s="3" t="s">
        <v>65</v>
      </c>
      <c r="F153" s="3" t="s">
        <v>138</v>
      </c>
      <c r="G153" s="3" t="s">
        <v>134</v>
      </c>
      <c r="H153" s="3" t="s">
        <v>68</v>
      </c>
      <c r="I153" s="3" t="s">
        <v>135</v>
      </c>
      <c r="J153" s="3" t="s">
        <v>134</v>
      </c>
      <c r="K153" s="3" t="s">
        <v>115</v>
      </c>
      <c r="L153" s="3" t="s">
        <v>170</v>
      </c>
      <c r="M153" s="3" t="s">
        <v>134</v>
      </c>
      <c r="N153" s="3" t="s">
        <v>62</v>
      </c>
      <c r="O153" s="3" t="s">
        <v>133</v>
      </c>
      <c r="P153" s="3" t="s">
        <v>134</v>
      </c>
    </row>
    <row r="154" spans="1:16" x14ac:dyDescent="0.25">
      <c r="A154" s="2">
        <v>153</v>
      </c>
      <c r="B154" s="2" t="s">
        <v>447</v>
      </c>
      <c r="C154" s="3" t="s">
        <v>448</v>
      </c>
      <c r="D154" s="3" t="s">
        <v>81</v>
      </c>
      <c r="E154" s="3" t="s">
        <v>69</v>
      </c>
      <c r="F154" s="3" t="s">
        <v>170</v>
      </c>
      <c r="G154" s="3" t="s">
        <v>134</v>
      </c>
      <c r="H154" s="3" t="s">
        <v>48</v>
      </c>
      <c r="I154" s="3" t="s">
        <v>137</v>
      </c>
      <c r="J154" s="3" t="s">
        <v>134</v>
      </c>
      <c r="K154" s="3" t="s">
        <v>85</v>
      </c>
      <c r="L154" s="3" t="s">
        <v>137</v>
      </c>
      <c r="M154" s="3" t="s">
        <v>134</v>
      </c>
      <c r="N154" s="3" t="s">
        <v>68</v>
      </c>
      <c r="O154" s="3" t="s">
        <v>135</v>
      </c>
      <c r="P154" s="3" t="s">
        <v>136</v>
      </c>
    </row>
    <row r="155" spans="1:16" x14ac:dyDescent="0.25">
      <c r="A155" s="2">
        <v>154</v>
      </c>
      <c r="B155" s="2" t="s">
        <v>449</v>
      </c>
      <c r="C155" s="3" t="s">
        <v>450</v>
      </c>
      <c r="D155" s="3" t="s">
        <v>109</v>
      </c>
      <c r="E155" s="3" t="s">
        <v>25</v>
      </c>
      <c r="F155" s="3" t="s">
        <v>151</v>
      </c>
      <c r="G155" s="3" t="s">
        <v>134</v>
      </c>
      <c r="H155" s="3" t="s">
        <v>27</v>
      </c>
      <c r="I155" s="3" t="s">
        <v>146</v>
      </c>
      <c r="J155" s="3" t="s">
        <v>134</v>
      </c>
      <c r="K155" s="3" t="s">
        <v>57</v>
      </c>
      <c r="L155" s="3" t="s">
        <v>137</v>
      </c>
      <c r="M155" s="3" t="s">
        <v>136</v>
      </c>
      <c r="N155" s="3" t="s">
        <v>31</v>
      </c>
      <c r="O155" s="3" t="s">
        <v>142</v>
      </c>
      <c r="P155" s="3" t="s">
        <v>134</v>
      </c>
    </row>
    <row r="156" spans="1:16" x14ac:dyDescent="0.25">
      <c r="A156" s="2">
        <v>155</v>
      </c>
      <c r="B156" s="2" t="s">
        <v>451</v>
      </c>
      <c r="C156" s="3" t="s">
        <v>452</v>
      </c>
      <c r="D156" s="3" t="s">
        <v>21</v>
      </c>
      <c r="E156" s="3" t="s">
        <v>47</v>
      </c>
      <c r="F156" s="3" t="s">
        <v>143</v>
      </c>
      <c r="G156" s="3" t="s">
        <v>134</v>
      </c>
      <c r="H156" s="3" t="s">
        <v>37</v>
      </c>
      <c r="I156" s="3" t="s">
        <v>138</v>
      </c>
      <c r="J156" s="3" t="s">
        <v>134</v>
      </c>
      <c r="K156" s="3" t="s">
        <v>77</v>
      </c>
      <c r="L156" s="3" t="s">
        <v>135</v>
      </c>
      <c r="M156" s="3" t="s">
        <v>134</v>
      </c>
      <c r="N156" s="3" t="s">
        <v>23</v>
      </c>
      <c r="O156" s="3" t="s">
        <v>135</v>
      </c>
      <c r="P156" s="3" t="s">
        <v>134</v>
      </c>
    </row>
    <row r="157" spans="1:16" x14ac:dyDescent="0.25">
      <c r="A157" s="2">
        <v>156</v>
      </c>
      <c r="B157" s="2" t="s">
        <v>453</v>
      </c>
      <c r="C157" s="3" t="s">
        <v>454</v>
      </c>
      <c r="D157" s="3" t="s">
        <v>67</v>
      </c>
      <c r="E157" s="3" t="s">
        <v>26</v>
      </c>
      <c r="F157" s="3" t="s">
        <v>141</v>
      </c>
      <c r="G157" s="3" t="s">
        <v>134</v>
      </c>
      <c r="H157" s="3" t="s">
        <v>106</v>
      </c>
      <c r="I157" s="3" t="s">
        <v>151</v>
      </c>
      <c r="J157" s="3" t="s">
        <v>134</v>
      </c>
      <c r="K157" s="3" t="s">
        <v>63</v>
      </c>
      <c r="L157" s="3" t="s">
        <v>141</v>
      </c>
      <c r="M157" s="3" t="s">
        <v>134</v>
      </c>
      <c r="N157" s="3" t="s">
        <v>65</v>
      </c>
      <c r="O157" s="3" t="s">
        <v>138</v>
      </c>
      <c r="P157" s="3" t="s">
        <v>136</v>
      </c>
    </row>
    <row r="158" spans="1:16" x14ac:dyDescent="0.25">
      <c r="A158" s="2">
        <v>157</v>
      </c>
      <c r="B158" s="2" t="s">
        <v>455</v>
      </c>
      <c r="C158" s="3" t="s">
        <v>456</v>
      </c>
      <c r="D158" s="3" t="s">
        <v>24</v>
      </c>
      <c r="E158" s="3" t="s">
        <v>68</v>
      </c>
      <c r="F158" s="3" t="s">
        <v>135</v>
      </c>
      <c r="G158" s="3" t="s">
        <v>134</v>
      </c>
      <c r="H158" s="3" t="s">
        <v>29</v>
      </c>
      <c r="I158" s="3" t="s">
        <v>143</v>
      </c>
      <c r="J158" s="3" t="s">
        <v>134</v>
      </c>
      <c r="K158" s="3" t="s">
        <v>21</v>
      </c>
      <c r="L158" s="3" t="s">
        <v>137</v>
      </c>
      <c r="M158" s="3" t="s">
        <v>134</v>
      </c>
      <c r="N158" s="3" t="s">
        <v>23</v>
      </c>
      <c r="O158" s="3" t="s">
        <v>135</v>
      </c>
      <c r="P158" s="3" t="s">
        <v>134</v>
      </c>
    </row>
    <row r="159" spans="1:16" x14ac:dyDescent="0.25">
      <c r="A159" s="2">
        <v>158</v>
      </c>
      <c r="B159" s="2" t="s">
        <v>457</v>
      </c>
      <c r="C159" s="3" t="s">
        <v>458</v>
      </c>
      <c r="D159" s="3" t="s">
        <v>99</v>
      </c>
      <c r="E159" s="3" t="s">
        <v>36</v>
      </c>
      <c r="F159" s="3" t="s">
        <v>146</v>
      </c>
      <c r="G159" s="3" t="s">
        <v>136</v>
      </c>
      <c r="H159" s="3" t="s">
        <v>72</v>
      </c>
      <c r="I159" s="3" t="s">
        <v>141</v>
      </c>
      <c r="J159" s="3" t="s">
        <v>134</v>
      </c>
      <c r="K159" s="3" t="s">
        <v>75</v>
      </c>
      <c r="L159" s="3" t="s">
        <v>143</v>
      </c>
      <c r="M159" s="3" t="s">
        <v>134</v>
      </c>
      <c r="N159" s="3" t="s">
        <v>70</v>
      </c>
      <c r="O159" s="3" t="s">
        <v>151</v>
      </c>
      <c r="P159" s="3" t="s">
        <v>134</v>
      </c>
    </row>
    <row r="160" spans="1:16" x14ac:dyDescent="0.25">
      <c r="A160" s="2">
        <v>159</v>
      </c>
      <c r="B160" s="2" t="s">
        <v>459</v>
      </c>
      <c r="C160" s="3" t="s">
        <v>460</v>
      </c>
      <c r="D160" s="3" t="s">
        <v>105</v>
      </c>
      <c r="E160" s="3" t="s">
        <v>92</v>
      </c>
      <c r="F160" s="3" t="s">
        <v>138</v>
      </c>
      <c r="G160" s="3" t="s">
        <v>134</v>
      </c>
      <c r="H160" s="3" t="s">
        <v>105</v>
      </c>
      <c r="I160" s="3" t="s">
        <v>135</v>
      </c>
      <c r="J160" s="3" t="s">
        <v>134</v>
      </c>
      <c r="K160" s="3" t="s">
        <v>42</v>
      </c>
      <c r="L160" s="3" t="s">
        <v>170</v>
      </c>
      <c r="M160" s="3" t="s">
        <v>134</v>
      </c>
      <c r="N160" s="3" t="s">
        <v>63</v>
      </c>
      <c r="O160" s="3" t="s">
        <v>141</v>
      </c>
      <c r="P160" s="3" t="s">
        <v>134</v>
      </c>
    </row>
    <row r="161" spans="1:16" x14ac:dyDescent="0.25">
      <c r="A161" s="2">
        <v>160</v>
      </c>
      <c r="B161" s="2" t="s">
        <v>461</v>
      </c>
      <c r="C161" s="3" t="s">
        <v>462</v>
      </c>
      <c r="D161" s="3" t="s">
        <v>30</v>
      </c>
      <c r="E161" s="3" t="s">
        <v>17</v>
      </c>
      <c r="F161" s="3" t="s">
        <v>141</v>
      </c>
      <c r="G161" s="3" t="s">
        <v>134</v>
      </c>
      <c r="H161" s="3" t="s">
        <v>60</v>
      </c>
      <c r="I161" s="3" t="s">
        <v>170</v>
      </c>
      <c r="J161" s="3" t="s">
        <v>134</v>
      </c>
      <c r="K161" s="3" t="s">
        <v>109</v>
      </c>
      <c r="L161" s="3" t="s">
        <v>146</v>
      </c>
      <c r="M161" s="3" t="s">
        <v>134</v>
      </c>
      <c r="N161" s="3" t="s">
        <v>88</v>
      </c>
      <c r="O161" s="3" t="s">
        <v>151</v>
      </c>
      <c r="P161" s="3" t="s">
        <v>134</v>
      </c>
    </row>
    <row r="162" spans="1:16" x14ac:dyDescent="0.25">
      <c r="A162" s="2">
        <v>161</v>
      </c>
      <c r="B162" s="2" t="s">
        <v>463</v>
      </c>
      <c r="C162" s="3" t="s">
        <v>464</v>
      </c>
      <c r="D162" s="3" t="s">
        <v>16</v>
      </c>
      <c r="E162" s="3" t="s">
        <v>64</v>
      </c>
      <c r="F162" s="3" t="s">
        <v>146</v>
      </c>
      <c r="G162" s="3" t="s">
        <v>134</v>
      </c>
      <c r="H162" s="3" t="s">
        <v>115</v>
      </c>
      <c r="I162" s="3" t="s">
        <v>170</v>
      </c>
      <c r="J162" s="3" t="s">
        <v>136</v>
      </c>
      <c r="K162" s="3" t="s">
        <v>85</v>
      </c>
      <c r="L162" s="3" t="s">
        <v>137</v>
      </c>
      <c r="M162" s="3" t="s">
        <v>134</v>
      </c>
      <c r="N162" s="3" t="s">
        <v>54</v>
      </c>
      <c r="O162" s="3" t="s">
        <v>141</v>
      </c>
      <c r="P162" s="3" t="s">
        <v>134</v>
      </c>
    </row>
    <row r="163" spans="1:16" x14ac:dyDescent="0.25">
      <c r="A163" s="2">
        <v>162</v>
      </c>
      <c r="B163" s="2" t="s">
        <v>465</v>
      </c>
      <c r="C163" s="3" t="s">
        <v>466</v>
      </c>
      <c r="D163" s="3" t="s">
        <v>96</v>
      </c>
      <c r="E163" s="3" t="s">
        <v>78</v>
      </c>
      <c r="F163" s="3" t="s">
        <v>170</v>
      </c>
      <c r="G163" s="3" t="s">
        <v>134</v>
      </c>
      <c r="H163" s="3" t="s">
        <v>102</v>
      </c>
      <c r="I163" s="3" t="s">
        <v>143</v>
      </c>
      <c r="J163" s="3" t="s">
        <v>134</v>
      </c>
      <c r="K163" s="3" t="s">
        <v>43</v>
      </c>
      <c r="L163" s="3" t="s">
        <v>151</v>
      </c>
      <c r="M163" s="3" t="s">
        <v>134</v>
      </c>
      <c r="N163" s="3" t="s">
        <v>16</v>
      </c>
      <c r="O163" s="3" t="s">
        <v>133</v>
      </c>
      <c r="P163" s="3" t="s">
        <v>134</v>
      </c>
    </row>
    <row r="164" spans="1:16" x14ac:dyDescent="0.25">
      <c r="A164" s="2">
        <v>163</v>
      </c>
      <c r="B164" s="2" t="s">
        <v>467</v>
      </c>
      <c r="C164" s="3" t="s">
        <v>468</v>
      </c>
      <c r="D164" s="3" t="s">
        <v>100</v>
      </c>
      <c r="E164" s="3" t="s">
        <v>27</v>
      </c>
      <c r="F164" s="3" t="s">
        <v>146</v>
      </c>
      <c r="G164" s="3" t="s">
        <v>134</v>
      </c>
      <c r="H164" s="3" t="s">
        <v>75</v>
      </c>
      <c r="I164" s="3" t="s">
        <v>143</v>
      </c>
      <c r="J164" s="3" t="s">
        <v>134</v>
      </c>
      <c r="K164" s="3" t="s">
        <v>71</v>
      </c>
      <c r="L164" s="3" t="s">
        <v>133</v>
      </c>
      <c r="M164" s="3" t="s">
        <v>134</v>
      </c>
      <c r="N164" s="3" t="s">
        <v>86</v>
      </c>
      <c r="O164" s="3" t="s">
        <v>135</v>
      </c>
      <c r="P164" s="3" t="s">
        <v>134</v>
      </c>
    </row>
    <row r="165" spans="1:16" x14ac:dyDescent="0.25">
      <c r="A165" s="2">
        <v>164</v>
      </c>
      <c r="B165" s="2" t="s">
        <v>469</v>
      </c>
      <c r="C165" s="3" t="s">
        <v>470</v>
      </c>
      <c r="D165" s="3" t="s">
        <v>19</v>
      </c>
      <c r="E165" s="3" t="s">
        <v>37</v>
      </c>
      <c r="F165" s="3" t="s">
        <v>138</v>
      </c>
      <c r="G165" s="3" t="s">
        <v>134</v>
      </c>
      <c r="H165" s="3" t="s">
        <v>32</v>
      </c>
      <c r="I165" s="3" t="s">
        <v>135</v>
      </c>
      <c r="J165" s="3" t="s">
        <v>134</v>
      </c>
      <c r="K165" s="3" t="s">
        <v>77</v>
      </c>
      <c r="L165" s="3" t="s">
        <v>135</v>
      </c>
      <c r="M165" s="3" t="s">
        <v>134</v>
      </c>
      <c r="N165" s="3" t="s">
        <v>113</v>
      </c>
      <c r="O165" s="3" t="s">
        <v>142</v>
      </c>
      <c r="P165" s="3" t="s">
        <v>134</v>
      </c>
    </row>
    <row r="166" spans="1:16" x14ac:dyDescent="0.25">
      <c r="A166" s="2">
        <v>165</v>
      </c>
      <c r="B166" s="2" t="s">
        <v>471</v>
      </c>
      <c r="C166" s="3" t="s">
        <v>472</v>
      </c>
      <c r="D166" s="3" t="s">
        <v>48</v>
      </c>
      <c r="E166" s="3" t="s">
        <v>49</v>
      </c>
      <c r="F166" s="3" t="s">
        <v>142</v>
      </c>
      <c r="G166" s="3" t="s">
        <v>134</v>
      </c>
      <c r="H166" s="3" t="s">
        <v>24</v>
      </c>
      <c r="I166" s="3" t="s">
        <v>170</v>
      </c>
      <c r="J166" s="3" t="s">
        <v>134</v>
      </c>
      <c r="K166" s="3" t="s">
        <v>21</v>
      </c>
      <c r="L166" s="3" t="s">
        <v>137</v>
      </c>
      <c r="M166" s="3" t="s">
        <v>136</v>
      </c>
      <c r="N166" s="3" t="s">
        <v>84</v>
      </c>
      <c r="O166" s="3" t="s">
        <v>143</v>
      </c>
      <c r="P166" s="3" t="s">
        <v>134</v>
      </c>
    </row>
    <row r="167" spans="1:16" x14ac:dyDescent="0.25">
      <c r="A167" s="2">
        <v>166</v>
      </c>
      <c r="B167" s="2" t="s">
        <v>473</v>
      </c>
      <c r="C167" s="3" t="s">
        <v>474</v>
      </c>
      <c r="D167" s="3" t="s">
        <v>71</v>
      </c>
      <c r="E167" s="3" t="s">
        <v>66</v>
      </c>
      <c r="F167" s="3" t="s">
        <v>137</v>
      </c>
      <c r="G167" s="3" t="s">
        <v>134</v>
      </c>
      <c r="H167" s="3" t="s">
        <v>80</v>
      </c>
      <c r="I167" s="3" t="s">
        <v>133</v>
      </c>
      <c r="J167" s="3" t="s">
        <v>134</v>
      </c>
      <c r="K167" s="3" t="s">
        <v>60</v>
      </c>
      <c r="L167" s="3" t="s">
        <v>170</v>
      </c>
      <c r="M167" s="3" t="s">
        <v>134</v>
      </c>
      <c r="N167" s="3" t="s">
        <v>51</v>
      </c>
      <c r="O167" s="3" t="s">
        <v>170</v>
      </c>
      <c r="P167" s="3" t="s">
        <v>134</v>
      </c>
    </row>
    <row r="168" spans="1:16" x14ac:dyDescent="0.25">
      <c r="A168" s="2">
        <v>167</v>
      </c>
      <c r="B168" s="2" t="s">
        <v>475</v>
      </c>
      <c r="C168" s="3" t="s">
        <v>476</v>
      </c>
      <c r="D168" s="3" t="s">
        <v>76</v>
      </c>
      <c r="E168" s="3" t="s">
        <v>112</v>
      </c>
      <c r="F168" s="3" t="s">
        <v>137</v>
      </c>
      <c r="G168" s="3" t="s">
        <v>134</v>
      </c>
      <c r="H168" s="3" t="s">
        <v>92</v>
      </c>
      <c r="I168" s="3" t="s">
        <v>138</v>
      </c>
      <c r="J168" s="3" t="s">
        <v>134</v>
      </c>
      <c r="K168" s="3" t="s">
        <v>101</v>
      </c>
      <c r="L168" s="3" t="s">
        <v>138</v>
      </c>
      <c r="M168" s="3" t="s">
        <v>134</v>
      </c>
      <c r="N168" s="3" t="s">
        <v>84</v>
      </c>
      <c r="O168" s="3" t="s">
        <v>143</v>
      </c>
      <c r="P168" s="3" t="s">
        <v>134</v>
      </c>
    </row>
    <row r="169" spans="1:16" x14ac:dyDescent="0.25">
      <c r="A169" s="2">
        <v>168</v>
      </c>
      <c r="B169" s="2" t="s">
        <v>477</v>
      </c>
      <c r="C169" s="3" t="s">
        <v>478</v>
      </c>
      <c r="D169" s="3" t="s">
        <v>99</v>
      </c>
      <c r="E169" s="3" t="s">
        <v>110</v>
      </c>
      <c r="F169" s="3" t="s">
        <v>138</v>
      </c>
      <c r="G169" s="3" t="s">
        <v>134</v>
      </c>
      <c r="H169" s="3" t="s">
        <v>49</v>
      </c>
      <c r="I169" s="3" t="s">
        <v>142</v>
      </c>
      <c r="J169" s="3" t="s">
        <v>134</v>
      </c>
      <c r="K169" s="3" t="s">
        <v>23</v>
      </c>
      <c r="L169" s="3" t="s">
        <v>135</v>
      </c>
      <c r="M169" s="3" t="s">
        <v>134</v>
      </c>
      <c r="N169" s="3" t="s">
        <v>29</v>
      </c>
      <c r="O169" s="3" t="s">
        <v>143</v>
      </c>
      <c r="P169" s="3" t="s">
        <v>136</v>
      </c>
    </row>
    <row r="170" spans="1:16" x14ac:dyDescent="0.25">
      <c r="A170" s="2">
        <v>169</v>
      </c>
      <c r="B170" s="2" t="s">
        <v>479</v>
      </c>
      <c r="C170" s="3" t="s">
        <v>480</v>
      </c>
      <c r="D170" s="3" t="s">
        <v>52</v>
      </c>
      <c r="E170" s="3" t="s">
        <v>108</v>
      </c>
      <c r="F170" s="3" t="s">
        <v>141</v>
      </c>
      <c r="G170" s="3" t="s">
        <v>134</v>
      </c>
      <c r="H170" s="3" t="s">
        <v>70</v>
      </c>
      <c r="I170" s="3" t="s">
        <v>151</v>
      </c>
      <c r="J170" s="3" t="s">
        <v>134</v>
      </c>
      <c r="K170" s="3" t="s">
        <v>39</v>
      </c>
      <c r="L170" s="3" t="s">
        <v>137</v>
      </c>
      <c r="M170" s="3" t="s">
        <v>136</v>
      </c>
      <c r="N170" s="3" t="s">
        <v>63</v>
      </c>
      <c r="O170" s="3" t="s">
        <v>141</v>
      </c>
      <c r="P170" s="3" t="s">
        <v>134</v>
      </c>
    </row>
    <row r="171" spans="1:16" x14ac:dyDescent="0.25">
      <c r="A171" s="2">
        <v>170</v>
      </c>
      <c r="B171" s="2" t="s">
        <v>481</v>
      </c>
      <c r="C171" s="3" t="s">
        <v>482</v>
      </c>
      <c r="D171" s="3" t="s">
        <v>53</v>
      </c>
      <c r="E171" s="3" t="s">
        <v>54</v>
      </c>
      <c r="F171" s="3" t="s">
        <v>141</v>
      </c>
      <c r="G171" s="3" t="s">
        <v>136</v>
      </c>
      <c r="H171" s="3" t="s">
        <v>99</v>
      </c>
      <c r="I171" s="3" t="s">
        <v>141</v>
      </c>
      <c r="J171" s="3" t="s">
        <v>136</v>
      </c>
      <c r="K171" s="3" t="s">
        <v>109</v>
      </c>
      <c r="L171" s="3" t="s">
        <v>146</v>
      </c>
      <c r="M171" s="3" t="s">
        <v>134</v>
      </c>
      <c r="N171" s="3" t="s">
        <v>78</v>
      </c>
      <c r="O171" s="3" t="s">
        <v>170</v>
      </c>
      <c r="P171" s="3" t="s">
        <v>134</v>
      </c>
    </row>
    <row r="172" spans="1:16" x14ac:dyDescent="0.25">
      <c r="A172" s="2">
        <v>171</v>
      </c>
      <c r="B172" s="2" t="s">
        <v>483</v>
      </c>
      <c r="C172" s="3" t="s">
        <v>484</v>
      </c>
      <c r="D172" s="3" t="s">
        <v>67</v>
      </c>
      <c r="E172" s="3" t="s">
        <v>114</v>
      </c>
      <c r="F172" s="3" t="s">
        <v>135</v>
      </c>
      <c r="G172" s="3" t="s">
        <v>136</v>
      </c>
      <c r="H172" s="3" t="s">
        <v>70</v>
      </c>
      <c r="I172" s="3" t="s">
        <v>151</v>
      </c>
      <c r="J172" s="3" t="s">
        <v>134</v>
      </c>
      <c r="K172" s="3" t="s">
        <v>82</v>
      </c>
      <c r="L172" s="3" t="s">
        <v>146</v>
      </c>
      <c r="M172" s="3" t="s">
        <v>136</v>
      </c>
      <c r="N172" s="3" t="s">
        <v>37</v>
      </c>
      <c r="O172" s="3" t="s">
        <v>138</v>
      </c>
      <c r="P172" s="3" t="s">
        <v>134</v>
      </c>
    </row>
    <row r="173" spans="1:16" x14ac:dyDescent="0.25">
      <c r="A173" s="2">
        <v>172</v>
      </c>
      <c r="B173" s="2" t="s">
        <v>485</v>
      </c>
      <c r="C173" s="3" t="s">
        <v>486</v>
      </c>
      <c r="D173" s="3" t="s">
        <v>32</v>
      </c>
      <c r="E173" s="3" t="s">
        <v>54</v>
      </c>
      <c r="F173" s="3" t="s">
        <v>141</v>
      </c>
      <c r="G173" s="3" t="s">
        <v>134</v>
      </c>
      <c r="H173" s="3" t="s">
        <v>19</v>
      </c>
      <c r="I173" s="3" t="s">
        <v>138</v>
      </c>
      <c r="J173" s="3" t="s">
        <v>134</v>
      </c>
      <c r="K173" s="3" t="s">
        <v>52</v>
      </c>
      <c r="L173" s="3" t="s">
        <v>151</v>
      </c>
      <c r="M173" s="3" t="s">
        <v>136</v>
      </c>
      <c r="N173" s="3" t="s">
        <v>66</v>
      </c>
      <c r="O173" s="3" t="s">
        <v>137</v>
      </c>
      <c r="P173" s="3" t="s">
        <v>134</v>
      </c>
    </row>
    <row r="174" spans="1:16" x14ac:dyDescent="0.25">
      <c r="A174" s="2">
        <v>173</v>
      </c>
      <c r="B174" s="2" t="s">
        <v>487</v>
      </c>
      <c r="C174" s="3" t="s">
        <v>488</v>
      </c>
      <c r="D174" s="3" t="s">
        <v>20</v>
      </c>
      <c r="E174" s="3" t="s">
        <v>48</v>
      </c>
      <c r="F174" s="3" t="s">
        <v>137</v>
      </c>
      <c r="G174" s="3" t="s">
        <v>134</v>
      </c>
      <c r="H174" s="3" t="s">
        <v>91</v>
      </c>
      <c r="I174" s="3" t="s">
        <v>146</v>
      </c>
      <c r="J174" s="3" t="s">
        <v>134</v>
      </c>
      <c r="K174" s="3" t="s">
        <v>50</v>
      </c>
      <c r="L174" s="3" t="s">
        <v>135</v>
      </c>
      <c r="M174" s="3" t="s">
        <v>134</v>
      </c>
      <c r="N174" s="3" t="s">
        <v>23</v>
      </c>
      <c r="O174" s="3" t="s">
        <v>135</v>
      </c>
      <c r="P174" s="3" t="s">
        <v>134</v>
      </c>
    </row>
    <row r="175" spans="1:16" x14ac:dyDescent="0.25">
      <c r="A175" s="2">
        <v>174</v>
      </c>
      <c r="B175" s="2" t="s">
        <v>489</v>
      </c>
      <c r="C175" s="3" t="s">
        <v>490</v>
      </c>
      <c r="D175" s="3" t="s">
        <v>69</v>
      </c>
      <c r="E175" s="3" t="s">
        <v>111</v>
      </c>
      <c r="F175" s="3" t="s">
        <v>143</v>
      </c>
      <c r="G175" s="3" t="s">
        <v>134</v>
      </c>
      <c r="H175" s="3" t="s">
        <v>64</v>
      </c>
      <c r="I175" s="3" t="s">
        <v>146</v>
      </c>
      <c r="J175" s="3" t="s">
        <v>136</v>
      </c>
      <c r="K175" s="3" t="s">
        <v>107</v>
      </c>
      <c r="L175" s="3" t="s">
        <v>133</v>
      </c>
      <c r="M175" s="3" t="s">
        <v>134</v>
      </c>
      <c r="N175" s="3" t="s">
        <v>84</v>
      </c>
      <c r="O175" s="3" t="s">
        <v>143</v>
      </c>
      <c r="P175" s="3" t="s">
        <v>134</v>
      </c>
    </row>
    <row r="176" spans="1:16" x14ac:dyDescent="0.25">
      <c r="A176" s="2">
        <v>175</v>
      </c>
      <c r="B176" s="2" t="s">
        <v>491</v>
      </c>
      <c r="C176" s="3" t="s">
        <v>492</v>
      </c>
      <c r="D176" s="3" t="s">
        <v>68</v>
      </c>
      <c r="E176" s="3" t="s">
        <v>101</v>
      </c>
      <c r="F176" s="3" t="s">
        <v>138</v>
      </c>
      <c r="G176" s="3" t="s">
        <v>134</v>
      </c>
      <c r="H176" s="3" t="s">
        <v>57</v>
      </c>
      <c r="I176" s="3" t="s">
        <v>137</v>
      </c>
      <c r="J176" s="3" t="s">
        <v>134</v>
      </c>
      <c r="K176" s="3" t="s">
        <v>71</v>
      </c>
      <c r="L176" s="3" t="s">
        <v>133</v>
      </c>
      <c r="M176" s="3" t="s">
        <v>134</v>
      </c>
      <c r="N176" s="3" t="s">
        <v>52</v>
      </c>
      <c r="O176" s="3" t="s">
        <v>151</v>
      </c>
      <c r="P176" s="3" t="s">
        <v>134</v>
      </c>
    </row>
    <row r="177" spans="1:16" x14ac:dyDescent="0.25">
      <c r="A177" s="2">
        <v>176</v>
      </c>
      <c r="B177" s="2" t="s">
        <v>493</v>
      </c>
      <c r="C177" s="3" t="s">
        <v>494</v>
      </c>
      <c r="D177" s="3" t="s">
        <v>58</v>
      </c>
      <c r="E177" s="3" t="s">
        <v>110</v>
      </c>
      <c r="F177" s="3" t="s">
        <v>138</v>
      </c>
      <c r="G177" s="3" t="s">
        <v>134</v>
      </c>
      <c r="H177" s="3" t="s">
        <v>24</v>
      </c>
      <c r="I177" s="3" t="s">
        <v>170</v>
      </c>
      <c r="J177" s="3" t="s">
        <v>134</v>
      </c>
      <c r="K177" s="3" t="s">
        <v>109</v>
      </c>
      <c r="L177" s="3" t="s">
        <v>146</v>
      </c>
      <c r="M177" s="3" t="s">
        <v>134</v>
      </c>
      <c r="N177" s="3" t="s">
        <v>86</v>
      </c>
      <c r="O177" s="3" t="s">
        <v>135</v>
      </c>
      <c r="P177" s="3" t="s">
        <v>134</v>
      </c>
    </row>
    <row r="178" spans="1:16" x14ac:dyDescent="0.25">
      <c r="A178" s="2">
        <v>177</v>
      </c>
      <c r="B178" s="2" t="s">
        <v>495</v>
      </c>
      <c r="C178" s="3" t="s">
        <v>496</v>
      </c>
      <c r="D178" s="3" t="s">
        <v>84</v>
      </c>
      <c r="E178" s="3" t="s">
        <v>49</v>
      </c>
      <c r="F178" s="3" t="s">
        <v>142</v>
      </c>
      <c r="G178" s="3" t="s">
        <v>134</v>
      </c>
      <c r="H178" s="3" t="s">
        <v>106</v>
      </c>
      <c r="I178" s="3" t="s">
        <v>151</v>
      </c>
      <c r="J178" s="3" t="s">
        <v>136</v>
      </c>
      <c r="K178" s="3" t="s">
        <v>113</v>
      </c>
      <c r="L178" s="3" t="s">
        <v>142</v>
      </c>
      <c r="M178" s="3" t="s">
        <v>134</v>
      </c>
      <c r="N178" s="3" t="s">
        <v>28</v>
      </c>
      <c r="O178" s="3" t="s">
        <v>138</v>
      </c>
      <c r="P178" s="3" t="s">
        <v>134</v>
      </c>
    </row>
    <row r="179" spans="1:16" x14ac:dyDescent="0.25">
      <c r="A179" s="2">
        <v>178</v>
      </c>
      <c r="B179" s="2" t="s">
        <v>497</v>
      </c>
      <c r="C179" s="3" t="s">
        <v>498</v>
      </c>
      <c r="D179" s="3" t="s">
        <v>70</v>
      </c>
      <c r="E179" s="3" t="s">
        <v>107</v>
      </c>
      <c r="F179" s="3" t="s">
        <v>133</v>
      </c>
      <c r="G179" s="3" t="s">
        <v>134</v>
      </c>
      <c r="H179" s="3" t="s">
        <v>23</v>
      </c>
      <c r="I179" s="3" t="s">
        <v>135</v>
      </c>
      <c r="J179" s="3" t="s">
        <v>136</v>
      </c>
      <c r="K179" s="3" t="s">
        <v>51</v>
      </c>
      <c r="L179" s="3" t="s">
        <v>170</v>
      </c>
      <c r="M179" s="3" t="s">
        <v>134</v>
      </c>
      <c r="N179" s="3" t="s">
        <v>96</v>
      </c>
      <c r="O179" s="3" t="s">
        <v>170</v>
      </c>
      <c r="P179" s="3" t="s">
        <v>134</v>
      </c>
    </row>
    <row r="180" spans="1:16" x14ac:dyDescent="0.25">
      <c r="A180" s="2">
        <v>179</v>
      </c>
      <c r="B180" s="2" t="s">
        <v>499</v>
      </c>
      <c r="C180" s="3" t="s">
        <v>500</v>
      </c>
      <c r="D180" s="3" t="s">
        <v>55</v>
      </c>
      <c r="E180" s="3" t="s">
        <v>75</v>
      </c>
      <c r="F180" s="3" t="s">
        <v>143</v>
      </c>
      <c r="G180" s="3" t="s">
        <v>134</v>
      </c>
      <c r="H180" s="3" t="s">
        <v>94</v>
      </c>
      <c r="I180" s="3" t="s">
        <v>137</v>
      </c>
      <c r="J180" s="3" t="s">
        <v>134</v>
      </c>
      <c r="K180" s="3" t="s">
        <v>49</v>
      </c>
      <c r="L180" s="3" t="s">
        <v>142</v>
      </c>
      <c r="M180" s="3" t="s">
        <v>136</v>
      </c>
      <c r="N180" s="3" t="s">
        <v>86</v>
      </c>
      <c r="O180" s="3" t="s">
        <v>135</v>
      </c>
      <c r="P180" s="3" t="s">
        <v>134</v>
      </c>
    </row>
    <row r="181" spans="1:16" x14ac:dyDescent="0.25">
      <c r="A181" s="2">
        <v>180</v>
      </c>
      <c r="B181" s="2" t="s">
        <v>501</v>
      </c>
      <c r="C181" s="3" t="s">
        <v>502</v>
      </c>
      <c r="D181" s="3" t="s">
        <v>81</v>
      </c>
      <c r="E181" s="3" t="s">
        <v>106</v>
      </c>
      <c r="F181" s="3" t="s">
        <v>151</v>
      </c>
      <c r="G181" s="3" t="s">
        <v>134</v>
      </c>
      <c r="H181" s="3" t="s">
        <v>84</v>
      </c>
      <c r="I181" s="3" t="s">
        <v>143</v>
      </c>
      <c r="J181" s="3" t="s">
        <v>134</v>
      </c>
      <c r="K181" s="3" t="s">
        <v>108</v>
      </c>
      <c r="L181" s="3" t="s">
        <v>141</v>
      </c>
      <c r="M181" s="3" t="s">
        <v>134</v>
      </c>
      <c r="N181" s="3" t="s">
        <v>29</v>
      </c>
      <c r="O181" s="3" t="s">
        <v>143</v>
      </c>
      <c r="P181" s="3" t="s">
        <v>134</v>
      </c>
    </row>
    <row r="182" spans="1:16" x14ac:dyDescent="0.25">
      <c r="A182" s="2">
        <v>181</v>
      </c>
      <c r="B182" s="2" t="s">
        <v>503</v>
      </c>
      <c r="C182" s="3" t="s">
        <v>504</v>
      </c>
      <c r="D182" s="3" t="s">
        <v>103</v>
      </c>
      <c r="E182" s="3" t="s">
        <v>89</v>
      </c>
      <c r="F182" s="3" t="s">
        <v>133</v>
      </c>
      <c r="G182" s="3" t="s">
        <v>134</v>
      </c>
      <c r="H182" s="3" t="s">
        <v>70</v>
      </c>
      <c r="I182" s="3" t="s">
        <v>151</v>
      </c>
      <c r="J182" s="3" t="s">
        <v>134</v>
      </c>
      <c r="K182" s="3" t="s">
        <v>103</v>
      </c>
      <c r="L182" s="3" t="s">
        <v>137</v>
      </c>
      <c r="M182" s="3" t="s">
        <v>134</v>
      </c>
      <c r="N182" s="3" t="s">
        <v>107</v>
      </c>
      <c r="O182" s="3" t="s">
        <v>133</v>
      </c>
      <c r="P182" s="3" t="s">
        <v>134</v>
      </c>
    </row>
    <row r="183" spans="1:16" x14ac:dyDescent="0.25">
      <c r="A183" s="2">
        <v>182</v>
      </c>
      <c r="B183" s="2" t="s">
        <v>505</v>
      </c>
      <c r="C183" s="3" t="s">
        <v>506</v>
      </c>
      <c r="D183" s="3" t="s">
        <v>87</v>
      </c>
      <c r="E183" s="3" t="s">
        <v>115</v>
      </c>
      <c r="F183" s="3" t="s">
        <v>170</v>
      </c>
      <c r="G183" s="3" t="s">
        <v>134</v>
      </c>
      <c r="H183" s="3" t="s">
        <v>51</v>
      </c>
      <c r="I183" s="3" t="s">
        <v>170</v>
      </c>
      <c r="J183" s="3" t="s">
        <v>134</v>
      </c>
      <c r="K183" s="3" t="s">
        <v>19</v>
      </c>
      <c r="L183" s="3" t="s">
        <v>138</v>
      </c>
      <c r="M183" s="3" t="s">
        <v>134</v>
      </c>
      <c r="N183" s="3" t="s">
        <v>102</v>
      </c>
      <c r="O183" s="3" t="s">
        <v>143</v>
      </c>
      <c r="P183" s="3" t="s">
        <v>134</v>
      </c>
    </row>
    <row r="184" spans="1:16" x14ac:dyDescent="0.25">
      <c r="A184" s="2">
        <v>183</v>
      </c>
      <c r="B184" s="2" t="s">
        <v>507</v>
      </c>
      <c r="C184" s="3" t="s">
        <v>508</v>
      </c>
      <c r="D184" s="3" t="s">
        <v>113</v>
      </c>
      <c r="E184" s="3" t="s">
        <v>46</v>
      </c>
      <c r="F184" s="3" t="s">
        <v>138</v>
      </c>
      <c r="G184" s="3" t="s">
        <v>134</v>
      </c>
      <c r="H184" s="3" t="s">
        <v>71</v>
      </c>
      <c r="I184" s="3" t="s">
        <v>133</v>
      </c>
      <c r="J184" s="3" t="s">
        <v>134</v>
      </c>
      <c r="K184" s="3" t="s">
        <v>105</v>
      </c>
      <c r="L184" s="3" t="s">
        <v>135</v>
      </c>
      <c r="M184" s="3" t="s">
        <v>134</v>
      </c>
      <c r="N184" s="3" t="s">
        <v>36</v>
      </c>
      <c r="O184" s="3" t="s">
        <v>146</v>
      </c>
      <c r="P184" s="3" t="s">
        <v>134</v>
      </c>
    </row>
    <row r="185" spans="1:16" x14ac:dyDescent="0.25">
      <c r="A185" s="2">
        <v>184</v>
      </c>
      <c r="B185" s="2" t="s">
        <v>509</v>
      </c>
      <c r="C185" s="3" t="s">
        <v>510</v>
      </c>
      <c r="D185" s="3" t="s">
        <v>95</v>
      </c>
      <c r="E185" s="3" t="s">
        <v>96</v>
      </c>
      <c r="F185" s="3" t="s">
        <v>170</v>
      </c>
      <c r="G185" s="3" t="s">
        <v>134</v>
      </c>
      <c r="H185" s="3" t="s">
        <v>78</v>
      </c>
      <c r="I185" s="3" t="s">
        <v>170</v>
      </c>
      <c r="J185" s="3" t="s">
        <v>134</v>
      </c>
      <c r="K185" s="3" t="s">
        <v>70</v>
      </c>
      <c r="L185" s="3" t="s">
        <v>151</v>
      </c>
      <c r="M185" s="3" t="s">
        <v>134</v>
      </c>
      <c r="N185" s="3" t="s">
        <v>97</v>
      </c>
      <c r="O185" s="3" t="s">
        <v>151</v>
      </c>
      <c r="P185" s="3" t="s">
        <v>134</v>
      </c>
    </row>
    <row r="186" spans="1:16" x14ac:dyDescent="0.25">
      <c r="A186" s="2">
        <v>185</v>
      </c>
      <c r="B186" s="2" t="s">
        <v>511</v>
      </c>
      <c r="C186" s="3" t="s">
        <v>512</v>
      </c>
      <c r="D186" s="3" t="s">
        <v>105</v>
      </c>
      <c r="E186" s="3" t="s">
        <v>36</v>
      </c>
      <c r="F186" s="3" t="s">
        <v>146</v>
      </c>
      <c r="G186" s="3" t="s">
        <v>134</v>
      </c>
      <c r="H186" s="3" t="s">
        <v>17</v>
      </c>
      <c r="I186" s="3" t="s">
        <v>141</v>
      </c>
      <c r="J186" s="3" t="s">
        <v>134</v>
      </c>
      <c r="K186" s="3" t="s">
        <v>97</v>
      </c>
      <c r="L186" s="3" t="s">
        <v>151</v>
      </c>
      <c r="M186" s="3" t="s">
        <v>134</v>
      </c>
      <c r="N186" s="3" t="s">
        <v>35</v>
      </c>
      <c r="O186" s="3" t="s">
        <v>133</v>
      </c>
      <c r="P186" s="3" t="s">
        <v>134</v>
      </c>
    </row>
    <row r="187" spans="1:16" x14ac:dyDescent="0.25">
      <c r="A187" s="2">
        <v>186</v>
      </c>
      <c r="B187" s="2" t="s">
        <v>513</v>
      </c>
      <c r="C187" s="3" t="s">
        <v>514</v>
      </c>
      <c r="D187" s="3" t="s">
        <v>101</v>
      </c>
      <c r="E187" s="3" t="s">
        <v>29</v>
      </c>
      <c r="F187" s="3" t="s">
        <v>143</v>
      </c>
      <c r="G187" s="3" t="s">
        <v>134</v>
      </c>
      <c r="H187" s="3" t="s">
        <v>21</v>
      </c>
      <c r="I187" s="3" t="s">
        <v>137</v>
      </c>
      <c r="J187" s="3" t="s">
        <v>134</v>
      </c>
      <c r="K187" s="3" t="s">
        <v>80</v>
      </c>
      <c r="L187" s="3" t="s">
        <v>133</v>
      </c>
      <c r="M187" s="3" t="s">
        <v>134</v>
      </c>
      <c r="N187" s="3" t="s">
        <v>62</v>
      </c>
      <c r="O187" s="3" t="s">
        <v>133</v>
      </c>
      <c r="P187" s="3" t="s">
        <v>134</v>
      </c>
    </row>
    <row r="188" spans="1:16" x14ac:dyDescent="0.25">
      <c r="A188" s="2">
        <v>187</v>
      </c>
      <c r="B188" s="2" t="s">
        <v>515</v>
      </c>
      <c r="C188" s="3" t="s">
        <v>516</v>
      </c>
      <c r="D188" s="3" t="s">
        <v>83</v>
      </c>
      <c r="E188" s="3" t="s">
        <v>112</v>
      </c>
      <c r="F188" s="3" t="s">
        <v>137</v>
      </c>
      <c r="G188" s="3" t="s">
        <v>134</v>
      </c>
      <c r="H188" s="3" t="s">
        <v>36</v>
      </c>
      <c r="I188" s="3" t="s">
        <v>146</v>
      </c>
      <c r="J188" s="3" t="s">
        <v>134</v>
      </c>
      <c r="K188" s="3" t="s">
        <v>47</v>
      </c>
      <c r="L188" s="3" t="s">
        <v>143</v>
      </c>
      <c r="M188" s="3" t="s">
        <v>134</v>
      </c>
      <c r="N188" s="3" t="s">
        <v>89</v>
      </c>
      <c r="O188" s="3" t="s">
        <v>133</v>
      </c>
      <c r="P188" s="3" t="s">
        <v>134</v>
      </c>
    </row>
    <row r="189" spans="1:16" x14ac:dyDescent="0.25">
      <c r="A189" s="2">
        <v>188</v>
      </c>
      <c r="B189" s="2" t="s">
        <v>517</v>
      </c>
      <c r="C189" s="3" t="s">
        <v>518</v>
      </c>
      <c r="D189" s="3" t="s">
        <v>17</v>
      </c>
      <c r="E189" s="3" t="s">
        <v>22</v>
      </c>
      <c r="F189" s="3" t="s">
        <v>142</v>
      </c>
      <c r="G189" s="3" t="s">
        <v>134</v>
      </c>
      <c r="H189" s="3" t="s">
        <v>42</v>
      </c>
      <c r="I189" s="3" t="s">
        <v>170</v>
      </c>
      <c r="J189" s="3" t="s">
        <v>136</v>
      </c>
      <c r="K189" s="3" t="s">
        <v>89</v>
      </c>
      <c r="L189" s="3" t="s">
        <v>133</v>
      </c>
      <c r="M189" s="3" t="s">
        <v>134</v>
      </c>
      <c r="N189" s="3" t="s">
        <v>88</v>
      </c>
      <c r="O189" s="3" t="s">
        <v>151</v>
      </c>
      <c r="P189" s="3" t="s">
        <v>134</v>
      </c>
    </row>
    <row r="190" spans="1:16" x14ac:dyDescent="0.25">
      <c r="A190" s="2">
        <v>189</v>
      </c>
      <c r="B190" s="2" t="s">
        <v>519</v>
      </c>
      <c r="C190" s="3" t="s">
        <v>520</v>
      </c>
      <c r="D190" s="3" t="s">
        <v>110</v>
      </c>
      <c r="E190" s="3" t="s">
        <v>75</v>
      </c>
      <c r="F190" s="3" t="s">
        <v>143</v>
      </c>
      <c r="G190" s="3" t="s">
        <v>134</v>
      </c>
      <c r="H190" s="3" t="s">
        <v>50</v>
      </c>
      <c r="I190" s="3" t="s">
        <v>135</v>
      </c>
      <c r="J190" s="3" t="s">
        <v>134</v>
      </c>
      <c r="K190" s="3" t="s">
        <v>21</v>
      </c>
      <c r="L190" s="3" t="s">
        <v>137</v>
      </c>
      <c r="M190" s="3" t="s">
        <v>134</v>
      </c>
      <c r="N190" s="3" t="s">
        <v>78</v>
      </c>
      <c r="O190" s="3" t="s">
        <v>170</v>
      </c>
      <c r="P190" s="3" t="s">
        <v>136</v>
      </c>
    </row>
    <row r="191" spans="1:16" x14ac:dyDescent="0.25">
      <c r="A191" s="2">
        <v>190</v>
      </c>
      <c r="B191" s="2" t="s">
        <v>521</v>
      </c>
      <c r="C191" s="3" t="s">
        <v>522</v>
      </c>
      <c r="D191" s="3" t="s">
        <v>115</v>
      </c>
      <c r="E191" s="3" t="s">
        <v>113</v>
      </c>
      <c r="F191" s="3" t="s">
        <v>142</v>
      </c>
      <c r="G191" s="3" t="s">
        <v>136</v>
      </c>
      <c r="H191" s="3" t="s">
        <v>92</v>
      </c>
      <c r="I191" s="3" t="s">
        <v>138</v>
      </c>
      <c r="J191" s="3" t="s">
        <v>134</v>
      </c>
      <c r="K191" s="3" t="s">
        <v>21</v>
      </c>
      <c r="L191" s="3" t="s">
        <v>137</v>
      </c>
      <c r="M191" s="3" t="s">
        <v>134</v>
      </c>
      <c r="N191" s="3" t="s">
        <v>91</v>
      </c>
      <c r="O191" s="3" t="s">
        <v>146</v>
      </c>
      <c r="P191" s="3" t="s">
        <v>134</v>
      </c>
    </row>
    <row r="192" spans="1:16" x14ac:dyDescent="0.25">
      <c r="A192" s="2">
        <v>191</v>
      </c>
      <c r="B192" s="2" t="s">
        <v>523</v>
      </c>
      <c r="C192" s="3" t="s">
        <v>524</v>
      </c>
      <c r="D192" s="3" t="s">
        <v>63</v>
      </c>
      <c r="E192" s="3" t="s">
        <v>84</v>
      </c>
      <c r="F192" s="3" t="s">
        <v>143</v>
      </c>
      <c r="G192" s="3" t="s">
        <v>134</v>
      </c>
      <c r="H192" s="3" t="s">
        <v>55</v>
      </c>
      <c r="I192" s="3" t="s">
        <v>146</v>
      </c>
      <c r="J192" s="3" t="s">
        <v>134</v>
      </c>
      <c r="K192" s="3" t="s">
        <v>21</v>
      </c>
      <c r="L192" s="3" t="s">
        <v>137</v>
      </c>
      <c r="M192" s="3" t="s">
        <v>136</v>
      </c>
      <c r="N192" s="3" t="s">
        <v>91</v>
      </c>
      <c r="O192" s="3" t="s">
        <v>146</v>
      </c>
      <c r="P192" s="3" t="s">
        <v>134</v>
      </c>
    </row>
    <row r="193" spans="1:16" x14ac:dyDescent="0.25">
      <c r="A193" s="2">
        <v>192</v>
      </c>
      <c r="B193" s="2" t="s">
        <v>525</v>
      </c>
      <c r="C193" s="3" t="s">
        <v>526</v>
      </c>
      <c r="D193" s="3" t="s">
        <v>35</v>
      </c>
      <c r="E193" s="3" t="s">
        <v>88</v>
      </c>
      <c r="F193" s="3" t="s">
        <v>151</v>
      </c>
      <c r="G193" s="3" t="s">
        <v>136</v>
      </c>
      <c r="H193" s="3" t="s">
        <v>69</v>
      </c>
      <c r="I193" s="3" t="s">
        <v>170</v>
      </c>
      <c r="J193" s="3" t="s">
        <v>134</v>
      </c>
      <c r="K193" s="3" t="s">
        <v>21</v>
      </c>
      <c r="L193" s="3" t="s">
        <v>137</v>
      </c>
      <c r="M193" s="3" t="s">
        <v>134</v>
      </c>
      <c r="N193" s="3" t="s">
        <v>108</v>
      </c>
      <c r="O193" s="3" t="s">
        <v>141</v>
      </c>
      <c r="P193" s="3" t="s">
        <v>134</v>
      </c>
    </row>
    <row r="194" spans="1:16" x14ac:dyDescent="0.25">
      <c r="A194" s="2">
        <v>193</v>
      </c>
      <c r="B194" s="2" t="s">
        <v>527</v>
      </c>
      <c r="C194" s="3" t="s">
        <v>528</v>
      </c>
      <c r="D194" s="3" t="s">
        <v>79</v>
      </c>
      <c r="E194" s="3" t="s">
        <v>82</v>
      </c>
      <c r="F194" s="3" t="s">
        <v>146</v>
      </c>
      <c r="G194" s="3" t="s">
        <v>136</v>
      </c>
      <c r="H194" s="3" t="s">
        <v>96</v>
      </c>
      <c r="I194" s="3" t="s">
        <v>170</v>
      </c>
      <c r="J194" s="3" t="s">
        <v>134</v>
      </c>
      <c r="K194" s="3" t="s">
        <v>65</v>
      </c>
      <c r="L194" s="3" t="s">
        <v>138</v>
      </c>
      <c r="M194" s="3" t="s">
        <v>134</v>
      </c>
      <c r="N194" s="3" t="s">
        <v>77</v>
      </c>
      <c r="O194" s="3" t="s">
        <v>135</v>
      </c>
      <c r="P194" s="3" t="s">
        <v>136</v>
      </c>
    </row>
    <row r="195" spans="1:16" x14ac:dyDescent="0.25">
      <c r="A195" s="2">
        <v>194</v>
      </c>
      <c r="B195" s="2" t="s">
        <v>529</v>
      </c>
      <c r="C195" s="3" t="s">
        <v>530</v>
      </c>
      <c r="D195" s="3" t="s">
        <v>55</v>
      </c>
      <c r="E195" s="3" t="s">
        <v>26</v>
      </c>
      <c r="F195" s="3" t="s">
        <v>141</v>
      </c>
      <c r="G195" s="3" t="s">
        <v>134</v>
      </c>
      <c r="H195" s="3" t="s">
        <v>29</v>
      </c>
      <c r="I195" s="3" t="s">
        <v>143</v>
      </c>
      <c r="J195" s="3" t="s">
        <v>136</v>
      </c>
      <c r="K195" s="3" t="s">
        <v>62</v>
      </c>
      <c r="L195" s="3" t="s">
        <v>133</v>
      </c>
      <c r="M195" s="3" t="s">
        <v>134</v>
      </c>
      <c r="N195" s="3" t="s">
        <v>93</v>
      </c>
      <c r="O195" s="3" t="s">
        <v>143</v>
      </c>
      <c r="P195" s="3" t="s">
        <v>136</v>
      </c>
    </row>
    <row r="196" spans="1:16" x14ac:dyDescent="0.25">
      <c r="A196" s="2">
        <v>195</v>
      </c>
      <c r="B196" s="2" t="s">
        <v>531</v>
      </c>
      <c r="C196" s="3" t="s">
        <v>532</v>
      </c>
      <c r="D196" s="3" t="s">
        <v>106</v>
      </c>
      <c r="E196" s="3" t="s">
        <v>25</v>
      </c>
      <c r="F196" s="3" t="s">
        <v>151</v>
      </c>
      <c r="G196" s="3" t="s">
        <v>134</v>
      </c>
      <c r="H196" s="3" t="s">
        <v>35</v>
      </c>
      <c r="I196" s="3" t="s">
        <v>133</v>
      </c>
      <c r="J196" s="3" t="s">
        <v>134</v>
      </c>
      <c r="K196" s="3" t="s">
        <v>34</v>
      </c>
      <c r="L196" s="3" t="s">
        <v>151</v>
      </c>
      <c r="M196" s="3" t="s">
        <v>134</v>
      </c>
      <c r="N196" s="3" t="s">
        <v>84</v>
      </c>
      <c r="O196" s="3" t="s">
        <v>143</v>
      </c>
      <c r="P196" s="3" t="s">
        <v>134</v>
      </c>
    </row>
    <row r="197" spans="1:16" x14ac:dyDescent="0.25">
      <c r="A197" s="2">
        <v>196</v>
      </c>
      <c r="B197" s="2" t="s">
        <v>533</v>
      </c>
      <c r="C197" s="3" t="s">
        <v>534</v>
      </c>
      <c r="D197" s="3" t="s">
        <v>54</v>
      </c>
      <c r="E197" s="3" t="s">
        <v>97</v>
      </c>
      <c r="F197" s="3" t="s">
        <v>151</v>
      </c>
      <c r="G197" s="3" t="s">
        <v>134</v>
      </c>
      <c r="H197" s="3" t="s">
        <v>42</v>
      </c>
      <c r="I197" s="3" t="s">
        <v>170</v>
      </c>
      <c r="J197" s="3" t="s">
        <v>134</v>
      </c>
      <c r="K197" s="3" t="s">
        <v>73</v>
      </c>
      <c r="L197" s="3" t="s">
        <v>146</v>
      </c>
      <c r="M197" s="3" t="s">
        <v>134</v>
      </c>
      <c r="N197" s="3" t="s">
        <v>103</v>
      </c>
      <c r="O197" s="3" t="s">
        <v>137</v>
      </c>
      <c r="P197" s="3" t="s">
        <v>136</v>
      </c>
    </row>
    <row r="198" spans="1:16" x14ac:dyDescent="0.25">
      <c r="A198" s="2">
        <v>197</v>
      </c>
      <c r="B198" s="2" t="s">
        <v>535</v>
      </c>
      <c r="C198" s="3" t="s">
        <v>536</v>
      </c>
      <c r="D198" s="3" t="s">
        <v>44</v>
      </c>
      <c r="E198" s="3" t="s">
        <v>17</v>
      </c>
      <c r="F198" s="3" t="s">
        <v>141</v>
      </c>
      <c r="G198" s="3" t="s">
        <v>134</v>
      </c>
      <c r="H198" s="3" t="s">
        <v>60</v>
      </c>
      <c r="I198" s="3" t="s">
        <v>170</v>
      </c>
      <c r="J198" s="3" t="s">
        <v>134</v>
      </c>
      <c r="K198" s="3" t="s">
        <v>105</v>
      </c>
      <c r="L198" s="3" t="s">
        <v>135</v>
      </c>
      <c r="M198" s="3" t="s">
        <v>136</v>
      </c>
      <c r="N198" s="3" t="s">
        <v>79</v>
      </c>
      <c r="O198" s="3" t="s">
        <v>151</v>
      </c>
      <c r="P198" s="3" t="s">
        <v>134</v>
      </c>
    </row>
    <row r="199" spans="1:16" x14ac:dyDescent="0.25">
      <c r="A199" s="2">
        <v>198</v>
      </c>
      <c r="B199" s="2" t="s">
        <v>537</v>
      </c>
      <c r="C199" s="3" t="s">
        <v>538</v>
      </c>
      <c r="D199" s="3" t="s">
        <v>86</v>
      </c>
      <c r="E199" s="3" t="s">
        <v>113</v>
      </c>
      <c r="F199" s="3" t="s">
        <v>142</v>
      </c>
      <c r="G199" s="3" t="s">
        <v>134</v>
      </c>
      <c r="H199" s="3" t="s">
        <v>110</v>
      </c>
      <c r="I199" s="3" t="s">
        <v>138</v>
      </c>
      <c r="J199" s="3" t="s">
        <v>134</v>
      </c>
      <c r="K199" s="3" t="s">
        <v>99</v>
      </c>
      <c r="L199" s="3" t="s">
        <v>141</v>
      </c>
      <c r="M199" s="3" t="s">
        <v>134</v>
      </c>
      <c r="N199" s="3" t="s">
        <v>25</v>
      </c>
      <c r="O199" s="3" t="s">
        <v>151</v>
      </c>
      <c r="P199" s="3" t="s">
        <v>136</v>
      </c>
    </row>
    <row r="200" spans="1:16" x14ac:dyDescent="0.25">
      <c r="A200" s="2">
        <v>199</v>
      </c>
      <c r="B200" s="2" t="s">
        <v>539</v>
      </c>
      <c r="C200" s="3" t="s">
        <v>540</v>
      </c>
      <c r="D200" s="3" t="s">
        <v>70</v>
      </c>
      <c r="E200" s="3" t="s">
        <v>28</v>
      </c>
      <c r="F200" s="3" t="s">
        <v>138</v>
      </c>
      <c r="G200" s="3" t="s">
        <v>134</v>
      </c>
      <c r="H200" s="3" t="s">
        <v>70</v>
      </c>
      <c r="I200" s="3" t="s">
        <v>151</v>
      </c>
      <c r="J200" s="3" t="s">
        <v>136</v>
      </c>
      <c r="K200" s="3" t="s">
        <v>21</v>
      </c>
      <c r="L200" s="3" t="s">
        <v>137</v>
      </c>
      <c r="M200" s="3" t="s">
        <v>134</v>
      </c>
      <c r="N200" s="3" t="s">
        <v>107</v>
      </c>
      <c r="O200" s="3" t="s">
        <v>133</v>
      </c>
      <c r="P200" s="3" t="s">
        <v>134</v>
      </c>
    </row>
    <row r="201" spans="1:16" x14ac:dyDescent="0.25">
      <c r="A201" s="2">
        <v>200</v>
      </c>
      <c r="B201" s="2" t="s">
        <v>541</v>
      </c>
      <c r="C201" s="3" t="s">
        <v>542</v>
      </c>
      <c r="D201" s="3" t="s">
        <v>70</v>
      </c>
      <c r="E201" s="3" t="s">
        <v>79</v>
      </c>
      <c r="F201" s="3" t="s">
        <v>151</v>
      </c>
      <c r="G201" s="3" t="s">
        <v>134</v>
      </c>
      <c r="H201" s="3" t="s">
        <v>91</v>
      </c>
      <c r="I201" s="3" t="s">
        <v>146</v>
      </c>
      <c r="J201" s="3" t="s">
        <v>134</v>
      </c>
      <c r="K201" s="3" t="s">
        <v>83</v>
      </c>
      <c r="L201" s="3" t="s">
        <v>138</v>
      </c>
      <c r="M201" s="3" t="s">
        <v>134</v>
      </c>
      <c r="N201" s="3" t="s">
        <v>115</v>
      </c>
      <c r="O201" s="3" t="s">
        <v>170</v>
      </c>
      <c r="P201" s="3" t="s">
        <v>134</v>
      </c>
    </row>
    <row r="202" spans="1:16" x14ac:dyDescent="0.25">
      <c r="A202" s="2">
        <v>201</v>
      </c>
      <c r="B202" s="2" t="s">
        <v>543</v>
      </c>
      <c r="C202" s="3" t="s">
        <v>544</v>
      </c>
      <c r="D202" s="3" t="s">
        <v>54</v>
      </c>
      <c r="E202" s="3" t="s">
        <v>40</v>
      </c>
      <c r="F202" s="3" t="s">
        <v>142</v>
      </c>
      <c r="G202" s="3" t="s">
        <v>134</v>
      </c>
      <c r="H202" s="3" t="s">
        <v>84</v>
      </c>
      <c r="I202" s="3" t="s">
        <v>143</v>
      </c>
      <c r="J202" s="3" t="s">
        <v>134</v>
      </c>
      <c r="K202" s="3" t="s">
        <v>101</v>
      </c>
      <c r="L202" s="3" t="s">
        <v>138</v>
      </c>
      <c r="M202" s="3" t="s">
        <v>134</v>
      </c>
      <c r="N202" s="3" t="s">
        <v>66</v>
      </c>
      <c r="O202" s="3" t="s">
        <v>137</v>
      </c>
      <c r="P202" s="3" t="s">
        <v>136</v>
      </c>
    </row>
    <row r="203" spans="1:16" x14ac:dyDescent="0.25">
      <c r="A203" s="2">
        <v>202</v>
      </c>
      <c r="B203" s="2" t="s">
        <v>545</v>
      </c>
      <c r="C203" s="3" t="s">
        <v>546</v>
      </c>
      <c r="D203" s="3" t="s">
        <v>44</v>
      </c>
      <c r="E203" s="3" t="s">
        <v>51</v>
      </c>
      <c r="F203" s="3" t="s">
        <v>170</v>
      </c>
      <c r="G203" s="3" t="s">
        <v>134</v>
      </c>
      <c r="H203" s="3" t="s">
        <v>82</v>
      </c>
      <c r="I203" s="3" t="s">
        <v>146</v>
      </c>
      <c r="J203" s="3" t="s">
        <v>136</v>
      </c>
      <c r="K203" s="3" t="s">
        <v>85</v>
      </c>
      <c r="L203" s="3" t="s">
        <v>137</v>
      </c>
      <c r="M203" s="3" t="s">
        <v>134</v>
      </c>
      <c r="N203" s="3" t="s">
        <v>18</v>
      </c>
      <c r="O203" s="3" t="s">
        <v>146</v>
      </c>
      <c r="P203" s="3" t="s">
        <v>136</v>
      </c>
    </row>
    <row r="204" spans="1:16" x14ac:dyDescent="0.25">
      <c r="A204" s="2">
        <v>203</v>
      </c>
      <c r="B204" s="2" t="s">
        <v>547</v>
      </c>
      <c r="C204" s="3" t="s">
        <v>548</v>
      </c>
      <c r="D204" s="3" t="s">
        <v>32</v>
      </c>
      <c r="E204" s="3" t="s">
        <v>48</v>
      </c>
      <c r="F204" s="3" t="s">
        <v>137</v>
      </c>
      <c r="G204" s="3" t="s">
        <v>136</v>
      </c>
      <c r="H204" s="3" t="s">
        <v>53</v>
      </c>
      <c r="I204" s="3" t="s">
        <v>133</v>
      </c>
      <c r="J204" s="3" t="s">
        <v>136</v>
      </c>
      <c r="K204" s="3" t="s">
        <v>41</v>
      </c>
      <c r="L204" s="3" t="s">
        <v>135</v>
      </c>
      <c r="M204" s="3" t="s">
        <v>134</v>
      </c>
      <c r="N204" s="3" t="s">
        <v>76</v>
      </c>
      <c r="O204" s="3" t="s">
        <v>142</v>
      </c>
      <c r="P204" s="3" t="s">
        <v>134</v>
      </c>
    </row>
    <row r="205" spans="1:16" x14ac:dyDescent="0.25">
      <c r="A205" s="2">
        <v>204</v>
      </c>
      <c r="B205" s="2" t="s">
        <v>549</v>
      </c>
      <c r="C205" s="3" t="s">
        <v>550</v>
      </c>
      <c r="D205" s="3" t="s">
        <v>112</v>
      </c>
      <c r="E205" s="3" t="s">
        <v>103</v>
      </c>
      <c r="F205" s="3" t="s">
        <v>137</v>
      </c>
      <c r="G205" s="3" t="s">
        <v>136</v>
      </c>
      <c r="H205" s="3" t="s">
        <v>45</v>
      </c>
      <c r="I205" s="3" t="s">
        <v>141</v>
      </c>
      <c r="J205" s="3" t="s">
        <v>134</v>
      </c>
      <c r="K205" s="3" t="s">
        <v>71</v>
      </c>
      <c r="L205" s="3" t="s">
        <v>133</v>
      </c>
      <c r="M205" s="3" t="s">
        <v>136</v>
      </c>
      <c r="N205" s="3" t="s">
        <v>68</v>
      </c>
      <c r="O205" s="3" t="s">
        <v>135</v>
      </c>
      <c r="P205" s="3" t="s">
        <v>134</v>
      </c>
    </row>
    <row r="206" spans="1:16" x14ac:dyDescent="0.25">
      <c r="A206" s="2">
        <v>205</v>
      </c>
      <c r="B206" s="2" t="s">
        <v>551</v>
      </c>
      <c r="C206" s="3" t="s">
        <v>552</v>
      </c>
      <c r="D206" s="3" t="s">
        <v>16</v>
      </c>
      <c r="E206" s="3" t="s">
        <v>24</v>
      </c>
      <c r="F206" s="3" t="s">
        <v>170</v>
      </c>
      <c r="G206" s="3" t="s">
        <v>134</v>
      </c>
      <c r="H206" s="3" t="s">
        <v>79</v>
      </c>
      <c r="I206" s="3" t="s">
        <v>151</v>
      </c>
      <c r="J206" s="3" t="s">
        <v>134</v>
      </c>
      <c r="K206" s="3" t="s">
        <v>72</v>
      </c>
      <c r="L206" s="3" t="s">
        <v>141</v>
      </c>
      <c r="M206" s="3" t="s">
        <v>136</v>
      </c>
      <c r="N206" s="3" t="s">
        <v>62</v>
      </c>
      <c r="O206" s="3" t="s">
        <v>133</v>
      </c>
      <c r="P206" s="3" t="s">
        <v>134</v>
      </c>
    </row>
    <row r="207" spans="1:16" x14ac:dyDescent="0.25">
      <c r="A207" s="2">
        <v>206</v>
      </c>
      <c r="B207" s="2" t="s">
        <v>553</v>
      </c>
      <c r="C207" s="3" t="s">
        <v>554</v>
      </c>
      <c r="D207" s="3" t="s">
        <v>99</v>
      </c>
      <c r="E207" s="3" t="s">
        <v>91</v>
      </c>
      <c r="F207" s="3" t="s">
        <v>146</v>
      </c>
      <c r="G207" s="3" t="s">
        <v>136</v>
      </c>
      <c r="H207" s="3" t="s">
        <v>59</v>
      </c>
      <c r="I207" s="3" t="s">
        <v>135</v>
      </c>
      <c r="J207" s="3" t="s">
        <v>136</v>
      </c>
      <c r="K207" s="3" t="s">
        <v>64</v>
      </c>
      <c r="L207" s="3" t="s">
        <v>146</v>
      </c>
      <c r="M207" s="3" t="s">
        <v>136</v>
      </c>
      <c r="N207" s="3" t="s">
        <v>97</v>
      </c>
      <c r="O207" s="3" t="s">
        <v>151</v>
      </c>
      <c r="P207" s="3" t="s">
        <v>134</v>
      </c>
    </row>
    <row r="208" spans="1:16" x14ac:dyDescent="0.25">
      <c r="A208" s="2">
        <v>207</v>
      </c>
      <c r="B208" s="2" t="s">
        <v>555</v>
      </c>
      <c r="C208" s="3" t="s">
        <v>556</v>
      </c>
      <c r="D208" s="3" t="s">
        <v>50</v>
      </c>
      <c r="E208" s="3" t="s">
        <v>22</v>
      </c>
      <c r="F208" s="3" t="s">
        <v>142</v>
      </c>
      <c r="G208" s="3" t="s">
        <v>136</v>
      </c>
      <c r="H208" s="3" t="s">
        <v>98</v>
      </c>
      <c r="I208" s="3" t="s">
        <v>133</v>
      </c>
      <c r="J208" s="3" t="s">
        <v>134</v>
      </c>
      <c r="K208" s="3" t="s">
        <v>52</v>
      </c>
      <c r="L208" s="3" t="s">
        <v>151</v>
      </c>
      <c r="M208" s="3" t="s">
        <v>134</v>
      </c>
      <c r="N208" s="3" t="s">
        <v>106</v>
      </c>
      <c r="O208" s="3" t="s">
        <v>151</v>
      </c>
      <c r="P208" s="3" t="s">
        <v>134</v>
      </c>
    </row>
    <row r="209" spans="1:16" x14ac:dyDescent="0.25">
      <c r="A209" s="2">
        <v>208</v>
      </c>
      <c r="B209" s="2" t="s">
        <v>557</v>
      </c>
      <c r="C209" s="3" t="s">
        <v>558</v>
      </c>
      <c r="D209" s="3" t="s">
        <v>26</v>
      </c>
      <c r="E209" s="3" t="s">
        <v>31</v>
      </c>
      <c r="F209" s="3" t="s">
        <v>142</v>
      </c>
      <c r="G209" s="3" t="s">
        <v>134</v>
      </c>
      <c r="H209" s="3" t="s">
        <v>106</v>
      </c>
      <c r="I209" s="3" t="s">
        <v>151</v>
      </c>
      <c r="J209" s="3" t="s">
        <v>134</v>
      </c>
      <c r="K209" s="3" t="s">
        <v>20</v>
      </c>
      <c r="L209" s="3" t="s">
        <v>143</v>
      </c>
      <c r="M209" s="3" t="s">
        <v>134</v>
      </c>
      <c r="N209" s="3" t="s">
        <v>99</v>
      </c>
      <c r="O209" s="3" t="s">
        <v>141</v>
      </c>
      <c r="P209" s="3" t="s">
        <v>134</v>
      </c>
    </row>
    <row r="210" spans="1:16" x14ac:dyDescent="0.25">
      <c r="A210" s="2">
        <v>209</v>
      </c>
      <c r="B210" s="2" t="s">
        <v>559</v>
      </c>
      <c r="C210" s="3" t="s">
        <v>560</v>
      </c>
      <c r="D210" s="3" t="s">
        <v>39</v>
      </c>
      <c r="E210" s="3" t="s">
        <v>72</v>
      </c>
      <c r="F210" s="3" t="s">
        <v>141</v>
      </c>
      <c r="G210" s="3" t="s">
        <v>134</v>
      </c>
      <c r="H210" s="3" t="s">
        <v>96</v>
      </c>
      <c r="I210" s="3" t="s">
        <v>170</v>
      </c>
      <c r="J210" s="3" t="s">
        <v>134</v>
      </c>
      <c r="K210" s="3" t="s">
        <v>68</v>
      </c>
      <c r="L210" s="3" t="s">
        <v>135</v>
      </c>
      <c r="M210" s="3" t="s">
        <v>134</v>
      </c>
      <c r="N210" s="3" t="s">
        <v>106</v>
      </c>
      <c r="O210" s="3" t="s">
        <v>151</v>
      </c>
      <c r="P210" s="3" t="s">
        <v>136</v>
      </c>
    </row>
    <row r="211" spans="1:16" x14ac:dyDescent="0.25">
      <c r="A211" s="2">
        <v>210</v>
      </c>
      <c r="B211" s="2" t="s">
        <v>561</v>
      </c>
      <c r="C211" s="3" t="s">
        <v>562</v>
      </c>
      <c r="D211" s="3" t="s">
        <v>25</v>
      </c>
      <c r="E211" s="3" t="s">
        <v>68</v>
      </c>
      <c r="F211" s="3" t="s">
        <v>135</v>
      </c>
      <c r="G211" s="3" t="s">
        <v>134</v>
      </c>
      <c r="H211" s="3" t="s">
        <v>96</v>
      </c>
      <c r="I211" s="3" t="s">
        <v>170</v>
      </c>
      <c r="J211" s="3" t="s">
        <v>134</v>
      </c>
      <c r="K211" s="3" t="s">
        <v>107</v>
      </c>
      <c r="L211" s="3" t="s">
        <v>133</v>
      </c>
      <c r="M211" s="3" t="s">
        <v>134</v>
      </c>
      <c r="N211" s="3" t="s">
        <v>70</v>
      </c>
      <c r="O211" s="3" t="s">
        <v>151</v>
      </c>
      <c r="P211" s="3" t="s">
        <v>134</v>
      </c>
    </row>
    <row r="212" spans="1:16" x14ac:dyDescent="0.25">
      <c r="A212" s="2">
        <v>211</v>
      </c>
      <c r="B212" s="2" t="s">
        <v>563</v>
      </c>
      <c r="C212" s="3" t="s">
        <v>564</v>
      </c>
      <c r="D212" s="3" t="s">
        <v>63</v>
      </c>
      <c r="E212" s="3" t="s">
        <v>20</v>
      </c>
      <c r="F212" s="3" t="s">
        <v>143</v>
      </c>
      <c r="G212" s="3" t="s">
        <v>134</v>
      </c>
      <c r="H212" s="3" t="s">
        <v>79</v>
      </c>
      <c r="I212" s="3" t="s">
        <v>151</v>
      </c>
      <c r="J212" s="3" t="s">
        <v>134</v>
      </c>
      <c r="K212" s="3" t="s">
        <v>45</v>
      </c>
      <c r="L212" s="3" t="s">
        <v>141</v>
      </c>
      <c r="M212" s="3" t="s">
        <v>134</v>
      </c>
      <c r="N212" s="3" t="s">
        <v>62</v>
      </c>
      <c r="O212" s="3" t="s">
        <v>133</v>
      </c>
      <c r="P212" s="3" t="s">
        <v>134</v>
      </c>
    </row>
    <row r="213" spans="1:16" x14ac:dyDescent="0.25">
      <c r="A213" s="2">
        <v>212</v>
      </c>
      <c r="B213" s="2" t="s">
        <v>565</v>
      </c>
      <c r="C213" s="3" t="s">
        <v>566</v>
      </c>
      <c r="D213" s="3" t="s">
        <v>41</v>
      </c>
      <c r="E213" s="3" t="s">
        <v>94</v>
      </c>
      <c r="F213" s="3" t="s">
        <v>137</v>
      </c>
      <c r="G213" s="3" t="s">
        <v>134</v>
      </c>
      <c r="H213" s="3" t="s">
        <v>100</v>
      </c>
      <c r="I213" s="3" t="s">
        <v>146</v>
      </c>
      <c r="J213" s="3" t="s">
        <v>134</v>
      </c>
      <c r="K213" s="3" t="s">
        <v>60</v>
      </c>
      <c r="L213" s="3" t="s">
        <v>170</v>
      </c>
      <c r="M213" s="3" t="s">
        <v>134</v>
      </c>
      <c r="N213" s="3" t="s">
        <v>98</v>
      </c>
      <c r="O213" s="3" t="s">
        <v>133</v>
      </c>
      <c r="P213" s="3" t="s">
        <v>134</v>
      </c>
    </row>
    <row r="214" spans="1:16" x14ac:dyDescent="0.25">
      <c r="A214" s="2">
        <v>213</v>
      </c>
      <c r="B214" s="2" t="s">
        <v>567</v>
      </c>
      <c r="C214" s="3" t="s">
        <v>568</v>
      </c>
      <c r="D214" s="3" t="s">
        <v>76</v>
      </c>
      <c r="E214" s="3" t="s">
        <v>91</v>
      </c>
      <c r="F214" s="3" t="s">
        <v>146</v>
      </c>
      <c r="G214" s="3" t="s">
        <v>134</v>
      </c>
      <c r="H214" s="3" t="s">
        <v>34</v>
      </c>
      <c r="I214" s="3" t="s">
        <v>151</v>
      </c>
      <c r="J214" s="3" t="s">
        <v>134</v>
      </c>
      <c r="K214" s="3" t="s">
        <v>111</v>
      </c>
      <c r="L214" s="3" t="s">
        <v>143</v>
      </c>
      <c r="M214" s="3" t="s">
        <v>134</v>
      </c>
      <c r="N214" s="3" t="s">
        <v>99</v>
      </c>
      <c r="O214" s="3" t="s">
        <v>141</v>
      </c>
      <c r="P214" s="3" t="s">
        <v>134</v>
      </c>
    </row>
    <row r="215" spans="1:16" x14ac:dyDescent="0.25">
      <c r="A215" s="2">
        <v>214</v>
      </c>
      <c r="B215" s="2" t="s">
        <v>569</v>
      </c>
      <c r="C215" s="3" t="s">
        <v>570</v>
      </c>
      <c r="D215" s="3" t="s">
        <v>83</v>
      </c>
      <c r="E215" s="3" t="s">
        <v>51</v>
      </c>
      <c r="F215" s="3" t="s">
        <v>170</v>
      </c>
      <c r="G215" s="3" t="s">
        <v>134</v>
      </c>
      <c r="H215" s="3" t="s">
        <v>85</v>
      </c>
      <c r="I215" s="3" t="s">
        <v>137</v>
      </c>
      <c r="J215" s="3" t="s">
        <v>134</v>
      </c>
      <c r="K215" s="3" t="s">
        <v>111</v>
      </c>
      <c r="L215" s="3" t="s">
        <v>143</v>
      </c>
      <c r="M215" s="3" t="s">
        <v>134</v>
      </c>
      <c r="N215" s="3" t="s">
        <v>105</v>
      </c>
      <c r="O215" s="3" t="s">
        <v>135</v>
      </c>
      <c r="P215" s="3" t="s">
        <v>134</v>
      </c>
    </row>
    <row r="216" spans="1:16" x14ac:dyDescent="0.25">
      <c r="A216" s="2">
        <v>215</v>
      </c>
      <c r="B216" s="2" t="s">
        <v>571</v>
      </c>
      <c r="C216" s="3" t="s">
        <v>572</v>
      </c>
      <c r="D216" s="3" t="s">
        <v>95</v>
      </c>
      <c r="E216" s="3" t="s">
        <v>63</v>
      </c>
      <c r="F216" s="3" t="s">
        <v>141</v>
      </c>
      <c r="G216" s="3" t="s">
        <v>134</v>
      </c>
      <c r="H216" s="3" t="s">
        <v>97</v>
      </c>
      <c r="I216" s="3" t="s">
        <v>151</v>
      </c>
      <c r="J216" s="3" t="s">
        <v>136</v>
      </c>
      <c r="K216" s="3" t="s">
        <v>60</v>
      </c>
      <c r="L216" s="3" t="s">
        <v>170</v>
      </c>
      <c r="M216" s="3" t="s">
        <v>134</v>
      </c>
      <c r="N216" s="3" t="s">
        <v>96</v>
      </c>
      <c r="O216" s="3" t="s">
        <v>170</v>
      </c>
      <c r="P216" s="3" t="s">
        <v>134</v>
      </c>
    </row>
    <row r="217" spans="1:16" x14ac:dyDescent="0.25">
      <c r="A217" s="2">
        <v>216</v>
      </c>
      <c r="B217" s="2" t="s">
        <v>573</v>
      </c>
      <c r="C217" s="3" t="s">
        <v>574</v>
      </c>
      <c r="D217" s="3" t="s">
        <v>38</v>
      </c>
      <c r="E217" s="3" t="s">
        <v>106</v>
      </c>
      <c r="F217" s="3" t="s">
        <v>151</v>
      </c>
      <c r="G217" s="3" t="s">
        <v>134</v>
      </c>
      <c r="H217" s="3" t="s">
        <v>94</v>
      </c>
      <c r="I217" s="3" t="s">
        <v>137</v>
      </c>
      <c r="J217" s="3" t="s">
        <v>134</v>
      </c>
      <c r="K217" s="3" t="s">
        <v>96</v>
      </c>
      <c r="L217" s="3" t="s">
        <v>170</v>
      </c>
      <c r="M217" s="3" t="s">
        <v>136</v>
      </c>
      <c r="N217" s="3" t="s">
        <v>111</v>
      </c>
      <c r="O217" s="3" t="s">
        <v>143</v>
      </c>
      <c r="P217" s="3" t="s">
        <v>134</v>
      </c>
    </row>
    <row r="218" spans="1:16" x14ac:dyDescent="0.25">
      <c r="A218" s="2">
        <v>217</v>
      </c>
      <c r="B218" s="2" t="s">
        <v>575</v>
      </c>
      <c r="C218" s="3" t="s">
        <v>576</v>
      </c>
      <c r="D218" s="3" t="s">
        <v>37</v>
      </c>
      <c r="E218" s="3" t="s">
        <v>37</v>
      </c>
      <c r="F218" s="3" t="s">
        <v>138</v>
      </c>
      <c r="G218" s="3" t="s">
        <v>134</v>
      </c>
      <c r="H218" s="3" t="s">
        <v>93</v>
      </c>
      <c r="I218" s="3" t="s">
        <v>143</v>
      </c>
      <c r="J218" s="3" t="s">
        <v>134</v>
      </c>
      <c r="K218" s="3" t="s">
        <v>45</v>
      </c>
      <c r="L218" s="3" t="s">
        <v>141</v>
      </c>
      <c r="M218" s="3" t="s">
        <v>134</v>
      </c>
      <c r="N218" s="3" t="s">
        <v>113</v>
      </c>
      <c r="O218" s="3" t="s">
        <v>142</v>
      </c>
      <c r="P218" s="3" t="s">
        <v>134</v>
      </c>
    </row>
    <row r="219" spans="1:16" x14ac:dyDescent="0.25">
      <c r="A219" s="2">
        <v>218</v>
      </c>
      <c r="B219" s="2" t="s">
        <v>577</v>
      </c>
      <c r="C219" s="3" t="s">
        <v>578</v>
      </c>
      <c r="D219" s="3" t="s">
        <v>73</v>
      </c>
      <c r="E219" s="3" t="s">
        <v>111</v>
      </c>
      <c r="F219" s="3" t="s">
        <v>143</v>
      </c>
      <c r="G219" s="3" t="s">
        <v>134</v>
      </c>
      <c r="H219" s="3" t="s">
        <v>18</v>
      </c>
      <c r="I219" s="3" t="s">
        <v>146</v>
      </c>
      <c r="J219" s="3" t="s">
        <v>134</v>
      </c>
      <c r="K219" s="3" t="s">
        <v>100</v>
      </c>
      <c r="L219" s="3" t="s">
        <v>146</v>
      </c>
      <c r="M219" s="3" t="s">
        <v>134</v>
      </c>
      <c r="N219" s="3" t="s">
        <v>22</v>
      </c>
      <c r="O219" s="3" t="s">
        <v>142</v>
      </c>
      <c r="P219" s="3" t="s">
        <v>134</v>
      </c>
    </row>
    <row r="220" spans="1:16" x14ac:dyDescent="0.25">
      <c r="A220" s="2">
        <v>219</v>
      </c>
      <c r="B220" s="2" t="s">
        <v>579</v>
      </c>
      <c r="C220" s="3" t="s">
        <v>580</v>
      </c>
      <c r="D220" s="3" t="s">
        <v>107</v>
      </c>
      <c r="E220" s="3" t="s">
        <v>38</v>
      </c>
      <c r="F220" s="3" t="s">
        <v>143</v>
      </c>
      <c r="G220" s="3" t="s">
        <v>134</v>
      </c>
      <c r="H220" s="3" t="s">
        <v>108</v>
      </c>
      <c r="I220" s="3" t="s">
        <v>141</v>
      </c>
      <c r="J220" s="3" t="s">
        <v>134</v>
      </c>
      <c r="K220" s="3" t="s">
        <v>56</v>
      </c>
      <c r="L220" s="3" t="s">
        <v>143</v>
      </c>
      <c r="M220" s="3" t="s">
        <v>134</v>
      </c>
      <c r="N220" s="3" t="s">
        <v>16</v>
      </c>
      <c r="O220" s="3" t="s">
        <v>133</v>
      </c>
      <c r="P220" s="3" t="s">
        <v>134</v>
      </c>
    </row>
    <row r="221" spans="1:16" x14ac:dyDescent="0.25">
      <c r="A221" s="2">
        <v>220</v>
      </c>
      <c r="B221" s="2" t="s">
        <v>581</v>
      </c>
      <c r="C221" s="3" t="s">
        <v>582</v>
      </c>
      <c r="D221" s="3" t="s">
        <v>42</v>
      </c>
      <c r="E221" s="3" t="s">
        <v>37</v>
      </c>
      <c r="F221" s="3" t="s">
        <v>138</v>
      </c>
      <c r="G221" s="3" t="s">
        <v>136</v>
      </c>
      <c r="H221" s="3" t="s">
        <v>113</v>
      </c>
      <c r="I221" s="3" t="s">
        <v>142</v>
      </c>
      <c r="J221" s="3" t="s">
        <v>134</v>
      </c>
      <c r="K221" s="3" t="s">
        <v>58</v>
      </c>
      <c r="L221" s="3" t="s">
        <v>142</v>
      </c>
      <c r="M221" s="3" t="s">
        <v>134</v>
      </c>
      <c r="N221" s="3" t="s">
        <v>16</v>
      </c>
      <c r="O221" s="3" t="s">
        <v>133</v>
      </c>
      <c r="P221" s="3" t="s">
        <v>134</v>
      </c>
    </row>
    <row r="222" spans="1:16" x14ac:dyDescent="0.25">
      <c r="A222" s="2">
        <v>221</v>
      </c>
      <c r="B222" s="2" t="s">
        <v>583</v>
      </c>
      <c r="C222" s="3" t="s">
        <v>584</v>
      </c>
      <c r="D222" s="3" t="s">
        <v>60</v>
      </c>
      <c r="E222" s="3" t="s">
        <v>30</v>
      </c>
      <c r="F222" s="3" t="s">
        <v>137</v>
      </c>
      <c r="G222" s="3" t="s">
        <v>134</v>
      </c>
      <c r="H222" s="3" t="s">
        <v>42</v>
      </c>
      <c r="I222" s="3" t="s">
        <v>170</v>
      </c>
      <c r="J222" s="3" t="s">
        <v>134</v>
      </c>
      <c r="K222" s="3" t="s">
        <v>35</v>
      </c>
      <c r="L222" s="3" t="s">
        <v>133</v>
      </c>
      <c r="M222" s="3" t="s">
        <v>134</v>
      </c>
      <c r="N222" s="3" t="s">
        <v>50</v>
      </c>
      <c r="O222" s="3" t="s">
        <v>135</v>
      </c>
      <c r="P222" s="3" t="s">
        <v>134</v>
      </c>
    </row>
    <row r="223" spans="1:16" x14ac:dyDescent="0.25">
      <c r="A223" s="2">
        <v>222</v>
      </c>
      <c r="B223" s="2" t="s">
        <v>585</v>
      </c>
      <c r="C223" s="3" t="s">
        <v>586</v>
      </c>
      <c r="D223" s="3" t="s">
        <v>34</v>
      </c>
      <c r="E223" s="3" t="s">
        <v>59</v>
      </c>
      <c r="F223" s="3" t="s">
        <v>135</v>
      </c>
      <c r="G223" s="3" t="s">
        <v>134</v>
      </c>
      <c r="H223" s="3" t="s">
        <v>70</v>
      </c>
      <c r="I223" s="3" t="s">
        <v>151</v>
      </c>
      <c r="J223" s="3" t="s">
        <v>134</v>
      </c>
      <c r="K223" s="3" t="s">
        <v>85</v>
      </c>
      <c r="L223" s="3" t="s">
        <v>137</v>
      </c>
      <c r="M223" s="3" t="s">
        <v>136</v>
      </c>
      <c r="N223" s="3" t="s">
        <v>80</v>
      </c>
      <c r="O223" s="3" t="s">
        <v>133</v>
      </c>
      <c r="P223" s="3" t="s">
        <v>136</v>
      </c>
    </row>
    <row r="224" spans="1:16" x14ac:dyDescent="0.25">
      <c r="A224" s="2">
        <v>223</v>
      </c>
      <c r="B224" s="2" t="s">
        <v>587</v>
      </c>
      <c r="C224" s="3" t="s">
        <v>588</v>
      </c>
      <c r="D224" s="3" t="s">
        <v>94</v>
      </c>
      <c r="E224" s="3" t="s">
        <v>49</v>
      </c>
      <c r="F224" s="3" t="s">
        <v>142</v>
      </c>
      <c r="G224" s="3" t="s">
        <v>589</v>
      </c>
      <c r="H224" s="3" t="s">
        <v>82</v>
      </c>
      <c r="I224" s="3" t="s">
        <v>146</v>
      </c>
      <c r="J224" s="3" t="s">
        <v>589</v>
      </c>
      <c r="K224" s="3" t="s">
        <v>68</v>
      </c>
      <c r="L224" s="3" t="s">
        <v>135</v>
      </c>
      <c r="M224" s="3" t="s">
        <v>589</v>
      </c>
      <c r="N224" s="3" t="s">
        <v>20</v>
      </c>
      <c r="O224" s="3" t="s">
        <v>143</v>
      </c>
      <c r="P224" s="3" t="s">
        <v>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selection activeCell="B2" sqref="B2:B11"/>
    </sheetView>
  </sheetViews>
  <sheetFormatPr defaultRowHeight="15" x14ac:dyDescent="0.25"/>
  <cols>
    <col min="1" max="2" width="12" customWidth="1"/>
    <col min="3" max="3" width="14" customWidth="1"/>
    <col min="4" max="4" width="18" customWidth="1"/>
    <col min="5" max="7" width="14" customWidth="1"/>
    <col min="8" max="8" width="19" customWidth="1"/>
    <col min="9" max="9" width="17" customWidth="1"/>
    <col min="10" max="10" width="31" customWidth="1"/>
  </cols>
  <sheetData>
    <row r="1" spans="1:10" x14ac:dyDescent="0.25">
      <c r="A1" s="1" t="s">
        <v>622</v>
      </c>
      <c r="B1" s="1" t="s">
        <v>623</v>
      </c>
      <c r="C1" s="1" t="s">
        <v>624</v>
      </c>
      <c r="D1" s="1" t="s">
        <v>625</v>
      </c>
      <c r="E1" s="1" t="s">
        <v>626</v>
      </c>
      <c r="F1" s="1" t="s">
        <v>627</v>
      </c>
      <c r="G1" s="1" t="s">
        <v>628</v>
      </c>
      <c r="H1" s="1" t="s">
        <v>629</v>
      </c>
      <c r="I1" s="1" t="s">
        <v>630</v>
      </c>
      <c r="J1" s="1" t="s">
        <v>631</v>
      </c>
    </row>
    <row r="2" spans="1:10" x14ac:dyDescent="0.25">
      <c r="A2" s="2" t="s">
        <v>632</v>
      </c>
      <c r="B2" s="2" t="s">
        <v>73</v>
      </c>
      <c r="C2" s="3">
        <v>2</v>
      </c>
      <c r="D2" s="3" t="s">
        <v>633</v>
      </c>
      <c r="E2" s="3">
        <v>1</v>
      </c>
      <c r="F2" s="3">
        <v>1</v>
      </c>
      <c r="G2" s="3">
        <v>1</v>
      </c>
      <c r="H2" s="3">
        <v>5</v>
      </c>
      <c r="I2" s="3" t="s">
        <v>634</v>
      </c>
      <c r="J2" s="3">
        <v>26.5</v>
      </c>
    </row>
    <row r="3" spans="1:10" x14ac:dyDescent="0.25">
      <c r="A3" s="2" t="s">
        <v>635</v>
      </c>
      <c r="B3" s="2" t="s">
        <v>99</v>
      </c>
      <c r="C3" s="3">
        <v>1</v>
      </c>
      <c r="D3" s="3" t="s">
        <v>633</v>
      </c>
      <c r="E3" s="3">
        <v>1</v>
      </c>
      <c r="F3" s="3">
        <v>2</v>
      </c>
      <c r="G3" s="3">
        <v>4</v>
      </c>
      <c r="H3" s="3">
        <v>17</v>
      </c>
      <c r="I3" s="3" t="s">
        <v>634</v>
      </c>
      <c r="J3" s="3">
        <v>22.5</v>
      </c>
    </row>
    <row r="4" spans="1:10" x14ac:dyDescent="0.25">
      <c r="A4" s="2" t="s">
        <v>636</v>
      </c>
      <c r="B4" s="2" t="s">
        <v>95</v>
      </c>
      <c r="C4" s="3">
        <v>6</v>
      </c>
      <c r="D4" s="3" t="s">
        <v>633</v>
      </c>
      <c r="E4" s="3">
        <v>1</v>
      </c>
      <c r="F4" s="3">
        <v>2</v>
      </c>
      <c r="G4" s="3">
        <v>2</v>
      </c>
      <c r="H4" s="3">
        <v>8</v>
      </c>
      <c r="I4" s="3" t="s">
        <v>634</v>
      </c>
      <c r="J4" s="3">
        <v>20.5</v>
      </c>
    </row>
    <row r="5" spans="1:10" x14ac:dyDescent="0.25">
      <c r="A5" s="2" t="s">
        <v>637</v>
      </c>
      <c r="B5" s="2" t="s">
        <v>32</v>
      </c>
      <c r="C5" s="3">
        <v>7</v>
      </c>
      <c r="D5" s="3" t="s">
        <v>633</v>
      </c>
      <c r="E5" s="3">
        <v>1</v>
      </c>
      <c r="F5" s="3">
        <v>2</v>
      </c>
      <c r="G5" s="3">
        <v>2</v>
      </c>
      <c r="H5" s="3">
        <v>20</v>
      </c>
      <c r="I5" s="3" t="s">
        <v>634</v>
      </c>
      <c r="J5" s="3">
        <v>20.5</v>
      </c>
    </row>
    <row r="6" spans="1:10" x14ac:dyDescent="0.25">
      <c r="A6" s="2" t="s">
        <v>638</v>
      </c>
      <c r="B6" s="2" t="s">
        <v>63</v>
      </c>
      <c r="C6" s="3">
        <v>1</v>
      </c>
      <c r="D6" s="3" t="s">
        <v>633</v>
      </c>
      <c r="E6" s="3">
        <v>1</v>
      </c>
      <c r="F6" s="3">
        <v>2</v>
      </c>
      <c r="G6" s="3">
        <v>2</v>
      </c>
      <c r="H6" s="3">
        <v>12</v>
      </c>
      <c r="I6" s="3" t="s">
        <v>634</v>
      </c>
      <c r="J6" s="3">
        <v>20.5</v>
      </c>
    </row>
    <row r="7" spans="1:10" x14ac:dyDescent="0.25">
      <c r="A7" s="2" t="s">
        <v>639</v>
      </c>
      <c r="B7" s="2" t="s">
        <v>76</v>
      </c>
      <c r="C7" s="3">
        <v>6</v>
      </c>
      <c r="D7" s="3" t="s">
        <v>633</v>
      </c>
      <c r="E7" s="3">
        <v>1</v>
      </c>
      <c r="F7" s="3">
        <v>2</v>
      </c>
      <c r="G7" s="3">
        <v>2</v>
      </c>
      <c r="H7" s="3">
        <v>10</v>
      </c>
      <c r="I7" s="3" t="s">
        <v>634</v>
      </c>
      <c r="J7" s="3">
        <v>20.5</v>
      </c>
    </row>
    <row r="8" spans="1:10" x14ac:dyDescent="0.25">
      <c r="A8" s="2" t="s">
        <v>640</v>
      </c>
      <c r="B8" s="2" t="s">
        <v>54</v>
      </c>
      <c r="C8" s="3">
        <v>1</v>
      </c>
      <c r="D8" s="3" t="s">
        <v>633</v>
      </c>
      <c r="E8" s="3">
        <v>2</v>
      </c>
      <c r="F8" s="3">
        <v>2</v>
      </c>
      <c r="G8" s="3">
        <v>2</v>
      </c>
      <c r="H8" s="3">
        <v>22</v>
      </c>
      <c r="I8" s="3" t="s">
        <v>634</v>
      </c>
      <c r="J8" s="3">
        <v>19</v>
      </c>
    </row>
    <row r="9" spans="1:10" x14ac:dyDescent="0.25">
      <c r="A9" s="2" t="s">
        <v>641</v>
      </c>
      <c r="B9" s="2" t="s">
        <v>26</v>
      </c>
      <c r="C9" s="3">
        <v>1</v>
      </c>
      <c r="D9" s="3" t="s">
        <v>633</v>
      </c>
      <c r="E9" s="3">
        <v>1</v>
      </c>
      <c r="F9" s="3">
        <v>1</v>
      </c>
      <c r="G9" s="3">
        <v>1</v>
      </c>
      <c r="H9" s="3">
        <v>15</v>
      </c>
      <c r="I9" s="3" t="s">
        <v>634</v>
      </c>
      <c r="J9" s="3">
        <v>17.5</v>
      </c>
    </row>
    <row r="10" spans="1:10" x14ac:dyDescent="0.25">
      <c r="A10" s="2" t="s">
        <v>642</v>
      </c>
      <c r="B10" s="2" t="s">
        <v>50</v>
      </c>
      <c r="C10" s="3">
        <v>7</v>
      </c>
      <c r="D10" s="3" t="s">
        <v>633</v>
      </c>
      <c r="E10" s="3">
        <v>1</v>
      </c>
      <c r="F10" s="3">
        <v>1</v>
      </c>
      <c r="G10" s="3">
        <v>1</v>
      </c>
      <c r="H10" s="3">
        <v>16</v>
      </c>
      <c r="I10" s="3" t="s">
        <v>634</v>
      </c>
      <c r="J10" s="3">
        <v>17.5</v>
      </c>
    </row>
    <row r="11" spans="1:10" x14ac:dyDescent="0.25">
      <c r="A11" s="2" t="s">
        <v>643</v>
      </c>
      <c r="B11" s="2" t="s">
        <v>41</v>
      </c>
      <c r="C11" s="3">
        <v>7</v>
      </c>
      <c r="D11" s="3" t="s">
        <v>633</v>
      </c>
      <c r="E11" s="3">
        <v>1</v>
      </c>
      <c r="F11" s="3">
        <v>1</v>
      </c>
      <c r="G11" s="3">
        <v>1</v>
      </c>
      <c r="H11" s="3">
        <v>11</v>
      </c>
      <c r="I11" s="3" t="s">
        <v>634</v>
      </c>
      <c r="J11" s="3">
        <v>17.5</v>
      </c>
    </row>
    <row r="12" spans="1:10" x14ac:dyDescent="0.25">
      <c r="A12" s="2" t="s">
        <v>644</v>
      </c>
      <c r="B12" s="2" t="s">
        <v>55</v>
      </c>
      <c r="C12" s="3">
        <v>2</v>
      </c>
      <c r="D12" s="3" t="s">
        <v>633</v>
      </c>
      <c r="E12" s="3">
        <v>1</v>
      </c>
      <c r="F12" s="3">
        <v>2</v>
      </c>
      <c r="G12" s="3">
        <v>3</v>
      </c>
      <c r="H12" s="3">
        <v>29</v>
      </c>
      <c r="I12" s="3" t="s">
        <v>645</v>
      </c>
      <c r="J12" s="3">
        <v>16.5</v>
      </c>
    </row>
    <row r="13" spans="1:10" x14ac:dyDescent="0.25">
      <c r="A13" s="2" t="s">
        <v>646</v>
      </c>
      <c r="B13" s="2" t="s">
        <v>86</v>
      </c>
      <c r="C13" s="3">
        <v>7</v>
      </c>
      <c r="D13" s="3" t="s">
        <v>633</v>
      </c>
      <c r="E13" s="3">
        <v>1</v>
      </c>
      <c r="F13" s="3">
        <v>1</v>
      </c>
      <c r="G13" s="3">
        <v>1</v>
      </c>
      <c r="H13" s="3">
        <v>25</v>
      </c>
      <c r="I13" s="3" t="s">
        <v>634</v>
      </c>
      <c r="J13" s="3">
        <v>12.5</v>
      </c>
    </row>
    <row r="14" spans="1:10" x14ac:dyDescent="0.25">
      <c r="A14" s="2" t="s">
        <v>647</v>
      </c>
      <c r="B14" s="2" t="s">
        <v>81</v>
      </c>
      <c r="C14" s="3">
        <v>1</v>
      </c>
      <c r="D14" s="3" t="s">
        <v>633</v>
      </c>
      <c r="E14" s="3">
        <v>0</v>
      </c>
      <c r="F14" s="3">
        <v>1</v>
      </c>
      <c r="G14" s="3">
        <v>2</v>
      </c>
      <c r="H14" s="3">
        <v>43</v>
      </c>
      <c r="I14" s="3" t="s">
        <v>645</v>
      </c>
      <c r="J14" s="3">
        <v>10</v>
      </c>
    </row>
    <row r="15" spans="1:10" x14ac:dyDescent="0.25">
      <c r="A15" s="2" t="s">
        <v>648</v>
      </c>
      <c r="B15" s="2" t="s">
        <v>105</v>
      </c>
      <c r="C15" s="3">
        <v>7</v>
      </c>
      <c r="D15" s="3" t="s">
        <v>633</v>
      </c>
      <c r="E15" s="3">
        <v>0</v>
      </c>
      <c r="F15" s="3">
        <v>1</v>
      </c>
      <c r="G15" s="3">
        <v>2</v>
      </c>
      <c r="H15" s="3">
        <v>38</v>
      </c>
      <c r="I15" s="3" t="s">
        <v>645</v>
      </c>
      <c r="J15" s="3">
        <v>10</v>
      </c>
    </row>
    <row r="16" spans="1:10" x14ac:dyDescent="0.25">
      <c r="A16" s="2" t="s">
        <v>649</v>
      </c>
      <c r="B16" s="2" t="s">
        <v>67</v>
      </c>
      <c r="C16" s="3">
        <v>6</v>
      </c>
      <c r="D16" s="3" t="s">
        <v>633</v>
      </c>
      <c r="E16" s="3">
        <v>0</v>
      </c>
      <c r="F16" s="3">
        <v>1</v>
      </c>
      <c r="G16" s="3">
        <v>2</v>
      </c>
      <c r="H16" s="3">
        <v>52</v>
      </c>
      <c r="I16" s="3" t="s">
        <v>645</v>
      </c>
      <c r="J16" s="3">
        <v>10</v>
      </c>
    </row>
    <row r="17" spans="1:10" x14ac:dyDescent="0.25">
      <c r="A17" s="2" t="s">
        <v>650</v>
      </c>
      <c r="B17" s="2" t="s">
        <v>58</v>
      </c>
      <c r="C17" s="3">
        <v>6</v>
      </c>
      <c r="D17" s="3" t="s">
        <v>633</v>
      </c>
      <c r="E17" s="3">
        <v>0</v>
      </c>
      <c r="F17" s="3">
        <v>1</v>
      </c>
      <c r="G17" s="3">
        <v>2</v>
      </c>
      <c r="H17" s="3">
        <v>47</v>
      </c>
      <c r="I17" s="3" t="s">
        <v>645</v>
      </c>
      <c r="J17" s="3">
        <v>10</v>
      </c>
    </row>
    <row r="18" spans="1:10" x14ac:dyDescent="0.25">
      <c r="A18" s="2" t="s">
        <v>651</v>
      </c>
      <c r="B18" s="2" t="s">
        <v>100</v>
      </c>
      <c r="C18" s="3">
        <v>2</v>
      </c>
      <c r="D18" s="3" t="s">
        <v>633</v>
      </c>
      <c r="E18" s="3">
        <v>0</v>
      </c>
      <c r="F18" s="3">
        <v>1</v>
      </c>
      <c r="G18" s="3">
        <v>2</v>
      </c>
      <c r="H18" s="3">
        <v>60</v>
      </c>
      <c r="I18" s="3" t="s">
        <v>645</v>
      </c>
      <c r="J18" s="3">
        <v>10</v>
      </c>
    </row>
    <row r="19" spans="1:10" x14ac:dyDescent="0.25">
      <c r="A19" s="2" t="s">
        <v>652</v>
      </c>
      <c r="B19" s="2" t="s">
        <v>17</v>
      </c>
      <c r="C19" s="3">
        <v>1</v>
      </c>
      <c r="D19" s="3" t="s">
        <v>633</v>
      </c>
      <c r="E19" s="3">
        <v>0</v>
      </c>
      <c r="F19" s="3">
        <v>1</v>
      </c>
      <c r="G19" s="3">
        <v>1</v>
      </c>
      <c r="H19" s="3">
        <v>35</v>
      </c>
      <c r="I19" s="3" t="s">
        <v>645</v>
      </c>
      <c r="J19" s="3">
        <v>9</v>
      </c>
    </row>
    <row r="20" spans="1:10" x14ac:dyDescent="0.25">
      <c r="A20" s="2" t="s">
        <v>653</v>
      </c>
      <c r="B20" s="2" t="s">
        <v>68</v>
      </c>
      <c r="C20" s="3">
        <v>7</v>
      </c>
      <c r="D20" s="3" t="s">
        <v>633</v>
      </c>
      <c r="E20" s="3">
        <v>0</v>
      </c>
      <c r="F20" s="3">
        <v>1</v>
      </c>
      <c r="G20" s="3">
        <v>1</v>
      </c>
      <c r="H20" s="3">
        <v>48</v>
      </c>
      <c r="I20" s="3" t="s">
        <v>645</v>
      </c>
      <c r="J20" s="3">
        <v>9</v>
      </c>
    </row>
    <row r="21" spans="1:10" x14ac:dyDescent="0.25">
      <c r="A21" s="2" t="s">
        <v>654</v>
      </c>
      <c r="B21" s="2" t="s">
        <v>113</v>
      </c>
      <c r="C21" s="3">
        <v>6</v>
      </c>
      <c r="D21" s="3" t="s">
        <v>633</v>
      </c>
      <c r="E21" s="3">
        <v>0</v>
      </c>
      <c r="F21" s="3">
        <v>1</v>
      </c>
      <c r="G21" s="3">
        <v>1</v>
      </c>
      <c r="H21" s="3">
        <v>40</v>
      </c>
      <c r="I21" s="3" t="s">
        <v>645</v>
      </c>
      <c r="J21" s="3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9"/>
  <sheetViews>
    <sheetView workbookViewId="0">
      <selection activeCell="K13" sqref="K13"/>
    </sheetView>
  </sheetViews>
  <sheetFormatPr defaultRowHeight="15" x14ac:dyDescent="0.25"/>
  <cols>
    <col min="1" max="1" width="11.5703125" customWidth="1"/>
    <col min="2" max="10" width="12.140625" customWidth="1"/>
    <col min="11" max="11" width="14.7109375" customWidth="1"/>
    <col min="12" max="14" width="12.140625" customWidth="1"/>
    <col min="15" max="15" width="14.42578125" customWidth="1"/>
    <col min="16" max="17" width="12.140625" customWidth="1"/>
    <col min="18" max="18" width="43.85546875" customWidth="1"/>
  </cols>
  <sheetData>
    <row r="1" spans="1:18" ht="63" customHeight="1" x14ac:dyDescent="0.25">
      <c r="A1" s="1" t="s">
        <v>655</v>
      </c>
      <c r="B1" s="1" t="s">
        <v>656</v>
      </c>
      <c r="C1" s="1" t="s">
        <v>657</v>
      </c>
      <c r="D1" s="1" t="s">
        <v>658</v>
      </c>
      <c r="E1" s="1" t="s">
        <v>659</v>
      </c>
      <c r="F1" s="1" t="s">
        <v>660</v>
      </c>
      <c r="G1" s="1" t="s">
        <v>661</v>
      </c>
      <c r="H1" s="1" t="s">
        <v>662</v>
      </c>
      <c r="I1" s="1" t="s">
        <v>663</v>
      </c>
      <c r="J1" s="1" t="s">
        <v>664</v>
      </c>
      <c r="K1" s="1" t="s">
        <v>665</v>
      </c>
      <c r="L1" s="1" t="s">
        <v>666</v>
      </c>
      <c r="M1" s="1" t="s">
        <v>667</v>
      </c>
      <c r="N1" s="1" t="s">
        <v>668</v>
      </c>
      <c r="O1" s="1" t="s">
        <v>669</v>
      </c>
      <c r="P1" s="1" t="s">
        <v>670</v>
      </c>
      <c r="Q1" s="1" t="s">
        <v>671</v>
      </c>
      <c r="R1" s="1" t="s">
        <v>672</v>
      </c>
    </row>
    <row r="2" spans="1:18" ht="35.25" customHeight="1" x14ac:dyDescent="0.25">
      <c r="A2" s="2" t="s">
        <v>673</v>
      </c>
      <c r="B2" s="2" t="s">
        <v>674</v>
      </c>
      <c r="C2" s="3" t="s">
        <v>675</v>
      </c>
      <c r="D2" s="3" t="s">
        <v>676</v>
      </c>
      <c r="E2" s="3" t="s">
        <v>677</v>
      </c>
      <c r="F2" s="3" t="s">
        <v>678</v>
      </c>
      <c r="G2" s="3" t="s">
        <v>679</v>
      </c>
      <c r="H2" s="3" t="s">
        <v>676</v>
      </c>
      <c r="I2" s="3" t="s">
        <v>677</v>
      </c>
      <c r="J2" s="3" t="s">
        <v>675</v>
      </c>
      <c r="K2" s="3" t="s">
        <v>680</v>
      </c>
      <c r="L2" s="3" t="s">
        <v>678</v>
      </c>
      <c r="M2" s="3" t="s">
        <v>679</v>
      </c>
      <c r="N2" s="3" t="s">
        <v>676</v>
      </c>
      <c r="O2" s="3" t="s">
        <v>681</v>
      </c>
      <c r="P2" s="3" t="s">
        <v>682</v>
      </c>
      <c r="Q2" s="3" t="s">
        <v>683</v>
      </c>
      <c r="R2" s="3" t="s">
        <v>684</v>
      </c>
    </row>
    <row r="3" spans="1:18" ht="35.25" customHeight="1" x14ac:dyDescent="0.25">
      <c r="A3" s="2" t="s">
        <v>685</v>
      </c>
      <c r="B3" s="2" t="s">
        <v>674</v>
      </c>
      <c r="C3" s="3" t="s">
        <v>686</v>
      </c>
      <c r="D3" s="3" t="s">
        <v>679</v>
      </c>
      <c r="E3" s="3" t="s">
        <v>679</v>
      </c>
      <c r="F3" s="3" t="s">
        <v>675</v>
      </c>
      <c r="G3" s="3" t="s">
        <v>687</v>
      </c>
      <c r="H3" s="3" t="s">
        <v>688</v>
      </c>
      <c r="I3" s="3" t="s">
        <v>678</v>
      </c>
      <c r="J3" s="3" t="s">
        <v>676</v>
      </c>
      <c r="K3" s="3" t="s">
        <v>687</v>
      </c>
      <c r="L3" s="3" t="s">
        <v>675</v>
      </c>
      <c r="M3" s="3" t="s">
        <v>675</v>
      </c>
      <c r="N3" s="3" t="s">
        <v>676</v>
      </c>
      <c r="O3" s="3" t="s">
        <v>681</v>
      </c>
      <c r="P3" s="3" t="s">
        <v>689</v>
      </c>
      <c r="Q3" s="3" t="s">
        <v>690</v>
      </c>
      <c r="R3" s="3" t="s">
        <v>691</v>
      </c>
    </row>
    <row r="4" spans="1:18" ht="35.25" customHeight="1" x14ac:dyDescent="0.25">
      <c r="A4" s="2" t="s">
        <v>692</v>
      </c>
      <c r="B4" s="2" t="s">
        <v>674</v>
      </c>
      <c r="C4" s="3" t="s">
        <v>679</v>
      </c>
      <c r="D4" s="3" t="s">
        <v>687</v>
      </c>
      <c r="E4" s="3" t="s">
        <v>680</v>
      </c>
      <c r="F4" s="3" t="s">
        <v>675</v>
      </c>
      <c r="G4" s="3" t="s">
        <v>675</v>
      </c>
      <c r="H4" s="3" t="s">
        <v>676</v>
      </c>
      <c r="I4" s="3" t="s">
        <v>678</v>
      </c>
      <c r="J4" s="3" t="s">
        <v>675</v>
      </c>
      <c r="K4" s="3" t="s">
        <v>679</v>
      </c>
      <c r="L4" s="3" t="s">
        <v>686</v>
      </c>
      <c r="M4" s="3" t="s">
        <v>678</v>
      </c>
      <c r="N4" s="3" t="s">
        <v>678</v>
      </c>
      <c r="O4" s="3" t="s">
        <v>693</v>
      </c>
      <c r="P4" s="3" t="s">
        <v>677</v>
      </c>
      <c r="Q4" s="3" t="s">
        <v>694</v>
      </c>
      <c r="R4" s="3" t="s">
        <v>695</v>
      </c>
    </row>
    <row r="5" spans="1:18" ht="35.25" customHeight="1" x14ac:dyDescent="0.25">
      <c r="A5" s="2" t="s">
        <v>696</v>
      </c>
      <c r="B5" s="2" t="s">
        <v>697</v>
      </c>
      <c r="C5" s="3" t="s">
        <v>698</v>
      </c>
      <c r="D5" s="3" t="s">
        <v>699</v>
      </c>
      <c r="E5" s="3" t="s">
        <v>700</v>
      </c>
      <c r="F5" s="3" t="s">
        <v>698</v>
      </c>
      <c r="G5" s="3" t="s">
        <v>701</v>
      </c>
      <c r="H5" s="3" t="s">
        <v>702</v>
      </c>
      <c r="I5" s="3" t="s">
        <v>702</v>
      </c>
      <c r="J5" s="3" t="s">
        <v>699</v>
      </c>
      <c r="K5" s="3" t="s">
        <v>703</v>
      </c>
      <c r="L5" s="3" t="s">
        <v>698</v>
      </c>
      <c r="M5" s="3" t="s">
        <v>698</v>
      </c>
      <c r="N5" s="3" t="s">
        <v>704</v>
      </c>
      <c r="O5" s="3" t="s">
        <v>705</v>
      </c>
      <c r="P5" s="3" t="s">
        <v>706</v>
      </c>
      <c r="Q5" s="3" t="s">
        <v>707</v>
      </c>
      <c r="R5" s="3" t="s">
        <v>708</v>
      </c>
    </row>
    <row r="6" spans="1:18" ht="35.25" customHeight="1" x14ac:dyDescent="0.25">
      <c r="A6" s="2" t="s">
        <v>709</v>
      </c>
      <c r="B6" s="2" t="s">
        <v>710</v>
      </c>
      <c r="C6" s="3" t="s">
        <v>686</v>
      </c>
      <c r="D6" s="3" t="s">
        <v>686</v>
      </c>
      <c r="E6" s="3" t="s">
        <v>686</v>
      </c>
      <c r="F6" s="3" t="s">
        <v>711</v>
      </c>
      <c r="G6" s="3" t="s">
        <v>711</v>
      </c>
      <c r="H6" s="3" t="s">
        <v>712</v>
      </c>
      <c r="I6" s="3" t="s">
        <v>711</v>
      </c>
      <c r="J6" s="3" t="s">
        <v>712</v>
      </c>
      <c r="K6" s="3" t="s">
        <v>713</v>
      </c>
      <c r="L6" s="3" t="s">
        <v>714</v>
      </c>
      <c r="M6" s="3" t="s">
        <v>712</v>
      </c>
      <c r="N6" s="3" t="s">
        <v>715</v>
      </c>
      <c r="O6" s="3" t="s">
        <v>716</v>
      </c>
      <c r="P6" s="3" t="s">
        <v>717</v>
      </c>
      <c r="Q6" s="3" t="s">
        <v>718</v>
      </c>
      <c r="R6" s="3" t="s">
        <v>719</v>
      </c>
    </row>
    <row r="7" spans="1:18" ht="35.25" customHeight="1" x14ac:dyDescent="0.25">
      <c r="A7" s="2" t="s">
        <v>720</v>
      </c>
      <c r="B7" s="2" t="s">
        <v>697</v>
      </c>
      <c r="C7" s="3" t="s">
        <v>721</v>
      </c>
      <c r="D7" s="3" t="s">
        <v>701</v>
      </c>
      <c r="E7" s="3" t="s">
        <v>722</v>
      </c>
      <c r="F7" s="3" t="s">
        <v>698</v>
      </c>
      <c r="G7" s="3" t="s">
        <v>722</v>
      </c>
      <c r="H7" s="3" t="s">
        <v>699</v>
      </c>
      <c r="I7" s="3" t="s">
        <v>701</v>
      </c>
      <c r="J7" s="3" t="s">
        <v>704</v>
      </c>
      <c r="K7" s="3" t="s">
        <v>721</v>
      </c>
      <c r="L7" s="3" t="s">
        <v>698</v>
      </c>
      <c r="M7" s="3" t="s">
        <v>721</v>
      </c>
      <c r="N7" s="3" t="s">
        <v>723</v>
      </c>
      <c r="O7" s="3" t="s">
        <v>724</v>
      </c>
      <c r="P7" s="3" t="s">
        <v>700</v>
      </c>
      <c r="Q7" s="3" t="s">
        <v>725</v>
      </c>
      <c r="R7" s="3" t="s">
        <v>726</v>
      </c>
    </row>
    <row r="8" spans="1:18" ht="35.25" customHeight="1" x14ac:dyDescent="0.25">
      <c r="A8" s="2" t="s">
        <v>727</v>
      </c>
      <c r="B8" s="2" t="s">
        <v>697</v>
      </c>
      <c r="C8" s="3" t="s">
        <v>698</v>
      </c>
      <c r="D8" s="3" t="s">
        <v>701</v>
      </c>
      <c r="E8" s="3" t="s">
        <v>702</v>
      </c>
      <c r="F8" s="3" t="s">
        <v>702</v>
      </c>
      <c r="G8" s="3" t="s">
        <v>702</v>
      </c>
      <c r="H8" s="3" t="s">
        <v>722</v>
      </c>
      <c r="I8" s="3" t="s">
        <v>702</v>
      </c>
      <c r="J8" s="3" t="s">
        <v>701</v>
      </c>
      <c r="K8" s="3" t="s">
        <v>704</v>
      </c>
      <c r="L8" s="3" t="s">
        <v>702</v>
      </c>
      <c r="M8" s="3" t="s">
        <v>702</v>
      </c>
      <c r="N8" s="3" t="s">
        <v>722</v>
      </c>
      <c r="O8" s="3" t="s">
        <v>728</v>
      </c>
      <c r="P8" s="3" t="s">
        <v>729</v>
      </c>
      <c r="Q8" s="3" t="s">
        <v>730</v>
      </c>
      <c r="R8" s="3" t="s">
        <v>731</v>
      </c>
    </row>
    <row r="9" spans="1:18" ht="44.25" customHeight="1" x14ac:dyDescent="0.25">
      <c r="A9" s="4" t="s">
        <v>732</v>
      </c>
      <c r="B9" s="4" t="s">
        <v>733</v>
      </c>
      <c r="C9" s="5" t="s">
        <v>734</v>
      </c>
      <c r="D9" s="5" t="s">
        <v>735</v>
      </c>
      <c r="E9" s="5" t="s">
        <v>736</v>
      </c>
      <c r="F9" s="5" t="s">
        <v>737</v>
      </c>
      <c r="G9" s="5" t="s">
        <v>738</v>
      </c>
      <c r="H9" s="5" t="s">
        <v>739</v>
      </c>
      <c r="I9" s="5" t="s">
        <v>740</v>
      </c>
      <c r="J9" s="5" t="s">
        <v>741</v>
      </c>
      <c r="K9" s="5" t="s">
        <v>742</v>
      </c>
      <c r="L9" s="5" t="s">
        <v>743</v>
      </c>
      <c r="M9" s="5" t="s">
        <v>735</v>
      </c>
      <c r="N9" s="5" t="s">
        <v>744</v>
      </c>
      <c r="O9" s="5" t="s">
        <v>745</v>
      </c>
      <c r="P9" s="5" t="s">
        <v>746</v>
      </c>
      <c r="Q9" s="5" t="s">
        <v>747</v>
      </c>
      <c r="R9" s="5" t="s">
        <v>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D19" sqref="D19"/>
    </sheetView>
  </sheetViews>
  <sheetFormatPr defaultRowHeight="15" x14ac:dyDescent="0.25"/>
  <cols>
    <col min="1" max="1" width="36" customWidth="1"/>
    <col min="2" max="3" width="23" customWidth="1"/>
    <col min="4" max="4" width="40" customWidth="1"/>
  </cols>
  <sheetData>
    <row r="1" spans="1:4" x14ac:dyDescent="0.25">
      <c r="A1" s="1" t="s">
        <v>590</v>
      </c>
      <c r="B1" s="1" t="s">
        <v>591</v>
      </c>
      <c r="C1" s="1" t="s">
        <v>592</v>
      </c>
      <c r="D1" s="1" t="s">
        <v>593</v>
      </c>
    </row>
    <row r="2" spans="1:4" x14ac:dyDescent="0.25">
      <c r="A2" s="2" t="s">
        <v>594</v>
      </c>
      <c r="B2" s="2" t="s">
        <v>595</v>
      </c>
      <c r="C2" s="3" t="s">
        <v>596</v>
      </c>
      <c r="D2" s="3" t="s">
        <v>597</v>
      </c>
    </row>
    <row r="3" spans="1:4" x14ac:dyDescent="0.25">
      <c r="A3" s="2" t="s">
        <v>598</v>
      </c>
      <c r="B3" s="2" t="s">
        <v>599</v>
      </c>
      <c r="C3" s="3" t="s">
        <v>600</v>
      </c>
      <c r="D3" s="3" t="s">
        <v>601</v>
      </c>
    </row>
    <row r="4" spans="1:4" x14ac:dyDescent="0.25">
      <c r="A4" s="2" t="s">
        <v>602</v>
      </c>
      <c r="B4" s="2" t="s">
        <v>603</v>
      </c>
      <c r="C4" s="3" t="s">
        <v>604</v>
      </c>
      <c r="D4" s="3" t="s">
        <v>605</v>
      </c>
    </row>
    <row r="5" spans="1:4" x14ac:dyDescent="0.25">
      <c r="A5" s="2" t="s">
        <v>606</v>
      </c>
      <c r="B5" s="2" t="s">
        <v>607</v>
      </c>
      <c r="C5" s="3" t="s">
        <v>608</v>
      </c>
      <c r="D5" s="3" t="s">
        <v>609</v>
      </c>
    </row>
    <row r="6" spans="1:4" x14ac:dyDescent="0.25">
      <c r="A6" s="2" t="s">
        <v>610</v>
      </c>
      <c r="B6" s="2" t="s">
        <v>611</v>
      </c>
      <c r="C6" s="3" t="s">
        <v>612</v>
      </c>
      <c r="D6" s="3" t="s">
        <v>613</v>
      </c>
    </row>
    <row r="7" spans="1:4" x14ac:dyDescent="0.25">
      <c r="A7" s="2" t="s">
        <v>614</v>
      </c>
      <c r="B7" s="2" t="s">
        <v>615</v>
      </c>
      <c r="C7" s="3" t="s">
        <v>616</v>
      </c>
      <c r="D7" s="3" t="s">
        <v>617</v>
      </c>
    </row>
    <row r="8" spans="1:4" x14ac:dyDescent="0.25">
      <c r="A8" s="2" t="s">
        <v>618</v>
      </c>
      <c r="B8" s="2" t="s">
        <v>619</v>
      </c>
      <c r="C8" s="3" t="s">
        <v>620</v>
      </c>
      <c r="D8" s="3" t="s">
        <v>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29"/>
  <sheetViews>
    <sheetView workbookViewId="0">
      <pane ySplit="7" topLeftCell="A218" activePane="bottomLeft" state="frozen"/>
      <selection pane="bottomLeft" activeCell="B181" sqref="B181"/>
    </sheetView>
  </sheetViews>
  <sheetFormatPr defaultRowHeight="15" x14ac:dyDescent="0.25"/>
  <cols>
    <col min="1" max="1" width="12" customWidth="1"/>
    <col min="2" max="2" width="53" customWidth="1"/>
    <col min="3" max="6" width="7.42578125" customWidth="1"/>
    <col min="7" max="7" width="24.28515625" customWidth="1"/>
    <col min="8" max="8" width="34" customWidth="1"/>
    <col min="9" max="9" width="16.85546875" customWidth="1"/>
    <col min="10" max="10" width="25.85546875" customWidth="1"/>
    <col min="11" max="14" width="15.5703125" customWidth="1"/>
  </cols>
  <sheetData>
    <row r="1" spans="1:14" ht="28.5" customHeight="1" x14ac:dyDescent="0.25">
      <c r="A1" s="1" t="s">
        <v>0</v>
      </c>
      <c r="B1" s="1" t="s">
        <v>116</v>
      </c>
      <c r="C1" s="1" t="s">
        <v>119</v>
      </c>
      <c r="D1" s="1" t="s">
        <v>122</v>
      </c>
      <c r="E1" s="1" t="s">
        <v>125</v>
      </c>
      <c r="F1" s="1" t="s">
        <v>128</v>
      </c>
      <c r="G1" s="1" t="s">
        <v>749</v>
      </c>
      <c r="H1" s="1" t="s">
        <v>750</v>
      </c>
      <c r="I1" s="1" t="s">
        <v>751</v>
      </c>
      <c r="J1" s="1" t="s">
        <v>752</v>
      </c>
      <c r="K1" s="1" t="s">
        <v>753</v>
      </c>
      <c r="L1" s="1" t="s">
        <v>754</v>
      </c>
      <c r="M1" s="1" t="s">
        <v>755</v>
      </c>
      <c r="N1" s="1" t="s">
        <v>756</v>
      </c>
    </row>
    <row r="2" spans="1:14" ht="33.75" customHeight="1" x14ac:dyDescent="0.25">
      <c r="A2" s="4" t="s">
        <v>757</v>
      </c>
      <c r="B2" s="4" t="s">
        <v>758</v>
      </c>
      <c r="C2" s="5" t="s">
        <v>759</v>
      </c>
      <c r="D2" s="5" t="s">
        <v>759</v>
      </c>
      <c r="E2" s="5" t="s">
        <v>759</v>
      </c>
      <c r="F2" s="5" t="s">
        <v>759</v>
      </c>
      <c r="G2" s="5" t="s">
        <v>760</v>
      </c>
      <c r="H2" s="5" t="s">
        <v>592</v>
      </c>
      <c r="I2" s="5" t="s">
        <v>761</v>
      </c>
      <c r="J2" s="5" t="s">
        <v>762</v>
      </c>
      <c r="K2" s="5" t="s">
        <v>759</v>
      </c>
      <c r="L2" s="5" t="s">
        <v>759</v>
      </c>
      <c r="M2" s="5" t="s">
        <v>759</v>
      </c>
      <c r="N2" s="5" t="s">
        <v>759</v>
      </c>
    </row>
    <row r="3" spans="1:14" ht="44.25" customHeight="1" x14ac:dyDescent="0.25">
      <c r="A3" s="4" t="s">
        <v>763</v>
      </c>
      <c r="B3" s="4" t="s">
        <v>764</v>
      </c>
      <c r="C3" s="5" t="s">
        <v>765</v>
      </c>
      <c r="D3" s="5" t="s">
        <v>759</v>
      </c>
      <c r="E3" s="5" t="s">
        <v>759</v>
      </c>
      <c r="F3" s="5" t="s">
        <v>759</v>
      </c>
      <c r="G3" s="5" t="s">
        <v>766</v>
      </c>
      <c r="H3" s="5" t="s">
        <v>767</v>
      </c>
      <c r="I3" s="5" t="s">
        <v>768</v>
      </c>
      <c r="J3" s="5" t="s">
        <v>769</v>
      </c>
      <c r="K3" s="5" t="s">
        <v>759</v>
      </c>
      <c r="L3" s="5" t="s">
        <v>759</v>
      </c>
      <c r="M3" s="5" t="s">
        <v>759</v>
      </c>
      <c r="N3" s="5" t="s">
        <v>759</v>
      </c>
    </row>
    <row r="4" spans="1:14" ht="42.75" customHeight="1" x14ac:dyDescent="0.25">
      <c r="A4" s="4" t="s">
        <v>770</v>
      </c>
      <c r="B4" s="4" t="s">
        <v>771</v>
      </c>
      <c r="C4" s="5" t="s">
        <v>765</v>
      </c>
      <c r="D4" s="5" t="s">
        <v>759</v>
      </c>
      <c r="E4" s="5" t="s">
        <v>759</v>
      </c>
      <c r="F4" s="5" t="s">
        <v>759</v>
      </c>
      <c r="G4" s="5" t="s">
        <v>772</v>
      </c>
      <c r="H4" s="5" t="s">
        <v>773</v>
      </c>
      <c r="I4" s="5" t="s">
        <v>774</v>
      </c>
      <c r="J4" s="5" t="s">
        <v>775</v>
      </c>
      <c r="K4" s="5" t="s">
        <v>759</v>
      </c>
      <c r="L4" s="5" t="s">
        <v>759</v>
      </c>
      <c r="M4" s="5" t="s">
        <v>759</v>
      </c>
      <c r="N4" s="5" t="s">
        <v>759</v>
      </c>
    </row>
    <row r="5" spans="1:14" ht="43.5" customHeight="1" x14ac:dyDescent="0.25">
      <c r="A5" s="4" t="s">
        <v>776</v>
      </c>
      <c r="B5" s="4" t="s">
        <v>777</v>
      </c>
      <c r="C5" s="5" t="s">
        <v>778</v>
      </c>
      <c r="D5" s="5" t="s">
        <v>759</v>
      </c>
      <c r="E5" s="5" t="s">
        <v>759</v>
      </c>
      <c r="F5" s="5" t="s">
        <v>779</v>
      </c>
      <c r="G5" s="5" t="s">
        <v>780</v>
      </c>
      <c r="H5" s="5" t="s">
        <v>781</v>
      </c>
      <c r="I5" s="5" t="s">
        <v>782</v>
      </c>
      <c r="J5" s="5" t="s">
        <v>783</v>
      </c>
      <c r="K5" s="5" t="s">
        <v>759</v>
      </c>
      <c r="L5" s="5" t="s">
        <v>759</v>
      </c>
      <c r="M5" s="5" t="s">
        <v>759</v>
      </c>
      <c r="N5" s="5" t="s">
        <v>759</v>
      </c>
    </row>
    <row r="6" spans="1:14" ht="42" customHeight="1" x14ac:dyDescent="0.25">
      <c r="A6" s="4" t="s">
        <v>784</v>
      </c>
      <c r="B6" s="4" t="s">
        <v>785</v>
      </c>
      <c r="C6" s="5" t="s">
        <v>765</v>
      </c>
      <c r="D6" s="5" t="s">
        <v>759</v>
      </c>
      <c r="E6" s="5" t="s">
        <v>759</v>
      </c>
      <c r="F6" s="5" t="s">
        <v>759</v>
      </c>
      <c r="G6" s="5" t="s">
        <v>786</v>
      </c>
      <c r="H6" s="5" t="s">
        <v>787</v>
      </c>
      <c r="I6" s="5" t="s">
        <v>788</v>
      </c>
      <c r="J6" s="5" t="s">
        <v>789</v>
      </c>
      <c r="K6" s="5" t="s">
        <v>759</v>
      </c>
      <c r="L6" s="5" t="s">
        <v>759</v>
      </c>
      <c r="M6" s="5" t="s">
        <v>759</v>
      </c>
      <c r="N6" s="5" t="s">
        <v>759</v>
      </c>
    </row>
    <row r="7" spans="1:14" ht="33.75" customHeight="1" x14ac:dyDescent="0.25">
      <c r="A7" s="4" t="s">
        <v>790</v>
      </c>
      <c r="B7" s="4" t="s">
        <v>791</v>
      </c>
      <c r="C7" s="5" t="s">
        <v>759</v>
      </c>
      <c r="D7" s="5" t="s">
        <v>759</v>
      </c>
      <c r="E7" s="5" t="s">
        <v>759</v>
      </c>
      <c r="F7" s="5" t="s">
        <v>759</v>
      </c>
      <c r="G7" s="5" t="s">
        <v>759</v>
      </c>
      <c r="H7" s="5" t="s">
        <v>759</v>
      </c>
      <c r="I7" s="5" t="s">
        <v>759</v>
      </c>
      <c r="J7" s="5" t="s">
        <v>759</v>
      </c>
      <c r="K7" s="5" t="s">
        <v>759</v>
      </c>
      <c r="L7" s="5" t="s">
        <v>759</v>
      </c>
      <c r="M7" s="5" t="s">
        <v>759</v>
      </c>
      <c r="N7" s="5" t="s">
        <v>759</v>
      </c>
    </row>
    <row r="8" spans="1:14" x14ac:dyDescent="0.25">
      <c r="A8" s="2">
        <v>1</v>
      </c>
      <c r="B8" s="2" t="s">
        <v>792</v>
      </c>
      <c r="C8" s="3" t="s">
        <v>107</v>
      </c>
      <c r="D8" s="3" t="s">
        <v>41</v>
      </c>
      <c r="E8" s="3" t="s">
        <v>85</v>
      </c>
      <c r="F8" s="3" t="s">
        <v>83</v>
      </c>
      <c r="G8" s="3" t="s">
        <v>793</v>
      </c>
      <c r="H8" s="3" t="s">
        <v>794</v>
      </c>
      <c r="I8" s="3" t="s">
        <v>142</v>
      </c>
      <c r="J8" s="3" t="s">
        <v>795</v>
      </c>
      <c r="K8" s="3" t="s">
        <v>64</v>
      </c>
      <c r="L8" s="6" t="s">
        <v>796</v>
      </c>
      <c r="M8" s="6" t="s">
        <v>796</v>
      </c>
      <c r="N8" s="6" t="s">
        <v>796</v>
      </c>
    </row>
    <row r="9" spans="1:14" x14ac:dyDescent="0.25">
      <c r="A9" s="2">
        <v>2</v>
      </c>
      <c r="B9" s="2" t="s">
        <v>797</v>
      </c>
      <c r="C9" s="3" t="s">
        <v>45</v>
      </c>
      <c r="D9" s="3" t="s">
        <v>40</v>
      </c>
      <c r="E9" s="3" t="s">
        <v>54</v>
      </c>
      <c r="F9" s="3" t="s">
        <v>38</v>
      </c>
      <c r="G9" s="3" t="s">
        <v>798</v>
      </c>
      <c r="H9" s="3" t="s">
        <v>799</v>
      </c>
      <c r="I9" s="3" t="s">
        <v>143</v>
      </c>
      <c r="J9" s="3" t="s">
        <v>800</v>
      </c>
      <c r="K9" s="3" t="s">
        <v>65</v>
      </c>
      <c r="L9" s="7" t="s">
        <v>801</v>
      </c>
      <c r="M9" s="6" t="s">
        <v>796</v>
      </c>
      <c r="N9" s="6" t="s">
        <v>796</v>
      </c>
    </row>
    <row r="10" spans="1:14" x14ac:dyDescent="0.25">
      <c r="A10" s="2">
        <v>3</v>
      </c>
      <c r="B10" s="2" t="s">
        <v>802</v>
      </c>
      <c r="C10" s="3" t="s">
        <v>62</v>
      </c>
      <c r="D10" s="3" t="s">
        <v>49</v>
      </c>
      <c r="E10" s="3" t="s">
        <v>108</v>
      </c>
      <c r="F10" s="3" t="s">
        <v>64</v>
      </c>
      <c r="G10" s="3" t="s">
        <v>803</v>
      </c>
      <c r="H10" s="3" t="s">
        <v>804</v>
      </c>
      <c r="I10" s="3" t="s">
        <v>146</v>
      </c>
      <c r="J10" s="3" t="s">
        <v>805</v>
      </c>
      <c r="K10" s="3" t="s">
        <v>113</v>
      </c>
      <c r="L10" s="7" t="s">
        <v>801</v>
      </c>
      <c r="M10" s="6" t="s">
        <v>796</v>
      </c>
      <c r="N10" s="7" t="s">
        <v>801</v>
      </c>
    </row>
    <row r="11" spans="1:14" x14ac:dyDescent="0.25">
      <c r="A11" s="2">
        <v>4</v>
      </c>
      <c r="B11" s="2" t="s">
        <v>806</v>
      </c>
      <c r="C11" s="3" t="s">
        <v>84</v>
      </c>
      <c r="D11" s="3" t="s">
        <v>50</v>
      </c>
      <c r="E11" s="3" t="s">
        <v>93</v>
      </c>
      <c r="F11" s="3" t="s">
        <v>41</v>
      </c>
      <c r="G11" s="3" t="s">
        <v>807</v>
      </c>
      <c r="H11" s="3" t="s">
        <v>808</v>
      </c>
      <c r="I11" s="3" t="s">
        <v>141</v>
      </c>
      <c r="J11" s="3" t="s">
        <v>809</v>
      </c>
      <c r="K11" s="3" t="s">
        <v>21</v>
      </c>
      <c r="L11" s="7" t="s">
        <v>801</v>
      </c>
      <c r="M11" s="6" t="s">
        <v>796</v>
      </c>
      <c r="N11" s="6" t="s">
        <v>796</v>
      </c>
    </row>
    <row r="12" spans="1:14" x14ac:dyDescent="0.25">
      <c r="A12" s="2">
        <v>5</v>
      </c>
      <c r="B12" s="2" t="s">
        <v>810</v>
      </c>
      <c r="C12" s="3" t="s">
        <v>63</v>
      </c>
      <c r="D12" s="3" t="s">
        <v>59</v>
      </c>
      <c r="E12" s="3" t="s">
        <v>81</v>
      </c>
      <c r="F12" s="3" t="s">
        <v>43</v>
      </c>
      <c r="G12" s="3" t="s">
        <v>811</v>
      </c>
      <c r="H12" s="3" t="s">
        <v>812</v>
      </c>
      <c r="I12" s="3" t="s">
        <v>141</v>
      </c>
      <c r="J12" s="3" t="s">
        <v>795</v>
      </c>
      <c r="K12" s="3" t="s">
        <v>63</v>
      </c>
      <c r="L12" s="7" t="s">
        <v>801</v>
      </c>
      <c r="M12" s="7" t="s">
        <v>801</v>
      </c>
      <c r="N12" s="7" t="s">
        <v>801</v>
      </c>
    </row>
    <row r="13" spans="1:14" x14ac:dyDescent="0.25">
      <c r="A13" s="2">
        <v>6</v>
      </c>
      <c r="B13" s="2" t="s">
        <v>813</v>
      </c>
      <c r="C13" s="3" t="s">
        <v>66</v>
      </c>
      <c r="D13" s="3" t="s">
        <v>26</v>
      </c>
      <c r="E13" s="3" t="s">
        <v>81</v>
      </c>
      <c r="F13" s="3" t="s">
        <v>28</v>
      </c>
      <c r="G13" s="3" t="s">
        <v>814</v>
      </c>
      <c r="H13" s="3" t="s">
        <v>815</v>
      </c>
      <c r="I13" s="3" t="s">
        <v>135</v>
      </c>
      <c r="J13" s="3" t="s">
        <v>816</v>
      </c>
      <c r="K13" s="3" t="s">
        <v>105</v>
      </c>
      <c r="L13" s="6" t="s">
        <v>796</v>
      </c>
      <c r="M13" s="7" t="s">
        <v>801</v>
      </c>
      <c r="N13" s="6" t="s">
        <v>796</v>
      </c>
    </row>
    <row r="14" spans="1:14" x14ac:dyDescent="0.25">
      <c r="A14" s="2">
        <v>7</v>
      </c>
      <c r="B14" s="2" t="s">
        <v>817</v>
      </c>
      <c r="C14" s="3" t="s">
        <v>55</v>
      </c>
      <c r="D14" s="3" t="s">
        <v>80</v>
      </c>
      <c r="E14" s="3" t="s">
        <v>40</v>
      </c>
      <c r="F14" s="3" t="s">
        <v>73</v>
      </c>
      <c r="G14" s="3" t="s">
        <v>818</v>
      </c>
      <c r="H14" s="3" t="s">
        <v>804</v>
      </c>
      <c r="I14" s="3" t="s">
        <v>133</v>
      </c>
      <c r="J14" s="3" t="s">
        <v>819</v>
      </c>
      <c r="K14" s="3" t="s">
        <v>78</v>
      </c>
      <c r="L14" s="7" t="s">
        <v>801</v>
      </c>
      <c r="M14" s="6" t="s">
        <v>796</v>
      </c>
      <c r="N14" s="6" t="s">
        <v>796</v>
      </c>
    </row>
    <row r="15" spans="1:14" x14ac:dyDescent="0.25">
      <c r="A15" s="2">
        <v>8</v>
      </c>
      <c r="B15" s="2" t="s">
        <v>820</v>
      </c>
      <c r="C15" s="3" t="s">
        <v>70</v>
      </c>
      <c r="D15" s="3" t="s">
        <v>104</v>
      </c>
      <c r="E15" s="3" t="s">
        <v>98</v>
      </c>
      <c r="F15" s="3" t="s">
        <v>29</v>
      </c>
      <c r="G15" s="3" t="s">
        <v>821</v>
      </c>
      <c r="H15" s="3" t="s">
        <v>822</v>
      </c>
      <c r="I15" s="3" t="s">
        <v>170</v>
      </c>
      <c r="J15" s="3" t="s">
        <v>795</v>
      </c>
      <c r="K15" s="3" t="s">
        <v>39</v>
      </c>
      <c r="L15" s="7" t="s">
        <v>801</v>
      </c>
      <c r="M15" s="6" t="s">
        <v>796</v>
      </c>
      <c r="N15" s="7" t="s">
        <v>801</v>
      </c>
    </row>
    <row r="16" spans="1:14" x14ac:dyDescent="0.25">
      <c r="A16" s="2">
        <v>9</v>
      </c>
      <c r="B16" s="2" t="s">
        <v>823</v>
      </c>
      <c r="C16" s="3" t="s">
        <v>63</v>
      </c>
      <c r="D16" s="3" t="s">
        <v>103</v>
      </c>
      <c r="E16" s="3" t="s">
        <v>68</v>
      </c>
      <c r="F16" s="3" t="s">
        <v>62</v>
      </c>
      <c r="G16" s="3" t="s">
        <v>824</v>
      </c>
      <c r="H16" s="3" t="s">
        <v>804</v>
      </c>
      <c r="I16" s="3" t="s">
        <v>133</v>
      </c>
      <c r="J16" s="3" t="s">
        <v>825</v>
      </c>
      <c r="K16" s="3" t="s">
        <v>109</v>
      </c>
      <c r="L16" s="6" t="s">
        <v>796</v>
      </c>
      <c r="M16" s="6" t="s">
        <v>796</v>
      </c>
      <c r="N16" s="6" t="s">
        <v>796</v>
      </c>
    </row>
    <row r="17" spans="1:14" x14ac:dyDescent="0.25">
      <c r="A17" s="2">
        <v>10</v>
      </c>
      <c r="B17" s="2" t="s">
        <v>826</v>
      </c>
      <c r="C17" s="3" t="s">
        <v>86</v>
      </c>
      <c r="D17" s="3" t="s">
        <v>61</v>
      </c>
      <c r="E17" s="3" t="s">
        <v>30</v>
      </c>
      <c r="F17" s="3" t="s">
        <v>29</v>
      </c>
      <c r="G17" s="3" t="s">
        <v>827</v>
      </c>
      <c r="H17" s="3" t="s">
        <v>828</v>
      </c>
      <c r="I17" s="3" t="s">
        <v>133</v>
      </c>
      <c r="J17" s="3" t="s">
        <v>795</v>
      </c>
      <c r="K17" s="3" t="s">
        <v>54</v>
      </c>
      <c r="L17" s="7" t="s">
        <v>801</v>
      </c>
      <c r="M17" s="6" t="s">
        <v>796</v>
      </c>
      <c r="N17" s="6" t="s">
        <v>796</v>
      </c>
    </row>
    <row r="18" spans="1:14" x14ac:dyDescent="0.25">
      <c r="A18" s="2">
        <v>11</v>
      </c>
      <c r="B18" s="2" t="s">
        <v>829</v>
      </c>
      <c r="C18" s="3" t="s">
        <v>86</v>
      </c>
      <c r="D18" s="3" t="s">
        <v>111</v>
      </c>
      <c r="E18" s="3" t="s">
        <v>26</v>
      </c>
      <c r="F18" s="3" t="s">
        <v>59</v>
      </c>
      <c r="G18" s="3" t="s">
        <v>830</v>
      </c>
      <c r="H18" s="3" t="s">
        <v>812</v>
      </c>
      <c r="I18" s="3" t="s">
        <v>133</v>
      </c>
      <c r="J18" s="3" t="s">
        <v>819</v>
      </c>
      <c r="K18" s="3" t="s">
        <v>110</v>
      </c>
      <c r="L18" s="7" t="s">
        <v>801</v>
      </c>
      <c r="M18" s="6" t="s">
        <v>796</v>
      </c>
      <c r="N18" s="6" t="s">
        <v>796</v>
      </c>
    </row>
    <row r="19" spans="1:14" x14ac:dyDescent="0.25">
      <c r="A19" s="2">
        <v>12</v>
      </c>
      <c r="B19" s="2" t="s">
        <v>831</v>
      </c>
      <c r="C19" s="3" t="s">
        <v>47</v>
      </c>
      <c r="D19" s="3" t="s">
        <v>50</v>
      </c>
      <c r="E19" s="3" t="s">
        <v>36</v>
      </c>
      <c r="F19" s="3" t="s">
        <v>58</v>
      </c>
      <c r="G19" s="3" t="s">
        <v>832</v>
      </c>
      <c r="H19" s="3" t="s">
        <v>812</v>
      </c>
      <c r="I19" s="3" t="s">
        <v>137</v>
      </c>
      <c r="J19" s="3" t="s">
        <v>833</v>
      </c>
      <c r="K19" s="3" t="s">
        <v>43</v>
      </c>
      <c r="L19" s="7" t="s">
        <v>801</v>
      </c>
      <c r="M19" s="6" t="s">
        <v>796</v>
      </c>
      <c r="N19" s="7" t="s">
        <v>801</v>
      </c>
    </row>
    <row r="20" spans="1:14" x14ac:dyDescent="0.25">
      <c r="A20" s="2">
        <v>13</v>
      </c>
      <c r="B20" s="2" t="s">
        <v>834</v>
      </c>
      <c r="C20" s="3" t="s">
        <v>98</v>
      </c>
      <c r="D20" s="3" t="s">
        <v>40</v>
      </c>
      <c r="E20" s="3" t="s">
        <v>41</v>
      </c>
      <c r="F20" s="3" t="s">
        <v>32</v>
      </c>
      <c r="G20" s="3" t="s">
        <v>835</v>
      </c>
      <c r="H20" s="3" t="s">
        <v>804</v>
      </c>
      <c r="I20" s="3" t="s">
        <v>143</v>
      </c>
      <c r="J20" s="3" t="s">
        <v>795</v>
      </c>
      <c r="K20" s="3" t="s">
        <v>33</v>
      </c>
      <c r="L20" s="7" t="s">
        <v>801</v>
      </c>
      <c r="M20" s="6" t="s">
        <v>796</v>
      </c>
      <c r="N20" s="6" t="s">
        <v>796</v>
      </c>
    </row>
    <row r="21" spans="1:14" x14ac:dyDescent="0.25">
      <c r="A21" s="2">
        <v>14</v>
      </c>
      <c r="B21" s="2" t="s">
        <v>836</v>
      </c>
      <c r="C21" s="3" t="s">
        <v>31</v>
      </c>
      <c r="D21" s="3" t="s">
        <v>115</v>
      </c>
      <c r="E21" s="3" t="s">
        <v>68</v>
      </c>
      <c r="F21" s="3" t="s">
        <v>71</v>
      </c>
      <c r="G21" s="3" t="s">
        <v>837</v>
      </c>
      <c r="H21" s="3" t="s">
        <v>838</v>
      </c>
      <c r="I21" s="3" t="s">
        <v>142</v>
      </c>
      <c r="J21" s="3" t="s">
        <v>825</v>
      </c>
      <c r="K21" s="3" t="s">
        <v>38</v>
      </c>
      <c r="L21" s="7" t="s">
        <v>801</v>
      </c>
      <c r="M21" s="6" t="s">
        <v>796</v>
      </c>
      <c r="N21" s="6" t="s">
        <v>796</v>
      </c>
    </row>
    <row r="22" spans="1:14" x14ac:dyDescent="0.25">
      <c r="A22" s="2">
        <v>15</v>
      </c>
      <c r="B22" s="2" t="s">
        <v>839</v>
      </c>
      <c r="C22" s="3" t="s">
        <v>37</v>
      </c>
      <c r="D22" s="3" t="s">
        <v>16</v>
      </c>
      <c r="E22" s="3" t="s">
        <v>30</v>
      </c>
      <c r="F22" s="3" t="s">
        <v>87</v>
      </c>
      <c r="G22" s="3" t="s">
        <v>840</v>
      </c>
      <c r="H22" s="3" t="s">
        <v>841</v>
      </c>
      <c r="I22" s="3" t="s">
        <v>138</v>
      </c>
      <c r="J22" s="3" t="s">
        <v>842</v>
      </c>
      <c r="K22" s="3" t="s">
        <v>44</v>
      </c>
      <c r="L22" s="7" t="s">
        <v>801</v>
      </c>
      <c r="M22" s="6" t="s">
        <v>796</v>
      </c>
      <c r="N22" s="7" t="s">
        <v>801</v>
      </c>
    </row>
    <row r="23" spans="1:14" x14ac:dyDescent="0.25">
      <c r="A23" s="2">
        <v>16</v>
      </c>
      <c r="B23" s="2" t="s">
        <v>843</v>
      </c>
      <c r="C23" s="3" t="s">
        <v>110</v>
      </c>
      <c r="D23" s="3" t="s">
        <v>95</v>
      </c>
      <c r="E23" s="3" t="s">
        <v>49</v>
      </c>
      <c r="F23" s="3" t="s">
        <v>56</v>
      </c>
      <c r="G23" s="3" t="s">
        <v>844</v>
      </c>
      <c r="H23" s="3" t="s">
        <v>845</v>
      </c>
      <c r="I23" s="3" t="s">
        <v>151</v>
      </c>
      <c r="J23" s="3" t="s">
        <v>816</v>
      </c>
      <c r="K23" s="3" t="s">
        <v>40</v>
      </c>
      <c r="L23" s="7" t="s">
        <v>801</v>
      </c>
      <c r="M23" s="6" t="s">
        <v>796</v>
      </c>
      <c r="N23" s="7" t="s">
        <v>801</v>
      </c>
    </row>
    <row r="24" spans="1:14" x14ac:dyDescent="0.25">
      <c r="A24" s="2">
        <v>17</v>
      </c>
      <c r="B24" s="2" t="s">
        <v>846</v>
      </c>
      <c r="C24" s="3" t="s">
        <v>70</v>
      </c>
      <c r="D24" s="3" t="s">
        <v>59</v>
      </c>
      <c r="E24" s="3" t="s">
        <v>90</v>
      </c>
      <c r="F24" s="3" t="s">
        <v>80</v>
      </c>
      <c r="G24" s="3" t="s">
        <v>847</v>
      </c>
      <c r="H24" s="3" t="s">
        <v>848</v>
      </c>
      <c r="I24" s="3" t="s">
        <v>151</v>
      </c>
      <c r="J24" s="3" t="s">
        <v>849</v>
      </c>
      <c r="K24" s="3" t="s">
        <v>67</v>
      </c>
      <c r="L24" s="7" t="s">
        <v>801</v>
      </c>
      <c r="M24" s="6" t="s">
        <v>796</v>
      </c>
      <c r="N24" s="7" t="s">
        <v>801</v>
      </c>
    </row>
    <row r="25" spans="1:14" x14ac:dyDescent="0.25">
      <c r="A25" s="2">
        <v>18</v>
      </c>
      <c r="B25" s="2" t="s">
        <v>850</v>
      </c>
      <c r="C25" s="3" t="s">
        <v>110</v>
      </c>
      <c r="D25" s="3" t="s">
        <v>32</v>
      </c>
      <c r="E25" s="3" t="s">
        <v>68</v>
      </c>
      <c r="F25" s="3" t="s">
        <v>41</v>
      </c>
      <c r="G25" s="3" t="s">
        <v>851</v>
      </c>
      <c r="H25" s="3" t="s">
        <v>852</v>
      </c>
      <c r="I25" s="3" t="s">
        <v>143</v>
      </c>
      <c r="J25" s="3" t="s">
        <v>853</v>
      </c>
      <c r="K25" s="3" t="s">
        <v>102</v>
      </c>
      <c r="L25" s="7" t="s">
        <v>801</v>
      </c>
      <c r="M25" s="7" t="s">
        <v>801</v>
      </c>
      <c r="N25" s="6" t="s">
        <v>796</v>
      </c>
    </row>
    <row r="26" spans="1:14" x14ac:dyDescent="0.25">
      <c r="A26" s="2">
        <v>19</v>
      </c>
      <c r="B26" s="2" t="s">
        <v>854</v>
      </c>
      <c r="C26" s="3" t="s">
        <v>39</v>
      </c>
      <c r="D26" s="3" t="s">
        <v>45</v>
      </c>
      <c r="E26" s="3" t="s">
        <v>40</v>
      </c>
      <c r="F26" s="3" t="s">
        <v>69</v>
      </c>
      <c r="G26" s="3" t="s">
        <v>855</v>
      </c>
      <c r="H26" s="3" t="s">
        <v>815</v>
      </c>
      <c r="I26" s="3" t="s">
        <v>137</v>
      </c>
      <c r="J26" s="3" t="s">
        <v>856</v>
      </c>
      <c r="K26" s="3" t="s">
        <v>94</v>
      </c>
      <c r="L26" s="6" t="s">
        <v>796</v>
      </c>
      <c r="M26" s="7" t="s">
        <v>801</v>
      </c>
      <c r="N26" s="6" t="s">
        <v>796</v>
      </c>
    </row>
    <row r="27" spans="1:14" x14ac:dyDescent="0.25">
      <c r="A27" s="2">
        <v>20</v>
      </c>
      <c r="B27" s="2" t="s">
        <v>857</v>
      </c>
      <c r="C27" s="3" t="s">
        <v>28</v>
      </c>
      <c r="D27" s="3" t="s">
        <v>25</v>
      </c>
      <c r="E27" s="3" t="s">
        <v>44</v>
      </c>
      <c r="F27" s="3" t="s">
        <v>72</v>
      </c>
      <c r="G27" s="3" t="s">
        <v>858</v>
      </c>
      <c r="H27" s="3" t="s">
        <v>859</v>
      </c>
      <c r="I27" s="3" t="s">
        <v>135</v>
      </c>
      <c r="J27" s="3" t="s">
        <v>860</v>
      </c>
      <c r="K27" s="3" t="s">
        <v>102</v>
      </c>
      <c r="L27" s="7" t="s">
        <v>801</v>
      </c>
      <c r="M27" s="6" t="s">
        <v>796</v>
      </c>
      <c r="N27" s="7" t="s">
        <v>801</v>
      </c>
    </row>
    <row r="28" spans="1:14" x14ac:dyDescent="0.25">
      <c r="A28" s="2">
        <v>21</v>
      </c>
      <c r="B28" s="2" t="s">
        <v>861</v>
      </c>
      <c r="C28" s="3" t="s">
        <v>76</v>
      </c>
      <c r="D28" s="3" t="s">
        <v>42</v>
      </c>
      <c r="E28" s="3" t="s">
        <v>48</v>
      </c>
      <c r="F28" s="3" t="s">
        <v>65</v>
      </c>
      <c r="G28" s="3" t="s">
        <v>862</v>
      </c>
      <c r="H28" s="3" t="s">
        <v>815</v>
      </c>
      <c r="I28" s="3" t="s">
        <v>137</v>
      </c>
      <c r="J28" s="3" t="s">
        <v>795</v>
      </c>
      <c r="K28" s="3" t="s">
        <v>79</v>
      </c>
      <c r="L28" s="7" t="s">
        <v>801</v>
      </c>
      <c r="M28" s="6" t="s">
        <v>796</v>
      </c>
      <c r="N28" s="6" t="s">
        <v>796</v>
      </c>
    </row>
    <row r="29" spans="1:14" x14ac:dyDescent="0.25">
      <c r="A29" s="2">
        <v>22</v>
      </c>
      <c r="B29" s="2" t="s">
        <v>863</v>
      </c>
      <c r="C29" s="3" t="s">
        <v>69</v>
      </c>
      <c r="D29" s="3" t="s">
        <v>85</v>
      </c>
      <c r="E29" s="3" t="s">
        <v>55</v>
      </c>
      <c r="F29" s="3" t="s">
        <v>59</v>
      </c>
      <c r="G29" s="3" t="s">
        <v>864</v>
      </c>
      <c r="H29" s="3" t="s">
        <v>794</v>
      </c>
      <c r="I29" s="3" t="s">
        <v>170</v>
      </c>
      <c r="J29" s="3" t="s">
        <v>816</v>
      </c>
      <c r="K29" s="3" t="s">
        <v>38</v>
      </c>
      <c r="L29" s="6" t="s">
        <v>796</v>
      </c>
      <c r="M29" s="6" t="s">
        <v>796</v>
      </c>
      <c r="N29" s="6" t="s">
        <v>796</v>
      </c>
    </row>
    <row r="30" spans="1:14" x14ac:dyDescent="0.25">
      <c r="A30" s="2">
        <v>23</v>
      </c>
      <c r="B30" s="2" t="s">
        <v>865</v>
      </c>
      <c r="C30" s="3" t="s">
        <v>93</v>
      </c>
      <c r="D30" s="3" t="s">
        <v>35</v>
      </c>
      <c r="E30" s="3" t="s">
        <v>102</v>
      </c>
      <c r="F30" s="3" t="s">
        <v>26</v>
      </c>
      <c r="G30" s="3" t="s">
        <v>866</v>
      </c>
      <c r="H30" s="3" t="s">
        <v>822</v>
      </c>
      <c r="I30" s="3" t="s">
        <v>135</v>
      </c>
      <c r="J30" s="3" t="s">
        <v>825</v>
      </c>
      <c r="K30" s="3" t="s">
        <v>78</v>
      </c>
      <c r="L30" s="7" t="s">
        <v>801</v>
      </c>
      <c r="M30" s="6" t="s">
        <v>796</v>
      </c>
      <c r="N30" s="6" t="s">
        <v>796</v>
      </c>
    </row>
    <row r="31" spans="1:14" x14ac:dyDescent="0.25">
      <c r="A31" s="2">
        <v>24</v>
      </c>
      <c r="B31" s="2" t="s">
        <v>867</v>
      </c>
      <c r="C31" s="3" t="s">
        <v>50</v>
      </c>
      <c r="D31" s="3" t="s">
        <v>100</v>
      </c>
      <c r="E31" s="3" t="s">
        <v>67</v>
      </c>
      <c r="F31" s="3" t="s">
        <v>114</v>
      </c>
      <c r="G31" s="3" t="s">
        <v>868</v>
      </c>
      <c r="H31" s="3" t="s">
        <v>869</v>
      </c>
      <c r="I31" s="3" t="s">
        <v>141</v>
      </c>
      <c r="J31" s="3" t="s">
        <v>870</v>
      </c>
      <c r="K31" s="3" t="s">
        <v>46</v>
      </c>
      <c r="L31" s="7" t="s">
        <v>801</v>
      </c>
      <c r="M31" s="6" t="s">
        <v>796</v>
      </c>
      <c r="N31" s="6" t="s">
        <v>796</v>
      </c>
    </row>
    <row r="32" spans="1:14" x14ac:dyDescent="0.25">
      <c r="A32" s="2">
        <v>25</v>
      </c>
      <c r="B32" s="2" t="s">
        <v>871</v>
      </c>
      <c r="C32" s="3" t="s">
        <v>49</v>
      </c>
      <c r="D32" s="3" t="s">
        <v>113</v>
      </c>
      <c r="E32" s="3" t="s">
        <v>102</v>
      </c>
      <c r="F32" s="3" t="s">
        <v>79</v>
      </c>
      <c r="G32" s="3" t="s">
        <v>872</v>
      </c>
      <c r="H32" s="3" t="s">
        <v>799</v>
      </c>
      <c r="I32" s="3" t="s">
        <v>142</v>
      </c>
      <c r="J32" s="3" t="s">
        <v>873</v>
      </c>
      <c r="K32" s="3" t="s">
        <v>90</v>
      </c>
      <c r="L32" s="7" t="s">
        <v>801</v>
      </c>
      <c r="M32" s="7" t="s">
        <v>801</v>
      </c>
      <c r="N32" s="7" t="s">
        <v>801</v>
      </c>
    </row>
    <row r="33" spans="1:14" x14ac:dyDescent="0.25">
      <c r="A33" s="2">
        <v>26</v>
      </c>
      <c r="B33" s="2" t="s">
        <v>874</v>
      </c>
      <c r="C33" s="3" t="s">
        <v>101</v>
      </c>
      <c r="D33" s="3" t="s">
        <v>83</v>
      </c>
      <c r="E33" s="3" t="s">
        <v>72</v>
      </c>
      <c r="F33" s="3" t="s">
        <v>79</v>
      </c>
      <c r="G33" s="3" t="s">
        <v>875</v>
      </c>
      <c r="H33" s="3" t="s">
        <v>845</v>
      </c>
      <c r="I33" s="3" t="s">
        <v>141</v>
      </c>
      <c r="J33" s="3" t="s">
        <v>876</v>
      </c>
      <c r="K33" s="3" t="s">
        <v>96</v>
      </c>
      <c r="L33" s="7" t="s">
        <v>801</v>
      </c>
      <c r="M33" s="6" t="s">
        <v>796</v>
      </c>
      <c r="N33" s="7" t="s">
        <v>801</v>
      </c>
    </row>
    <row r="34" spans="1:14" x14ac:dyDescent="0.25">
      <c r="A34" s="2">
        <v>27</v>
      </c>
      <c r="B34" s="2" t="s">
        <v>877</v>
      </c>
      <c r="C34" s="3" t="s">
        <v>38</v>
      </c>
      <c r="D34" s="3" t="s">
        <v>36</v>
      </c>
      <c r="E34" s="3" t="s">
        <v>32</v>
      </c>
      <c r="F34" s="3" t="s">
        <v>77</v>
      </c>
      <c r="G34" s="3" t="s">
        <v>878</v>
      </c>
      <c r="H34" s="3" t="s">
        <v>808</v>
      </c>
      <c r="I34" s="3" t="s">
        <v>138</v>
      </c>
      <c r="J34" s="3" t="s">
        <v>879</v>
      </c>
      <c r="K34" s="3" t="s">
        <v>37</v>
      </c>
      <c r="L34" s="7" t="s">
        <v>801</v>
      </c>
      <c r="M34" s="7" t="s">
        <v>801</v>
      </c>
      <c r="N34" s="6" t="s">
        <v>796</v>
      </c>
    </row>
    <row r="35" spans="1:14" x14ac:dyDescent="0.25">
      <c r="A35" s="2">
        <v>28</v>
      </c>
      <c r="B35" s="2" t="s">
        <v>880</v>
      </c>
      <c r="C35" s="3" t="s">
        <v>92</v>
      </c>
      <c r="D35" s="3" t="s">
        <v>63</v>
      </c>
      <c r="E35" s="3" t="s">
        <v>37</v>
      </c>
      <c r="F35" s="3" t="s">
        <v>93</v>
      </c>
      <c r="G35" s="3" t="s">
        <v>881</v>
      </c>
      <c r="H35" s="3" t="s">
        <v>845</v>
      </c>
      <c r="I35" s="3" t="s">
        <v>143</v>
      </c>
      <c r="J35" s="3" t="s">
        <v>876</v>
      </c>
      <c r="K35" s="3" t="s">
        <v>30</v>
      </c>
      <c r="L35" s="7" t="s">
        <v>801</v>
      </c>
      <c r="M35" s="6" t="s">
        <v>796</v>
      </c>
      <c r="N35" s="6" t="s">
        <v>796</v>
      </c>
    </row>
    <row r="36" spans="1:14" x14ac:dyDescent="0.25">
      <c r="A36" s="2">
        <v>29</v>
      </c>
      <c r="B36" s="2" t="s">
        <v>882</v>
      </c>
      <c r="C36" s="3" t="s">
        <v>97</v>
      </c>
      <c r="D36" s="3" t="s">
        <v>103</v>
      </c>
      <c r="E36" s="3" t="s">
        <v>76</v>
      </c>
      <c r="F36" s="3" t="s">
        <v>48</v>
      </c>
      <c r="G36" s="3" t="s">
        <v>883</v>
      </c>
      <c r="H36" s="3" t="s">
        <v>822</v>
      </c>
      <c r="I36" s="3" t="s">
        <v>133</v>
      </c>
      <c r="J36" s="3" t="s">
        <v>819</v>
      </c>
      <c r="K36" s="3" t="s">
        <v>61</v>
      </c>
      <c r="L36" s="6" t="s">
        <v>796</v>
      </c>
      <c r="M36" s="6" t="s">
        <v>796</v>
      </c>
      <c r="N36" s="6" t="s">
        <v>796</v>
      </c>
    </row>
    <row r="37" spans="1:14" x14ac:dyDescent="0.25">
      <c r="A37" s="2">
        <v>30</v>
      </c>
      <c r="B37" s="2" t="s">
        <v>884</v>
      </c>
      <c r="C37" s="3" t="s">
        <v>19</v>
      </c>
      <c r="D37" s="3" t="s">
        <v>98</v>
      </c>
      <c r="E37" s="3" t="s">
        <v>101</v>
      </c>
      <c r="F37" s="3" t="s">
        <v>97</v>
      </c>
      <c r="G37" s="3" t="s">
        <v>885</v>
      </c>
      <c r="H37" s="3" t="s">
        <v>886</v>
      </c>
      <c r="I37" s="3" t="s">
        <v>141</v>
      </c>
      <c r="J37" s="3" t="s">
        <v>887</v>
      </c>
      <c r="K37" s="3" t="s">
        <v>70</v>
      </c>
      <c r="L37" s="7" t="s">
        <v>801</v>
      </c>
      <c r="M37" s="6" t="s">
        <v>796</v>
      </c>
      <c r="N37" s="7" t="s">
        <v>801</v>
      </c>
    </row>
    <row r="38" spans="1:14" x14ac:dyDescent="0.25">
      <c r="A38" s="2">
        <v>31</v>
      </c>
      <c r="B38" s="2" t="s">
        <v>888</v>
      </c>
      <c r="C38" s="3" t="s">
        <v>93</v>
      </c>
      <c r="D38" s="3" t="s">
        <v>67</v>
      </c>
      <c r="E38" s="3" t="s">
        <v>83</v>
      </c>
      <c r="F38" s="3" t="s">
        <v>63</v>
      </c>
      <c r="G38" s="3" t="s">
        <v>889</v>
      </c>
      <c r="H38" s="3" t="s">
        <v>845</v>
      </c>
      <c r="I38" s="3" t="s">
        <v>143</v>
      </c>
      <c r="J38" s="3" t="s">
        <v>856</v>
      </c>
      <c r="K38" s="3" t="s">
        <v>93</v>
      </c>
      <c r="L38" s="7" t="s">
        <v>801</v>
      </c>
      <c r="M38" s="7" t="s">
        <v>801</v>
      </c>
      <c r="N38" s="7" t="s">
        <v>801</v>
      </c>
    </row>
    <row r="39" spans="1:14" x14ac:dyDescent="0.25">
      <c r="A39" s="2">
        <v>32</v>
      </c>
      <c r="B39" s="2" t="s">
        <v>890</v>
      </c>
      <c r="C39" s="3" t="s">
        <v>74</v>
      </c>
      <c r="D39" s="3" t="s">
        <v>19</v>
      </c>
      <c r="E39" s="3" t="s">
        <v>63</v>
      </c>
      <c r="F39" s="3" t="s">
        <v>21</v>
      </c>
      <c r="G39" s="3" t="s">
        <v>891</v>
      </c>
      <c r="H39" s="3" t="s">
        <v>815</v>
      </c>
      <c r="I39" s="3" t="s">
        <v>133</v>
      </c>
      <c r="J39" s="3" t="s">
        <v>887</v>
      </c>
      <c r="K39" s="3" t="s">
        <v>77</v>
      </c>
      <c r="L39" s="6" t="s">
        <v>796</v>
      </c>
      <c r="M39" s="6" t="s">
        <v>796</v>
      </c>
      <c r="N39" s="6" t="s">
        <v>796</v>
      </c>
    </row>
    <row r="40" spans="1:14" x14ac:dyDescent="0.25">
      <c r="A40" s="2">
        <v>33</v>
      </c>
      <c r="B40" s="2" t="s">
        <v>892</v>
      </c>
      <c r="C40" s="3" t="s">
        <v>39</v>
      </c>
      <c r="D40" s="3" t="s">
        <v>23</v>
      </c>
      <c r="E40" s="3" t="s">
        <v>90</v>
      </c>
      <c r="F40" s="3" t="s">
        <v>22</v>
      </c>
      <c r="G40" s="3" t="s">
        <v>893</v>
      </c>
      <c r="H40" s="3" t="s">
        <v>804</v>
      </c>
      <c r="I40" s="3" t="s">
        <v>170</v>
      </c>
      <c r="J40" s="3" t="s">
        <v>825</v>
      </c>
      <c r="K40" s="3" t="s">
        <v>64</v>
      </c>
      <c r="L40" s="7" t="s">
        <v>801</v>
      </c>
      <c r="M40" s="6" t="s">
        <v>796</v>
      </c>
      <c r="N40" s="7" t="s">
        <v>801</v>
      </c>
    </row>
    <row r="41" spans="1:14" x14ac:dyDescent="0.25">
      <c r="A41" s="2">
        <v>34</v>
      </c>
      <c r="B41" s="2" t="s">
        <v>894</v>
      </c>
      <c r="C41" s="3" t="s">
        <v>114</v>
      </c>
      <c r="D41" s="3" t="s">
        <v>57</v>
      </c>
      <c r="E41" s="3" t="s">
        <v>92</v>
      </c>
      <c r="F41" s="3" t="s">
        <v>97</v>
      </c>
      <c r="G41" s="3" t="s">
        <v>895</v>
      </c>
      <c r="H41" s="3" t="s">
        <v>896</v>
      </c>
      <c r="I41" s="3" t="s">
        <v>133</v>
      </c>
      <c r="J41" s="3" t="s">
        <v>897</v>
      </c>
      <c r="K41" s="3" t="s">
        <v>33</v>
      </c>
      <c r="L41" s="7" t="s">
        <v>801</v>
      </c>
      <c r="M41" s="6" t="s">
        <v>796</v>
      </c>
      <c r="N41" s="7" t="s">
        <v>801</v>
      </c>
    </row>
    <row r="42" spans="1:14" x14ac:dyDescent="0.25">
      <c r="A42" s="2">
        <v>35</v>
      </c>
      <c r="B42" s="2" t="s">
        <v>898</v>
      </c>
      <c r="C42" s="3" t="s">
        <v>81</v>
      </c>
      <c r="D42" s="3" t="s">
        <v>76</v>
      </c>
      <c r="E42" s="3" t="s">
        <v>46</v>
      </c>
      <c r="F42" s="3" t="s">
        <v>104</v>
      </c>
      <c r="G42" s="3" t="s">
        <v>899</v>
      </c>
      <c r="H42" s="3" t="s">
        <v>900</v>
      </c>
      <c r="I42" s="3" t="s">
        <v>143</v>
      </c>
      <c r="J42" s="3" t="s">
        <v>901</v>
      </c>
      <c r="K42" s="3" t="s">
        <v>84</v>
      </c>
      <c r="L42" s="7" t="s">
        <v>801</v>
      </c>
      <c r="M42" s="7" t="s">
        <v>801</v>
      </c>
      <c r="N42" s="6" t="s">
        <v>796</v>
      </c>
    </row>
    <row r="43" spans="1:14" x14ac:dyDescent="0.25">
      <c r="A43" s="2">
        <v>36</v>
      </c>
      <c r="B43" s="2" t="s">
        <v>902</v>
      </c>
      <c r="C43" s="3" t="s">
        <v>74</v>
      </c>
      <c r="D43" s="3" t="s">
        <v>89</v>
      </c>
      <c r="E43" s="3" t="s">
        <v>49</v>
      </c>
      <c r="F43" s="3" t="s">
        <v>73</v>
      </c>
      <c r="G43" s="3" t="s">
        <v>903</v>
      </c>
      <c r="H43" s="3" t="s">
        <v>838</v>
      </c>
      <c r="I43" s="3" t="s">
        <v>146</v>
      </c>
      <c r="J43" s="3" t="s">
        <v>887</v>
      </c>
      <c r="K43" s="3" t="s">
        <v>49</v>
      </c>
      <c r="L43" s="7" t="s">
        <v>801</v>
      </c>
      <c r="M43" s="6" t="s">
        <v>796</v>
      </c>
      <c r="N43" s="7" t="s">
        <v>801</v>
      </c>
    </row>
    <row r="44" spans="1:14" x14ac:dyDescent="0.25">
      <c r="A44" s="2">
        <v>37</v>
      </c>
      <c r="B44" s="2" t="s">
        <v>904</v>
      </c>
      <c r="C44" s="3" t="s">
        <v>21</v>
      </c>
      <c r="D44" s="3" t="s">
        <v>77</v>
      </c>
      <c r="E44" s="3" t="s">
        <v>34</v>
      </c>
      <c r="F44" s="3" t="s">
        <v>66</v>
      </c>
      <c r="G44" s="3" t="s">
        <v>905</v>
      </c>
      <c r="H44" s="3" t="s">
        <v>828</v>
      </c>
      <c r="I44" s="3" t="s">
        <v>133</v>
      </c>
      <c r="J44" s="3" t="s">
        <v>906</v>
      </c>
      <c r="K44" s="3" t="s">
        <v>101</v>
      </c>
      <c r="L44" s="7" t="s">
        <v>801</v>
      </c>
      <c r="M44" s="6" t="s">
        <v>796</v>
      </c>
      <c r="N44" s="6" t="s">
        <v>796</v>
      </c>
    </row>
    <row r="45" spans="1:14" x14ac:dyDescent="0.25">
      <c r="A45" s="2">
        <v>38</v>
      </c>
      <c r="B45" s="2" t="s">
        <v>907</v>
      </c>
      <c r="C45" s="3" t="s">
        <v>110</v>
      </c>
      <c r="D45" s="3" t="s">
        <v>33</v>
      </c>
      <c r="E45" s="3" t="s">
        <v>93</v>
      </c>
      <c r="F45" s="3" t="s">
        <v>59</v>
      </c>
      <c r="G45" s="3" t="s">
        <v>908</v>
      </c>
      <c r="H45" s="3" t="s">
        <v>909</v>
      </c>
      <c r="I45" s="3" t="s">
        <v>146</v>
      </c>
      <c r="J45" s="3" t="s">
        <v>856</v>
      </c>
      <c r="K45" s="3" t="s">
        <v>93</v>
      </c>
      <c r="L45" s="7" t="s">
        <v>801</v>
      </c>
      <c r="M45" s="6" t="s">
        <v>796</v>
      </c>
      <c r="N45" s="7" t="s">
        <v>801</v>
      </c>
    </row>
    <row r="46" spans="1:14" x14ac:dyDescent="0.25">
      <c r="A46" s="2">
        <v>39</v>
      </c>
      <c r="B46" s="2" t="s">
        <v>910</v>
      </c>
      <c r="C46" s="3" t="s">
        <v>51</v>
      </c>
      <c r="D46" s="3" t="s">
        <v>52</v>
      </c>
      <c r="E46" s="3" t="s">
        <v>54</v>
      </c>
      <c r="F46" s="3" t="s">
        <v>20</v>
      </c>
      <c r="G46" s="3" t="s">
        <v>911</v>
      </c>
      <c r="H46" s="3" t="s">
        <v>845</v>
      </c>
      <c r="I46" s="3" t="s">
        <v>135</v>
      </c>
      <c r="J46" s="3" t="s">
        <v>805</v>
      </c>
      <c r="K46" s="3" t="s">
        <v>17</v>
      </c>
      <c r="L46" s="7" t="s">
        <v>801</v>
      </c>
      <c r="M46" s="6" t="s">
        <v>796</v>
      </c>
      <c r="N46" s="7" t="s">
        <v>801</v>
      </c>
    </row>
    <row r="47" spans="1:14" x14ac:dyDescent="0.25">
      <c r="A47" s="2">
        <v>40</v>
      </c>
      <c r="B47" s="2" t="s">
        <v>912</v>
      </c>
      <c r="C47" s="3" t="s">
        <v>30</v>
      </c>
      <c r="D47" s="3" t="s">
        <v>41</v>
      </c>
      <c r="E47" s="3" t="s">
        <v>92</v>
      </c>
      <c r="F47" s="3" t="s">
        <v>83</v>
      </c>
      <c r="G47" s="3" t="s">
        <v>913</v>
      </c>
      <c r="H47" s="3" t="s">
        <v>794</v>
      </c>
      <c r="I47" s="3" t="s">
        <v>170</v>
      </c>
      <c r="J47" s="3" t="s">
        <v>795</v>
      </c>
      <c r="K47" s="3" t="s">
        <v>106</v>
      </c>
      <c r="L47" s="6" t="s">
        <v>796</v>
      </c>
      <c r="M47" s="6" t="s">
        <v>796</v>
      </c>
      <c r="N47" s="6" t="s">
        <v>796</v>
      </c>
    </row>
    <row r="48" spans="1:14" x14ac:dyDescent="0.25">
      <c r="A48" s="2">
        <v>41</v>
      </c>
      <c r="B48" s="2" t="s">
        <v>914</v>
      </c>
      <c r="C48" s="3" t="s">
        <v>75</v>
      </c>
      <c r="D48" s="3" t="s">
        <v>71</v>
      </c>
      <c r="E48" s="3" t="s">
        <v>30</v>
      </c>
      <c r="F48" s="3" t="s">
        <v>77</v>
      </c>
      <c r="G48" s="3" t="s">
        <v>915</v>
      </c>
      <c r="H48" s="3" t="s">
        <v>828</v>
      </c>
      <c r="I48" s="3" t="s">
        <v>142</v>
      </c>
      <c r="J48" s="3" t="s">
        <v>876</v>
      </c>
      <c r="K48" s="3" t="s">
        <v>108</v>
      </c>
      <c r="L48" s="7" t="s">
        <v>801</v>
      </c>
      <c r="M48" s="7" t="s">
        <v>801</v>
      </c>
      <c r="N48" s="6" t="s">
        <v>796</v>
      </c>
    </row>
    <row r="49" spans="1:14" x14ac:dyDescent="0.25">
      <c r="A49" s="2">
        <v>42</v>
      </c>
      <c r="B49" s="2" t="s">
        <v>916</v>
      </c>
      <c r="C49" s="3" t="s">
        <v>114</v>
      </c>
      <c r="D49" s="3" t="s">
        <v>108</v>
      </c>
      <c r="E49" s="3" t="s">
        <v>48</v>
      </c>
      <c r="F49" s="3" t="s">
        <v>63</v>
      </c>
      <c r="G49" s="3" t="s">
        <v>917</v>
      </c>
      <c r="H49" s="3" t="s">
        <v>804</v>
      </c>
      <c r="I49" s="3" t="s">
        <v>142</v>
      </c>
      <c r="J49" s="3" t="s">
        <v>816</v>
      </c>
      <c r="K49" s="3" t="s">
        <v>91</v>
      </c>
      <c r="L49" s="7" t="s">
        <v>801</v>
      </c>
      <c r="M49" s="6" t="s">
        <v>796</v>
      </c>
      <c r="N49" s="7" t="s">
        <v>801</v>
      </c>
    </row>
    <row r="50" spans="1:14" x14ac:dyDescent="0.25">
      <c r="A50" s="2">
        <v>43</v>
      </c>
      <c r="B50" s="2" t="s">
        <v>918</v>
      </c>
      <c r="C50" s="3" t="s">
        <v>97</v>
      </c>
      <c r="D50" s="3" t="s">
        <v>66</v>
      </c>
      <c r="E50" s="3" t="s">
        <v>32</v>
      </c>
      <c r="F50" s="3" t="s">
        <v>26</v>
      </c>
      <c r="G50" s="3" t="s">
        <v>905</v>
      </c>
      <c r="H50" s="3" t="s">
        <v>848</v>
      </c>
      <c r="I50" s="3" t="s">
        <v>170</v>
      </c>
      <c r="J50" s="3" t="s">
        <v>919</v>
      </c>
      <c r="K50" s="3" t="s">
        <v>93</v>
      </c>
      <c r="L50" s="6" t="s">
        <v>796</v>
      </c>
      <c r="M50" s="6" t="s">
        <v>796</v>
      </c>
      <c r="N50" s="6" t="s">
        <v>796</v>
      </c>
    </row>
    <row r="51" spans="1:14" x14ac:dyDescent="0.25">
      <c r="A51" s="2">
        <v>44</v>
      </c>
      <c r="B51" s="2" t="s">
        <v>920</v>
      </c>
      <c r="C51" s="3" t="s">
        <v>89</v>
      </c>
      <c r="D51" s="3" t="s">
        <v>25</v>
      </c>
      <c r="E51" s="3" t="s">
        <v>26</v>
      </c>
      <c r="F51" s="3" t="s">
        <v>17</v>
      </c>
      <c r="G51" s="3" t="s">
        <v>921</v>
      </c>
      <c r="H51" s="3" t="s">
        <v>822</v>
      </c>
      <c r="I51" s="3" t="s">
        <v>170</v>
      </c>
      <c r="J51" s="3" t="s">
        <v>833</v>
      </c>
      <c r="K51" s="3" t="s">
        <v>46</v>
      </c>
      <c r="L51" s="7" t="s">
        <v>801</v>
      </c>
      <c r="M51" s="7" t="s">
        <v>801</v>
      </c>
      <c r="N51" s="6" t="s">
        <v>796</v>
      </c>
    </row>
    <row r="52" spans="1:14" x14ac:dyDescent="0.25">
      <c r="A52" s="2">
        <v>45</v>
      </c>
      <c r="B52" s="2" t="s">
        <v>922</v>
      </c>
      <c r="C52" s="3" t="s">
        <v>34</v>
      </c>
      <c r="D52" s="3" t="s">
        <v>25</v>
      </c>
      <c r="E52" s="3" t="s">
        <v>76</v>
      </c>
      <c r="F52" s="3" t="s">
        <v>102</v>
      </c>
      <c r="G52" s="3" t="s">
        <v>923</v>
      </c>
      <c r="H52" s="3" t="s">
        <v>799</v>
      </c>
      <c r="I52" s="3" t="s">
        <v>135</v>
      </c>
      <c r="J52" s="3" t="s">
        <v>873</v>
      </c>
      <c r="K52" s="3" t="s">
        <v>17</v>
      </c>
      <c r="L52" s="7" t="s">
        <v>801</v>
      </c>
      <c r="M52" s="6" t="s">
        <v>796</v>
      </c>
      <c r="N52" s="7" t="s">
        <v>801</v>
      </c>
    </row>
    <row r="53" spans="1:14" x14ac:dyDescent="0.25">
      <c r="A53" s="2">
        <v>46</v>
      </c>
      <c r="B53" s="2" t="s">
        <v>924</v>
      </c>
      <c r="C53" s="3" t="s">
        <v>95</v>
      </c>
      <c r="D53" s="3" t="s">
        <v>19</v>
      </c>
      <c r="E53" s="3" t="s">
        <v>50</v>
      </c>
      <c r="F53" s="3" t="s">
        <v>61</v>
      </c>
      <c r="G53" s="3" t="s">
        <v>925</v>
      </c>
      <c r="H53" s="3" t="s">
        <v>926</v>
      </c>
      <c r="I53" s="3" t="s">
        <v>146</v>
      </c>
      <c r="J53" s="3" t="s">
        <v>927</v>
      </c>
      <c r="K53" s="3" t="s">
        <v>97</v>
      </c>
      <c r="L53" s="6" t="s">
        <v>796</v>
      </c>
      <c r="M53" s="6" t="s">
        <v>796</v>
      </c>
      <c r="N53" s="6" t="s">
        <v>796</v>
      </c>
    </row>
    <row r="54" spans="1:14" x14ac:dyDescent="0.25">
      <c r="A54" s="2">
        <v>47</v>
      </c>
      <c r="B54" s="2" t="s">
        <v>928</v>
      </c>
      <c r="C54" s="3" t="s">
        <v>91</v>
      </c>
      <c r="D54" s="3" t="s">
        <v>58</v>
      </c>
      <c r="E54" s="3" t="s">
        <v>25</v>
      </c>
      <c r="F54" s="3" t="s">
        <v>97</v>
      </c>
      <c r="G54" s="3" t="s">
        <v>929</v>
      </c>
      <c r="H54" s="3" t="s">
        <v>812</v>
      </c>
      <c r="I54" s="3" t="s">
        <v>170</v>
      </c>
      <c r="J54" s="3" t="s">
        <v>930</v>
      </c>
      <c r="K54" s="3" t="s">
        <v>29</v>
      </c>
      <c r="L54" s="7" t="s">
        <v>801</v>
      </c>
      <c r="M54" s="6" t="s">
        <v>796</v>
      </c>
      <c r="N54" s="7" t="s">
        <v>801</v>
      </c>
    </row>
    <row r="55" spans="1:14" x14ac:dyDescent="0.25">
      <c r="A55" s="2">
        <v>48</v>
      </c>
      <c r="B55" s="2" t="s">
        <v>931</v>
      </c>
      <c r="C55" s="3" t="s">
        <v>107</v>
      </c>
      <c r="D55" s="3" t="s">
        <v>30</v>
      </c>
      <c r="E55" s="3" t="s">
        <v>112</v>
      </c>
      <c r="F55" s="3" t="s">
        <v>25</v>
      </c>
      <c r="G55" s="3" t="s">
        <v>932</v>
      </c>
      <c r="H55" s="3" t="s">
        <v>933</v>
      </c>
      <c r="I55" s="3" t="s">
        <v>170</v>
      </c>
      <c r="J55" s="3" t="s">
        <v>934</v>
      </c>
      <c r="K55" s="3" t="s">
        <v>28</v>
      </c>
      <c r="L55" s="7" t="s">
        <v>801</v>
      </c>
      <c r="M55" s="7" t="s">
        <v>801</v>
      </c>
      <c r="N55" s="6" t="s">
        <v>796</v>
      </c>
    </row>
    <row r="56" spans="1:14" x14ac:dyDescent="0.25">
      <c r="A56" s="2">
        <v>49</v>
      </c>
      <c r="B56" s="2" t="s">
        <v>935</v>
      </c>
      <c r="C56" s="3" t="s">
        <v>46</v>
      </c>
      <c r="D56" s="3" t="s">
        <v>104</v>
      </c>
      <c r="E56" s="3" t="s">
        <v>25</v>
      </c>
      <c r="F56" s="3" t="s">
        <v>49</v>
      </c>
      <c r="G56" s="3" t="s">
        <v>936</v>
      </c>
      <c r="H56" s="3" t="s">
        <v>845</v>
      </c>
      <c r="I56" s="3" t="s">
        <v>142</v>
      </c>
      <c r="J56" s="3" t="s">
        <v>809</v>
      </c>
      <c r="K56" s="3" t="s">
        <v>71</v>
      </c>
      <c r="L56" s="6" t="s">
        <v>796</v>
      </c>
      <c r="M56" s="6" t="s">
        <v>796</v>
      </c>
      <c r="N56" s="6" t="s">
        <v>796</v>
      </c>
    </row>
    <row r="57" spans="1:14" x14ac:dyDescent="0.25">
      <c r="A57" s="2">
        <v>50</v>
      </c>
      <c r="B57" s="2" t="s">
        <v>937</v>
      </c>
      <c r="C57" s="3" t="s">
        <v>61</v>
      </c>
      <c r="D57" s="3" t="s">
        <v>59</v>
      </c>
      <c r="E57" s="3" t="s">
        <v>16</v>
      </c>
      <c r="F57" s="3" t="s">
        <v>73</v>
      </c>
      <c r="G57" s="3" t="s">
        <v>938</v>
      </c>
      <c r="H57" s="3" t="s">
        <v>828</v>
      </c>
      <c r="I57" s="3" t="s">
        <v>141</v>
      </c>
      <c r="J57" s="3" t="s">
        <v>876</v>
      </c>
      <c r="K57" s="3" t="s">
        <v>53</v>
      </c>
      <c r="L57" s="7" t="s">
        <v>801</v>
      </c>
      <c r="M57" s="6" t="s">
        <v>796</v>
      </c>
      <c r="N57" s="7" t="s">
        <v>801</v>
      </c>
    </row>
    <row r="58" spans="1:14" x14ac:dyDescent="0.25">
      <c r="A58" s="2">
        <v>51</v>
      </c>
      <c r="B58" s="2" t="s">
        <v>939</v>
      </c>
      <c r="C58" s="3" t="s">
        <v>111</v>
      </c>
      <c r="D58" s="3" t="s">
        <v>52</v>
      </c>
      <c r="E58" s="3" t="s">
        <v>53</v>
      </c>
      <c r="F58" s="3" t="s">
        <v>58</v>
      </c>
      <c r="G58" s="3" t="s">
        <v>818</v>
      </c>
      <c r="H58" s="3" t="s">
        <v>822</v>
      </c>
      <c r="I58" s="3" t="s">
        <v>141</v>
      </c>
      <c r="J58" s="3" t="s">
        <v>940</v>
      </c>
      <c r="K58" s="3" t="s">
        <v>69</v>
      </c>
      <c r="L58" s="7" t="s">
        <v>801</v>
      </c>
      <c r="M58" s="6" t="s">
        <v>796</v>
      </c>
      <c r="N58" s="6" t="s">
        <v>796</v>
      </c>
    </row>
    <row r="59" spans="1:14" x14ac:dyDescent="0.25">
      <c r="A59" s="2">
        <v>52</v>
      </c>
      <c r="B59" s="2" t="s">
        <v>941</v>
      </c>
      <c r="C59" s="3" t="s">
        <v>100</v>
      </c>
      <c r="D59" s="3" t="s">
        <v>46</v>
      </c>
      <c r="E59" s="3" t="s">
        <v>29</v>
      </c>
      <c r="F59" s="3" t="s">
        <v>83</v>
      </c>
      <c r="G59" s="3" t="s">
        <v>942</v>
      </c>
      <c r="H59" s="3" t="s">
        <v>909</v>
      </c>
      <c r="I59" s="3" t="s">
        <v>137</v>
      </c>
      <c r="J59" s="3" t="s">
        <v>940</v>
      </c>
      <c r="K59" s="3" t="s">
        <v>24</v>
      </c>
      <c r="L59" s="7" t="s">
        <v>801</v>
      </c>
      <c r="M59" s="6" t="s">
        <v>796</v>
      </c>
      <c r="N59" s="7" t="s">
        <v>801</v>
      </c>
    </row>
    <row r="60" spans="1:14" x14ac:dyDescent="0.25">
      <c r="A60" s="2">
        <v>53</v>
      </c>
      <c r="B60" s="2" t="s">
        <v>943</v>
      </c>
      <c r="C60" s="3" t="s">
        <v>66</v>
      </c>
      <c r="D60" s="3" t="s">
        <v>57</v>
      </c>
      <c r="E60" s="3" t="s">
        <v>81</v>
      </c>
      <c r="F60" s="3" t="s">
        <v>115</v>
      </c>
      <c r="G60" s="3" t="s">
        <v>944</v>
      </c>
      <c r="H60" s="3" t="s">
        <v>815</v>
      </c>
      <c r="I60" s="3" t="s">
        <v>143</v>
      </c>
      <c r="J60" s="3" t="s">
        <v>906</v>
      </c>
      <c r="K60" s="3" t="s">
        <v>99</v>
      </c>
      <c r="L60" s="6" t="s">
        <v>796</v>
      </c>
      <c r="M60" s="6" t="s">
        <v>796</v>
      </c>
      <c r="N60" s="6" t="s">
        <v>796</v>
      </c>
    </row>
    <row r="61" spans="1:14" x14ac:dyDescent="0.25">
      <c r="A61" s="2">
        <v>54</v>
      </c>
      <c r="B61" s="2" t="s">
        <v>945</v>
      </c>
      <c r="C61" s="3" t="s">
        <v>73</v>
      </c>
      <c r="D61" s="3" t="s">
        <v>58</v>
      </c>
      <c r="E61" s="3" t="s">
        <v>55</v>
      </c>
      <c r="F61" s="3" t="s">
        <v>29</v>
      </c>
      <c r="G61" s="3" t="s">
        <v>946</v>
      </c>
      <c r="H61" s="3" t="s">
        <v>812</v>
      </c>
      <c r="I61" s="3" t="s">
        <v>170</v>
      </c>
      <c r="J61" s="3" t="s">
        <v>940</v>
      </c>
      <c r="K61" s="3" t="s">
        <v>107</v>
      </c>
      <c r="L61" s="7" t="s">
        <v>801</v>
      </c>
      <c r="M61" s="6" t="s">
        <v>796</v>
      </c>
      <c r="N61" s="6" t="s">
        <v>796</v>
      </c>
    </row>
    <row r="62" spans="1:14" x14ac:dyDescent="0.25">
      <c r="A62" s="2">
        <v>55</v>
      </c>
      <c r="B62" s="2" t="s">
        <v>947</v>
      </c>
      <c r="C62" s="3" t="s">
        <v>81</v>
      </c>
      <c r="D62" s="3" t="s">
        <v>98</v>
      </c>
      <c r="E62" s="3" t="s">
        <v>113</v>
      </c>
      <c r="F62" s="3" t="s">
        <v>25</v>
      </c>
      <c r="G62" s="3" t="s">
        <v>948</v>
      </c>
      <c r="H62" s="3" t="s">
        <v>822</v>
      </c>
      <c r="I62" s="3" t="s">
        <v>137</v>
      </c>
      <c r="J62" s="3" t="s">
        <v>819</v>
      </c>
      <c r="K62" s="3" t="s">
        <v>64</v>
      </c>
      <c r="L62" s="7" t="s">
        <v>801</v>
      </c>
      <c r="M62" s="6" t="s">
        <v>796</v>
      </c>
      <c r="N62" s="6" t="s">
        <v>796</v>
      </c>
    </row>
    <row r="63" spans="1:14" x14ac:dyDescent="0.25">
      <c r="A63" s="2">
        <v>56</v>
      </c>
      <c r="B63" s="2" t="s">
        <v>949</v>
      </c>
      <c r="C63" s="3" t="s">
        <v>108</v>
      </c>
      <c r="D63" s="3" t="s">
        <v>89</v>
      </c>
      <c r="E63" s="3" t="s">
        <v>76</v>
      </c>
      <c r="F63" s="3" t="s">
        <v>93</v>
      </c>
      <c r="G63" s="3" t="s">
        <v>950</v>
      </c>
      <c r="H63" s="3" t="s">
        <v>822</v>
      </c>
      <c r="I63" s="3" t="s">
        <v>142</v>
      </c>
      <c r="J63" s="3" t="s">
        <v>795</v>
      </c>
      <c r="K63" s="3" t="s">
        <v>73</v>
      </c>
      <c r="L63" s="7" t="s">
        <v>801</v>
      </c>
      <c r="M63" s="6" t="s">
        <v>796</v>
      </c>
      <c r="N63" s="6" t="s">
        <v>796</v>
      </c>
    </row>
    <row r="64" spans="1:14" x14ac:dyDescent="0.25">
      <c r="A64" s="2">
        <v>57</v>
      </c>
      <c r="B64" s="2" t="s">
        <v>951</v>
      </c>
      <c r="C64" s="3" t="s">
        <v>61</v>
      </c>
      <c r="D64" s="3" t="s">
        <v>77</v>
      </c>
      <c r="E64" s="3" t="s">
        <v>114</v>
      </c>
      <c r="F64" s="3" t="s">
        <v>16</v>
      </c>
      <c r="G64" s="3" t="s">
        <v>952</v>
      </c>
      <c r="H64" s="3" t="s">
        <v>828</v>
      </c>
      <c r="I64" s="3" t="s">
        <v>143</v>
      </c>
      <c r="J64" s="3" t="s">
        <v>953</v>
      </c>
      <c r="K64" s="3" t="s">
        <v>94</v>
      </c>
      <c r="L64" s="7" t="s">
        <v>801</v>
      </c>
      <c r="M64" s="6" t="s">
        <v>796</v>
      </c>
      <c r="N64" s="7" t="s">
        <v>801</v>
      </c>
    </row>
    <row r="65" spans="1:14" x14ac:dyDescent="0.25">
      <c r="A65" s="2">
        <v>58</v>
      </c>
      <c r="B65" s="2" t="s">
        <v>954</v>
      </c>
      <c r="C65" s="3" t="s">
        <v>37</v>
      </c>
      <c r="D65" s="3" t="s">
        <v>52</v>
      </c>
      <c r="E65" s="3" t="s">
        <v>93</v>
      </c>
      <c r="F65" s="3" t="s">
        <v>95</v>
      </c>
      <c r="G65" s="3" t="s">
        <v>955</v>
      </c>
      <c r="H65" s="3" t="s">
        <v>845</v>
      </c>
      <c r="I65" s="3" t="s">
        <v>141</v>
      </c>
      <c r="J65" s="3" t="s">
        <v>795</v>
      </c>
      <c r="K65" s="3" t="s">
        <v>35</v>
      </c>
      <c r="L65" s="7" t="s">
        <v>801</v>
      </c>
      <c r="M65" s="6" t="s">
        <v>796</v>
      </c>
      <c r="N65" s="6" t="s">
        <v>796</v>
      </c>
    </row>
    <row r="66" spans="1:14" x14ac:dyDescent="0.25">
      <c r="A66" s="2">
        <v>59</v>
      </c>
      <c r="B66" s="2" t="s">
        <v>956</v>
      </c>
      <c r="C66" s="3" t="s">
        <v>21</v>
      </c>
      <c r="D66" s="3" t="s">
        <v>42</v>
      </c>
      <c r="E66" s="3" t="s">
        <v>107</v>
      </c>
      <c r="F66" s="3" t="s">
        <v>51</v>
      </c>
      <c r="G66" s="3" t="s">
        <v>957</v>
      </c>
      <c r="H66" s="3" t="s">
        <v>841</v>
      </c>
      <c r="I66" s="3" t="s">
        <v>137</v>
      </c>
      <c r="J66" s="3" t="s">
        <v>809</v>
      </c>
      <c r="K66" s="3" t="s">
        <v>75</v>
      </c>
      <c r="L66" s="7" t="s">
        <v>801</v>
      </c>
      <c r="M66" s="6" t="s">
        <v>796</v>
      </c>
      <c r="N66" s="6" t="s">
        <v>796</v>
      </c>
    </row>
    <row r="67" spans="1:14" x14ac:dyDescent="0.25">
      <c r="A67" s="2">
        <v>60</v>
      </c>
      <c r="B67" s="2" t="s">
        <v>958</v>
      </c>
      <c r="C67" s="3" t="s">
        <v>115</v>
      </c>
      <c r="D67" s="3" t="s">
        <v>56</v>
      </c>
      <c r="E67" s="3" t="s">
        <v>30</v>
      </c>
      <c r="F67" s="3" t="s">
        <v>77</v>
      </c>
      <c r="G67" s="3" t="s">
        <v>932</v>
      </c>
      <c r="H67" s="3" t="s">
        <v>896</v>
      </c>
      <c r="I67" s="3" t="s">
        <v>133</v>
      </c>
      <c r="J67" s="3" t="s">
        <v>919</v>
      </c>
      <c r="K67" s="3" t="s">
        <v>65</v>
      </c>
      <c r="L67" s="7" t="s">
        <v>801</v>
      </c>
      <c r="M67" s="6" t="s">
        <v>796</v>
      </c>
      <c r="N67" s="7" t="s">
        <v>801</v>
      </c>
    </row>
    <row r="68" spans="1:14" x14ac:dyDescent="0.25">
      <c r="A68" s="2">
        <v>61</v>
      </c>
      <c r="B68" s="2" t="s">
        <v>959</v>
      </c>
      <c r="C68" s="3" t="s">
        <v>30</v>
      </c>
      <c r="D68" s="3" t="s">
        <v>87</v>
      </c>
      <c r="E68" s="3" t="s">
        <v>101</v>
      </c>
      <c r="F68" s="3" t="s">
        <v>17</v>
      </c>
      <c r="G68" s="3" t="s">
        <v>960</v>
      </c>
      <c r="H68" s="3" t="s">
        <v>815</v>
      </c>
      <c r="I68" s="3" t="s">
        <v>146</v>
      </c>
      <c r="J68" s="3" t="s">
        <v>795</v>
      </c>
      <c r="K68" s="3" t="s">
        <v>67</v>
      </c>
      <c r="L68" s="7" t="s">
        <v>801</v>
      </c>
      <c r="M68" s="6" t="s">
        <v>796</v>
      </c>
      <c r="N68" s="7" t="s">
        <v>801</v>
      </c>
    </row>
    <row r="69" spans="1:14" x14ac:dyDescent="0.25">
      <c r="A69" s="2">
        <v>62</v>
      </c>
      <c r="B69" s="2" t="s">
        <v>961</v>
      </c>
      <c r="C69" s="3" t="s">
        <v>59</v>
      </c>
      <c r="D69" s="3" t="s">
        <v>37</v>
      </c>
      <c r="E69" s="3" t="s">
        <v>80</v>
      </c>
      <c r="F69" s="3" t="s">
        <v>99</v>
      </c>
      <c r="G69" s="3" t="s">
        <v>962</v>
      </c>
      <c r="H69" s="3" t="s">
        <v>838</v>
      </c>
      <c r="I69" s="3" t="s">
        <v>135</v>
      </c>
      <c r="J69" s="3" t="s">
        <v>963</v>
      </c>
      <c r="K69" s="3" t="s">
        <v>52</v>
      </c>
      <c r="L69" s="7" t="s">
        <v>801</v>
      </c>
      <c r="M69" s="6" t="s">
        <v>796</v>
      </c>
      <c r="N69" s="6" t="s">
        <v>796</v>
      </c>
    </row>
    <row r="70" spans="1:14" x14ac:dyDescent="0.25">
      <c r="A70" s="2">
        <v>63</v>
      </c>
      <c r="B70" s="2" t="s">
        <v>964</v>
      </c>
      <c r="C70" s="3" t="s">
        <v>90</v>
      </c>
      <c r="D70" s="3" t="s">
        <v>43</v>
      </c>
      <c r="E70" s="3" t="s">
        <v>40</v>
      </c>
      <c r="F70" s="3" t="s">
        <v>58</v>
      </c>
      <c r="G70" s="3" t="s">
        <v>965</v>
      </c>
      <c r="H70" s="3" t="s">
        <v>799</v>
      </c>
      <c r="I70" s="3" t="s">
        <v>151</v>
      </c>
      <c r="J70" s="3" t="s">
        <v>966</v>
      </c>
      <c r="K70" s="3" t="s">
        <v>96</v>
      </c>
      <c r="L70" s="6" t="s">
        <v>796</v>
      </c>
      <c r="M70" s="6" t="s">
        <v>796</v>
      </c>
      <c r="N70" s="6" t="s">
        <v>796</v>
      </c>
    </row>
    <row r="71" spans="1:14" x14ac:dyDescent="0.25">
      <c r="A71" s="2">
        <v>64</v>
      </c>
      <c r="B71" s="2" t="s">
        <v>967</v>
      </c>
      <c r="C71" s="3" t="s">
        <v>69</v>
      </c>
      <c r="D71" s="3" t="s">
        <v>51</v>
      </c>
      <c r="E71" s="3" t="s">
        <v>81</v>
      </c>
      <c r="F71" s="3" t="s">
        <v>36</v>
      </c>
      <c r="G71" s="3" t="s">
        <v>968</v>
      </c>
      <c r="H71" s="3" t="s">
        <v>969</v>
      </c>
      <c r="I71" s="3" t="s">
        <v>137</v>
      </c>
      <c r="J71" s="3" t="s">
        <v>816</v>
      </c>
      <c r="K71" s="3" t="s">
        <v>58</v>
      </c>
      <c r="L71" s="7" t="s">
        <v>801</v>
      </c>
      <c r="M71" s="6" t="s">
        <v>796</v>
      </c>
      <c r="N71" s="7" t="s">
        <v>801</v>
      </c>
    </row>
    <row r="72" spans="1:14" x14ac:dyDescent="0.25">
      <c r="A72" s="2">
        <v>65</v>
      </c>
      <c r="B72" s="2" t="s">
        <v>970</v>
      </c>
      <c r="C72" s="3" t="s">
        <v>53</v>
      </c>
      <c r="D72" s="3" t="s">
        <v>111</v>
      </c>
      <c r="E72" s="3" t="s">
        <v>94</v>
      </c>
      <c r="F72" s="3" t="s">
        <v>67</v>
      </c>
      <c r="G72" s="3" t="s">
        <v>971</v>
      </c>
      <c r="H72" s="3" t="s">
        <v>822</v>
      </c>
      <c r="I72" s="3" t="s">
        <v>143</v>
      </c>
      <c r="J72" s="3" t="s">
        <v>795</v>
      </c>
      <c r="K72" s="3" t="s">
        <v>84</v>
      </c>
      <c r="L72" s="7" t="s">
        <v>801</v>
      </c>
      <c r="M72" s="7" t="s">
        <v>801</v>
      </c>
      <c r="N72" s="7" t="s">
        <v>801</v>
      </c>
    </row>
    <row r="73" spans="1:14" x14ac:dyDescent="0.25">
      <c r="A73" s="2">
        <v>66</v>
      </c>
      <c r="B73" s="2" t="s">
        <v>972</v>
      </c>
      <c r="C73" s="3" t="s">
        <v>113</v>
      </c>
      <c r="D73" s="3" t="s">
        <v>87</v>
      </c>
      <c r="E73" s="3" t="s">
        <v>25</v>
      </c>
      <c r="F73" s="3" t="s">
        <v>59</v>
      </c>
      <c r="G73" s="3" t="s">
        <v>973</v>
      </c>
      <c r="H73" s="3" t="s">
        <v>926</v>
      </c>
      <c r="I73" s="3" t="s">
        <v>146</v>
      </c>
      <c r="J73" s="3" t="s">
        <v>974</v>
      </c>
      <c r="K73" s="3" t="s">
        <v>40</v>
      </c>
      <c r="L73" s="7" t="s">
        <v>801</v>
      </c>
      <c r="M73" s="6" t="s">
        <v>796</v>
      </c>
      <c r="N73" s="7" t="s">
        <v>801</v>
      </c>
    </row>
    <row r="74" spans="1:14" x14ac:dyDescent="0.25">
      <c r="A74" s="2">
        <v>67</v>
      </c>
      <c r="B74" s="2" t="s">
        <v>975</v>
      </c>
      <c r="C74" s="3" t="s">
        <v>106</v>
      </c>
      <c r="D74" s="3" t="s">
        <v>24</v>
      </c>
      <c r="E74" s="3" t="s">
        <v>80</v>
      </c>
      <c r="F74" s="3" t="s">
        <v>75</v>
      </c>
      <c r="G74" s="3" t="s">
        <v>976</v>
      </c>
      <c r="H74" s="3" t="s">
        <v>886</v>
      </c>
      <c r="I74" s="3" t="s">
        <v>170</v>
      </c>
      <c r="J74" s="3" t="s">
        <v>856</v>
      </c>
      <c r="K74" s="3" t="s">
        <v>75</v>
      </c>
      <c r="L74" s="7" t="s">
        <v>801</v>
      </c>
      <c r="M74" s="6" t="s">
        <v>796</v>
      </c>
      <c r="N74" s="7" t="s">
        <v>801</v>
      </c>
    </row>
    <row r="75" spans="1:14" x14ac:dyDescent="0.25">
      <c r="A75" s="2">
        <v>68</v>
      </c>
      <c r="B75" s="2" t="s">
        <v>977</v>
      </c>
      <c r="C75" s="3" t="s">
        <v>104</v>
      </c>
      <c r="D75" s="3" t="s">
        <v>106</v>
      </c>
      <c r="E75" s="3" t="s">
        <v>26</v>
      </c>
      <c r="F75" s="3" t="s">
        <v>81</v>
      </c>
      <c r="G75" s="3" t="s">
        <v>978</v>
      </c>
      <c r="H75" s="3" t="s">
        <v>799</v>
      </c>
      <c r="I75" s="3" t="s">
        <v>138</v>
      </c>
      <c r="J75" s="3" t="s">
        <v>800</v>
      </c>
      <c r="K75" s="3" t="s">
        <v>64</v>
      </c>
      <c r="L75" s="7" t="s">
        <v>801</v>
      </c>
      <c r="M75" s="6" t="s">
        <v>796</v>
      </c>
      <c r="N75" s="6" t="s">
        <v>796</v>
      </c>
    </row>
    <row r="76" spans="1:14" x14ac:dyDescent="0.25">
      <c r="A76" s="2">
        <v>69</v>
      </c>
      <c r="B76" s="2" t="s">
        <v>979</v>
      </c>
      <c r="C76" s="3" t="s">
        <v>68</v>
      </c>
      <c r="D76" s="3" t="s">
        <v>71</v>
      </c>
      <c r="E76" s="3" t="s">
        <v>108</v>
      </c>
      <c r="F76" s="3" t="s">
        <v>107</v>
      </c>
      <c r="G76" s="3" t="s">
        <v>837</v>
      </c>
      <c r="H76" s="3" t="s">
        <v>804</v>
      </c>
      <c r="I76" s="3" t="s">
        <v>142</v>
      </c>
      <c r="J76" s="3" t="s">
        <v>980</v>
      </c>
      <c r="K76" s="3" t="s">
        <v>86</v>
      </c>
      <c r="L76" s="6" t="s">
        <v>796</v>
      </c>
      <c r="M76" s="6" t="s">
        <v>796</v>
      </c>
      <c r="N76" s="6" t="s">
        <v>796</v>
      </c>
    </row>
    <row r="77" spans="1:14" x14ac:dyDescent="0.25">
      <c r="A77" s="2">
        <v>70</v>
      </c>
      <c r="B77" s="2" t="s">
        <v>981</v>
      </c>
      <c r="C77" s="3" t="s">
        <v>84</v>
      </c>
      <c r="D77" s="3" t="s">
        <v>100</v>
      </c>
      <c r="E77" s="3" t="s">
        <v>54</v>
      </c>
      <c r="F77" s="3" t="s">
        <v>92</v>
      </c>
      <c r="G77" s="3" t="s">
        <v>982</v>
      </c>
      <c r="H77" s="3" t="s">
        <v>926</v>
      </c>
      <c r="I77" s="3" t="s">
        <v>146</v>
      </c>
      <c r="J77" s="3" t="s">
        <v>983</v>
      </c>
      <c r="K77" s="3" t="s">
        <v>68</v>
      </c>
      <c r="L77" s="6" t="s">
        <v>796</v>
      </c>
      <c r="M77" s="7" t="s">
        <v>801</v>
      </c>
      <c r="N77" s="6" t="s">
        <v>796</v>
      </c>
    </row>
    <row r="78" spans="1:14" x14ac:dyDescent="0.25">
      <c r="A78" s="2">
        <v>71</v>
      </c>
      <c r="B78" s="2" t="s">
        <v>984</v>
      </c>
      <c r="C78" s="3" t="s">
        <v>63</v>
      </c>
      <c r="D78" s="3" t="s">
        <v>66</v>
      </c>
      <c r="E78" s="3" t="s">
        <v>55</v>
      </c>
      <c r="F78" s="3" t="s">
        <v>44</v>
      </c>
      <c r="G78" s="3" t="s">
        <v>985</v>
      </c>
      <c r="H78" s="3" t="s">
        <v>804</v>
      </c>
      <c r="I78" s="3" t="s">
        <v>146</v>
      </c>
      <c r="J78" s="3" t="s">
        <v>930</v>
      </c>
      <c r="K78" s="3" t="s">
        <v>85</v>
      </c>
      <c r="L78" s="7" t="s">
        <v>801</v>
      </c>
      <c r="M78" s="6" t="s">
        <v>796</v>
      </c>
      <c r="N78" s="7" t="s">
        <v>801</v>
      </c>
    </row>
    <row r="79" spans="1:14" x14ac:dyDescent="0.25">
      <c r="A79" s="2">
        <v>72</v>
      </c>
      <c r="B79" s="2" t="s">
        <v>986</v>
      </c>
      <c r="C79" s="3" t="s">
        <v>106</v>
      </c>
      <c r="D79" s="3" t="s">
        <v>38</v>
      </c>
      <c r="E79" s="3" t="s">
        <v>91</v>
      </c>
      <c r="F79" s="3" t="s">
        <v>109</v>
      </c>
      <c r="G79" s="3" t="s">
        <v>987</v>
      </c>
      <c r="H79" s="3" t="s">
        <v>808</v>
      </c>
      <c r="I79" s="3" t="s">
        <v>146</v>
      </c>
      <c r="J79" s="3" t="s">
        <v>988</v>
      </c>
      <c r="K79" s="3" t="s">
        <v>103</v>
      </c>
      <c r="L79" s="7" t="s">
        <v>801</v>
      </c>
      <c r="M79" s="6" t="s">
        <v>796</v>
      </c>
      <c r="N79" s="6" t="s">
        <v>796</v>
      </c>
    </row>
    <row r="80" spans="1:14" x14ac:dyDescent="0.25">
      <c r="A80" s="2">
        <v>73</v>
      </c>
      <c r="B80" s="2" t="s">
        <v>989</v>
      </c>
      <c r="C80" s="3" t="s">
        <v>73</v>
      </c>
      <c r="D80" s="3" t="s">
        <v>32</v>
      </c>
      <c r="E80" s="3" t="s">
        <v>46</v>
      </c>
      <c r="F80" s="3" t="s">
        <v>45</v>
      </c>
      <c r="G80" s="3" t="s">
        <v>990</v>
      </c>
      <c r="H80" s="3" t="s">
        <v>969</v>
      </c>
      <c r="I80" s="3" t="s">
        <v>143</v>
      </c>
      <c r="J80" s="3" t="s">
        <v>930</v>
      </c>
      <c r="K80" s="3" t="s">
        <v>111</v>
      </c>
      <c r="L80" s="7" t="s">
        <v>801</v>
      </c>
      <c r="M80" s="7" t="s">
        <v>801</v>
      </c>
      <c r="N80" s="6" t="s">
        <v>796</v>
      </c>
    </row>
    <row r="81" spans="1:14" x14ac:dyDescent="0.25">
      <c r="A81" s="2">
        <v>74</v>
      </c>
      <c r="B81" s="2" t="s">
        <v>991</v>
      </c>
      <c r="C81" s="3" t="s">
        <v>72</v>
      </c>
      <c r="D81" s="3" t="s">
        <v>68</v>
      </c>
      <c r="E81" s="3" t="s">
        <v>22</v>
      </c>
      <c r="F81" s="3" t="s">
        <v>57</v>
      </c>
      <c r="G81" s="3" t="s">
        <v>992</v>
      </c>
      <c r="H81" s="3" t="s">
        <v>804</v>
      </c>
      <c r="I81" s="3" t="s">
        <v>142</v>
      </c>
      <c r="J81" s="3" t="s">
        <v>856</v>
      </c>
      <c r="K81" s="3" t="s">
        <v>40</v>
      </c>
      <c r="L81" s="7" t="s">
        <v>801</v>
      </c>
      <c r="M81" s="7" t="s">
        <v>801</v>
      </c>
      <c r="N81" s="7" t="s">
        <v>801</v>
      </c>
    </row>
    <row r="82" spans="1:14" x14ac:dyDescent="0.25">
      <c r="A82" s="2">
        <v>75</v>
      </c>
      <c r="B82" s="2" t="s">
        <v>993</v>
      </c>
      <c r="C82" s="3" t="s">
        <v>73</v>
      </c>
      <c r="D82" s="3" t="s">
        <v>60</v>
      </c>
      <c r="E82" s="3" t="s">
        <v>96</v>
      </c>
      <c r="F82" s="3" t="s">
        <v>48</v>
      </c>
      <c r="G82" s="3" t="s">
        <v>994</v>
      </c>
      <c r="H82" s="3" t="s">
        <v>794</v>
      </c>
      <c r="I82" s="3" t="s">
        <v>135</v>
      </c>
      <c r="J82" s="3" t="s">
        <v>825</v>
      </c>
      <c r="K82" s="3" t="s">
        <v>110</v>
      </c>
      <c r="L82" s="7" t="s">
        <v>801</v>
      </c>
      <c r="M82" s="6" t="s">
        <v>796</v>
      </c>
      <c r="N82" s="7" t="s">
        <v>801</v>
      </c>
    </row>
    <row r="83" spans="1:14" x14ac:dyDescent="0.25">
      <c r="A83" s="2">
        <v>76</v>
      </c>
      <c r="B83" s="2" t="s">
        <v>995</v>
      </c>
      <c r="C83" s="3" t="s">
        <v>108</v>
      </c>
      <c r="D83" s="3" t="s">
        <v>42</v>
      </c>
      <c r="E83" s="3" t="s">
        <v>59</v>
      </c>
      <c r="F83" s="3" t="s">
        <v>21</v>
      </c>
      <c r="G83" s="3" t="s">
        <v>996</v>
      </c>
      <c r="H83" s="3" t="s">
        <v>838</v>
      </c>
      <c r="I83" s="3" t="s">
        <v>143</v>
      </c>
      <c r="J83" s="3" t="s">
        <v>997</v>
      </c>
      <c r="K83" s="3" t="s">
        <v>62</v>
      </c>
      <c r="L83" s="7" t="s">
        <v>801</v>
      </c>
      <c r="M83" s="6" t="s">
        <v>796</v>
      </c>
      <c r="N83" s="7" t="s">
        <v>801</v>
      </c>
    </row>
    <row r="84" spans="1:14" x14ac:dyDescent="0.25">
      <c r="A84" s="2">
        <v>77</v>
      </c>
      <c r="B84" s="2" t="s">
        <v>998</v>
      </c>
      <c r="C84" s="3" t="s">
        <v>96</v>
      </c>
      <c r="D84" s="3" t="s">
        <v>27</v>
      </c>
      <c r="E84" s="3" t="s">
        <v>40</v>
      </c>
      <c r="F84" s="3" t="s">
        <v>55</v>
      </c>
      <c r="G84" s="3" t="s">
        <v>999</v>
      </c>
      <c r="H84" s="3" t="s">
        <v>969</v>
      </c>
      <c r="I84" s="3" t="s">
        <v>135</v>
      </c>
      <c r="J84" s="3" t="s">
        <v>1000</v>
      </c>
      <c r="K84" s="3" t="s">
        <v>30</v>
      </c>
      <c r="L84" s="7" t="s">
        <v>801</v>
      </c>
      <c r="M84" s="6" t="s">
        <v>796</v>
      </c>
      <c r="N84" s="6" t="s">
        <v>796</v>
      </c>
    </row>
    <row r="85" spans="1:14" x14ac:dyDescent="0.25">
      <c r="A85" s="2">
        <v>78</v>
      </c>
      <c r="B85" s="2" t="s">
        <v>1001</v>
      </c>
      <c r="C85" s="3" t="s">
        <v>105</v>
      </c>
      <c r="D85" s="3" t="s">
        <v>60</v>
      </c>
      <c r="E85" s="3" t="s">
        <v>45</v>
      </c>
      <c r="F85" s="3" t="s">
        <v>44</v>
      </c>
      <c r="G85" s="3" t="s">
        <v>1002</v>
      </c>
      <c r="H85" s="3" t="s">
        <v>838</v>
      </c>
      <c r="I85" s="3" t="s">
        <v>142</v>
      </c>
      <c r="J85" s="3" t="s">
        <v>887</v>
      </c>
      <c r="K85" s="3" t="s">
        <v>45</v>
      </c>
      <c r="L85" s="7" t="s">
        <v>801</v>
      </c>
      <c r="M85" s="7" t="s">
        <v>801</v>
      </c>
      <c r="N85" s="7" t="s">
        <v>801</v>
      </c>
    </row>
    <row r="86" spans="1:14" x14ac:dyDescent="0.25">
      <c r="A86" s="2">
        <v>79</v>
      </c>
      <c r="B86" s="2" t="s">
        <v>1003</v>
      </c>
      <c r="C86" s="3" t="s">
        <v>23</v>
      </c>
      <c r="D86" s="3" t="s">
        <v>112</v>
      </c>
      <c r="E86" s="3" t="s">
        <v>63</v>
      </c>
      <c r="F86" s="3" t="s">
        <v>56</v>
      </c>
      <c r="G86" s="3" t="s">
        <v>1004</v>
      </c>
      <c r="H86" s="3" t="s">
        <v>848</v>
      </c>
      <c r="I86" s="3" t="s">
        <v>133</v>
      </c>
      <c r="J86" s="3" t="s">
        <v>983</v>
      </c>
      <c r="K86" s="3" t="s">
        <v>104</v>
      </c>
      <c r="L86" s="6" t="s">
        <v>796</v>
      </c>
      <c r="M86" s="6" t="s">
        <v>796</v>
      </c>
      <c r="N86" s="6" t="s">
        <v>796</v>
      </c>
    </row>
    <row r="87" spans="1:14" x14ac:dyDescent="0.25">
      <c r="A87" s="2">
        <v>80</v>
      </c>
      <c r="B87" s="2" t="s">
        <v>1005</v>
      </c>
      <c r="C87" s="3" t="s">
        <v>40</v>
      </c>
      <c r="D87" s="3" t="s">
        <v>90</v>
      </c>
      <c r="E87" s="3" t="s">
        <v>16</v>
      </c>
      <c r="F87" s="3" t="s">
        <v>111</v>
      </c>
      <c r="G87" s="3" t="s">
        <v>1006</v>
      </c>
      <c r="H87" s="3" t="s">
        <v>822</v>
      </c>
      <c r="I87" s="3" t="s">
        <v>135</v>
      </c>
      <c r="J87" s="3" t="s">
        <v>906</v>
      </c>
      <c r="K87" s="3" t="s">
        <v>109</v>
      </c>
      <c r="L87" s="7" t="s">
        <v>801</v>
      </c>
      <c r="M87" s="7" t="s">
        <v>801</v>
      </c>
      <c r="N87" s="6" t="s">
        <v>796</v>
      </c>
    </row>
    <row r="88" spans="1:14" x14ac:dyDescent="0.25">
      <c r="A88" s="2">
        <v>81</v>
      </c>
      <c r="B88" s="2" t="s">
        <v>1007</v>
      </c>
      <c r="C88" s="3" t="s">
        <v>27</v>
      </c>
      <c r="D88" s="3" t="s">
        <v>111</v>
      </c>
      <c r="E88" s="3" t="s">
        <v>98</v>
      </c>
      <c r="F88" s="3" t="s">
        <v>65</v>
      </c>
      <c r="G88" s="3" t="s">
        <v>1008</v>
      </c>
      <c r="H88" s="3" t="s">
        <v>896</v>
      </c>
      <c r="I88" s="3" t="s">
        <v>133</v>
      </c>
      <c r="J88" s="3" t="s">
        <v>974</v>
      </c>
      <c r="K88" s="3" t="s">
        <v>48</v>
      </c>
      <c r="L88" s="7" t="s">
        <v>801</v>
      </c>
      <c r="M88" s="7" t="s">
        <v>801</v>
      </c>
      <c r="N88" s="7" t="s">
        <v>801</v>
      </c>
    </row>
    <row r="89" spans="1:14" x14ac:dyDescent="0.25">
      <c r="A89" s="2">
        <v>82</v>
      </c>
      <c r="B89" s="2" t="s">
        <v>1009</v>
      </c>
      <c r="C89" s="3" t="s">
        <v>32</v>
      </c>
      <c r="D89" s="3" t="s">
        <v>26</v>
      </c>
      <c r="E89" s="3" t="s">
        <v>20</v>
      </c>
      <c r="F89" s="3" t="s">
        <v>81</v>
      </c>
      <c r="G89" s="3" t="s">
        <v>1010</v>
      </c>
      <c r="H89" s="3" t="s">
        <v>812</v>
      </c>
      <c r="I89" s="3" t="s">
        <v>142</v>
      </c>
      <c r="J89" s="3" t="s">
        <v>816</v>
      </c>
      <c r="K89" s="3" t="s">
        <v>38</v>
      </c>
      <c r="L89" s="6" t="s">
        <v>796</v>
      </c>
      <c r="M89" s="6" t="s">
        <v>796</v>
      </c>
      <c r="N89" s="6" t="s">
        <v>796</v>
      </c>
    </row>
    <row r="90" spans="1:14" x14ac:dyDescent="0.25">
      <c r="A90" s="2">
        <v>83</v>
      </c>
      <c r="B90" s="2" t="s">
        <v>1011</v>
      </c>
      <c r="C90" s="3" t="s">
        <v>25</v>
      </c>
      <c r="D90" s="3" t="s">
        <v>77</v>
      </c>
      <c r="E90" s="3" t="s">
        <v>92</v>
      </c>
      <c r="F90" s="3" t="s">
        <v>34</v>
      </c>
      <c r="G90" s="3" t="s">
        <v>866</v>
      </c>
      <c r="H90" s="3" t="s">
        <v>909</v>
      </c>
      <c r="I90" s="3" t="s">
        <v>170</v>
      </c>
      <c r="J90" s="3" t="s">
        <v>795</v>
      </c>
      <c r="K90" s="3" t="s">
        <v>104</v>
      </c>
      <c r="L90" s="7" t="s">
        <v>801</v>
      </c>
      <c r="M90" s="6" t="s">
        <v>796</v>
      </c>
      <c r="N90" s="6" t="s">
        <v>796</v>
      </c>
    </row>
    <row r="91" spans="1:14" x14ac:dyDescent="0.25">
      <c r="A91" s="2">
        <v>84</v>
      </c>
      <c r="B91" s="2" t="s">
        <v>1012</v>
      </c>
      <c r="C91" s="3" t="s">
        <v>102</v>
      </c>
      <c r="D91" s="3" t="s">
        <v>22</v>
      </c>
      <c r="E91" s="3" t="s">
        <v>29</v>
      </c>
      <c r="F91" s="3" t="s">
        <v>97</v>
      </c>
      <c r="G91" s="3" t="s">
        <v>1013</v>
      </c>
      <c r="H91" s="3" t="s">
        <v>799</v>
      </c>
      <c r="I91" s="3" t="s">
        <v>151</v>
      </c>
      <c r="J91" s="3" t="s">
        <v>901</v>
      </c>
      <c r="K91" s="3" t="s">
        <v>80</v>
      </c>
      <c r="L91" s="7" t="s">
        <v>801</v>
      </c>
      <c r="M91" s="6" t="s">
        <v>796</v>
      </c>
      <c r="N91" s="6" t="s">
        <v>796</v>
      </c>
    </row>
    <row r="92" spans="1:14" x14ac:dyDescent="0.25">
      <c r="A92" s="2">
        <v>85</v>
      </c>
      <c r="B92" s="2" t="s">
        <v>1014</v>
      </c>
      <c r="C92" s="3" t="s">
        <v>36</v>
      </c>
      <c r="D92" s="3" t="s">
        <v>50</v>
      </c>
      <c r="E92" s="3" t="s">
        <v>23</v>
      </c>
      <c r="F92" s="3" t="s">
        <v>78</v>
      </c>
      <c r="G92" s="3" t="s">
        <v>893</v>
      </c>
      <c r="H92" s="3" t="s">
        <v>852</v>
      </c>
      <c r="I92" s="3" t="s">
        <v>143</v>
      </c>
      <c r="J92" s="3" t="s">
        <v>853</v>
      </c>
      <c r="K92" s="3" t="s">
        <v>107</v>
      </c>
      <c r="L92" s="6" t="s">
        <v>796</v>
      </c>
      <c r="M92" s="6" t="s">
        <v>796</v>
      </c>
      <c r="N92" s="6" t="s">
        <v>796</v>
      </c>
    </row>
    <row r="93" spans="1:14" x14ac:dyDescent="0.25">
      <c r="A93" s="2">
        <v>86</v>
      </c>
      <c r="B93" s="2" t="s">
        <v>1015</v>
      </c>
      <c r="C93" s="3" t="s">
        <v>86</v>
      </c>
      <c r="D93" s="3" t="s">
        <v>34</v>
      </c>
      <c r="E93" s="3" t="s">
        <v>39</v>
      </c>
      <c r="F93" s="3" t="s">
        <v>94</v>
      </c>
      <c r="G93" s="3" t="s">
        <v>1016</v>
      </c>
      <c r="H93" s="3" t="s">
        <v>828</v>
      </c>
      <c r="I93" s="3" t="s">
        <v>137</v>
      </c>
      <c r="J93" s="3" t="s">
        <v>795</v>
      </c>
      <c r="K93" s="3" t="s">
        <v>82</v>
      </c>
      <c r="L93" s="6" t="s">
        <v>796</v>
      </c>
      <c r="M93" s="6" t="s">
        <v>796</v>
      </c>
      <c r="N93" s="6" t="s">
        <v>796</v>
      </c>
    </row>
    <row r="94" spans="1:14" x14ac:dyDescent="0.25">
      <c r="A94" s="2">
        <v>87</v>
      </c>
      <c r="B94" s="2" t="s">
        <v>1017</v>
      </c>
      <c r="C94" s="3" t="s">
        <v>53</v>
      </c>
      <c r="D94" s="3" t="s">
        <v>32</v>
      </c>
      <c r="E94" s="3" t="s">
        <v>68</v>
      </c>
      <c r="F94" s="3" t="s">
        <v>36</v>
      </c>
      <c r="G94" s="3" t="s">
        <v>1018</v>
      </c>
      <c r="H94" s="3" t="s">
        <v>1019</v>
      </c>
      <c r="I94" s="3" t="s">
        <v>138</v>
      </c>
      <c r="J94" s="3" t="s">
        <v>1020</v>
      </c>
      <c r="K94" s="3" t="s">
        <v>83</v>
      </c>
      <c r="L94" s="7" t="s">
        <v>801</v>
      </c>
      <c r="M94" s="7" t="s">
        <v>801</v>
      </c>
      <c r="N94" s="6" t="s">
        <v>796</v>
      </c>
    </row>
    <row r="95" spans="1:14" x14ac:dyDescent="0.25">
      <c r="A95" s="2">
        <v>88</v>
      </c>
      <c r="B95" s="2" t="s">
        <v>1021</v>
      </c>
      <c r="C95" s="3" t="s">
        <v>55</v>
      </c>
      <c r="D95" s="3" t="s">
        <v>111</v>
      </c>
      <c r="E95" s="3" t="s">
        <v>56</v>
      </c>
      <c r="F95" s="3" t="s">
        <v>109</v>
      </c>
      <c r="G95" s="3" t="s">
        <v>1022</v>
      </c>
      <c r="H95" s="3" t="s">
        <v>808</v>
      </c>
      <c r="I95" s="3" t="s">
        <v>142</v>
      </c>
      <c r="J95" s="3" t="s">
        <v>1023</v>
      </c>
      <c r="K95" s="3" t="s">
        <v>60</v>
      </c>
      <c r="L95" s="7" t="s">
        <v>801</v>
      </c>
      <c r="M95" s="6" t="s">
        <v>796</v>
      </c>
      <c r="N95" s="6" t="s">
        <v>796</v>
      </c>
    </row>
    <row r="96" spans="1:14" x14ac:dyDescent="0.25">
      <c r="A96" s="2">
        <v>89</v>
      </c>
      <c r="B96" s="2" t="s">
        <v>1024</v>
      </c>
      <c r="C96" s="3" t="s">
        <v>102</v>
      </c>
      <c r="D96" s="3" t="s">
        <v>31</v>
      </c>
      <c r="E96" s="3" t="s">
        <v>45</v>
      </c>
      <c r="F96" s="3" t="s">
        <v>70</v>
      </c>
      <c r="G96" s="3" t="s">
        <v>1025</v>
      </c>
      <c r="H96" s="3" t="s">
        <v>799</v>
      </c>
      <c r="I96" s="3" t="s">
        <v>146</v>
      </c>
      <c r="J96" s="3" t="s">
        <v>980</v>
      </c>
      <c r="K96" s="3" t="s">
        <v>53</v>
      </c>
      <c r="L96" s="6" t="s">
        <v>796</v>
      </c>
      <c r="M96" s="6" t="s">
        <v>796</v>
      </c>
      <c r="N96" s="6" t="s">
        <v>796</v>
      </c>
    </row>
    <row r="97" spans="1:14" x14ac:dyDescent="0.25">
      <c r="A97" s="2">
        <v>90</v>
      </c>
      <c r="B97" s="2" t="s">
        <v>1026</v>
      </c>
      <c r="C97" s="3" t="s">
        <v>75</v>
      </c>
      <c r="D97" s="3" t="s">
        <v>64</v>
      </c>
      <c r="E97" s="3" t="s">
        <v>56</v>
      </c>
      <c r="F97" s="3" t="s">
        <v>57</v>
      </c>
      <c r="G97" s="3" t="s">
        <v>1027</v>
      </c>
      <c r="H97" s="3" t="s">
        <v>828</v>
      </c>
      <c r="I97" s="3" t="s">
        <v>142</v>
      </c>
      <c r="J97" s="3" t="s">
        <v>887</v>
      </c>
      <c r="K97" s="3" t="s">
        <v>71</v>
      </c>
      <c r="L97" s="7" t="s">
        <v>801</v>
      </c>
      <c r="M97" s="6" t="s">
        <v>796</v>
      </c>
      <c r="N97" s="7" t="s">
        <v>801</v>
      </c>
    </row>
    <row r="98" spans="1:14" x14ac:dyDescent="0.25">
      <c r="A98" s="2">
        <v>91</v>
      </c>
      <c r="B98" s="2" t="s">
        <v>1028</v>
      </c>
      <c r="C98" s="3" t="s">
        <v>57</v>
      </c>
      <c r="D98" s="3" t="s">
        <v>77</v>
      </c>
      <c r="E98" s="3" t="s">
        <v>89</v>
      </c>
      <c r="F98" s="3" t="s">
        <v>105</v>
      </c>
      <c r="G98" s="3" t="s">
        <v>1029</v>
      </c>
      <c r="H98" s="3" t="s">
        <v>1019</v>
      </c>
      <c r="I98" s="3" t="s">
        <v>138</v>
      </c>
      <c r="J98" s="3" t="s">
        <v>842</v>
      </c>
      <c r="K98" s="3" t="s">
        <v>22</v>
      </c>
      <c r="L98" s="7" t="s">
        <v>801</v>
      </c>
      <c r="M98" s="6" t="s">
        <v>796</v>
      </c>
      <c r="N98" s="6" t="s">
        <v>796</v>
      </c>
    </row>
    <row r="99" spans="1:14" x14ac:dyDescent="0.25">
      <c r="A99" s="2">
        <v>92</v>
      </c>
      <c r="B99" s="2" t="s">
        <v>1030</v>
      </c>
      <c r="C99" s="3" t="s">
        <v>81</v>
      </c>
      <c r="D99" s="3" t="s">
        <v>49</v>
      </c>
      <c r="E99" s="3" t="s">
        <v>107</v>
      </c>
      <c r="F99" s="3" t="s">
        <v>42</v>
      </c>
      <c r="G99" s="3" t="s">
        <v>1031</v>
      </c>
      <c r="H99" s="3" t="s">
        <v>815</v>
      </c>
      <c r="I99" s="3" t="s">
        <v>146</v>
      </c>
      <c r="J99" s="3" t="s">
        <v>825</v>
      </c>
      <c r="K99" s="3" t="s">
        <v>98</v>
      </c>
      <c r="L99" s="7" t="s">
        <v>801</v>
      </c>
      <c r="M99" s="6" t="s">
        <v>796</v>
      </c>
      <c r="N99" s="7" t="s">
        <v>801</v>
      </c>
    </row>
    <row r="100" spans="1:14" x14ac:dyDescent="0.25">
      <c r="A100" s="2">
        <v>93</v>
      </c>
      <c r="B100" s="2" t="s">
        <v>1032</v>
      </c>
      <c r="C100" s="3" t="s">
        <v>101</v>
      </c>
      <c r="D100" s="3" t="s">
        <v>88</v>
      </c>
      <c r="E100" s="3" t="s">
        <v>26</v>
      </c>
      <c r="F100" s="3" t="s">
        <v>93</v>
      </c>
      <c r="G100" s="3" t="s">
        <v>1033</v>
      </c>
      <c r="H100" s="3" t="s">
        <v>845</v>
      </c>
      <c r="I100" s="3" t="s">
        <v>137</v>
      </c>
      <c r="J100" s="3" t="s">
        <v>1000</v>
      </c>
      <c r="K100" s="3" t="s">
        <v>66</v>
      </c>
      <c r="L100" s="7" t="s">
        <v>801</v>
      </c>
      <c r="M100" s="7" t="s">
        <v>801</v>
      </c>
      <c r="N100" s="6" t="s">
        <v>796</v>
      </c>
    </row>
    <row r="101" spans="1:14" x14ac:dyDescent="0.25">
      <c r="A101" s="2">
        <v>94</v>
      </c>
      <c r="B101" s="2" t="s">
        <v>1034</v>
      </c>
      <c r="C101" s="3" t="s">
        <v>76</v>
      </c>
      <c r="D101" s="3" t="s">
        <v>110</v>
      </c>
      <c r="E101" s="3" t="s">
        <v>16</v>
      </c>
      <c r="F101" s="3" t="s">
        <v>42</v>
      </c>
      <c r="G101" s="3" t="s">
        <v>1035</v>
      </c>
      <c r="H101" s="3" t="s">
        <v>815</v>
      </c>
      <c r="I101" s="3" t="s">
        <v>146</v>
      </c>
      <c r="J101" s="3" t="s">
        <v>876</v>
      </c>
      <c r="K101" s="3" t="s">
        <v>41</v>
      </c>
      <c r="L101" s="7" t="s">
        <v>801</v>
      </c>
      <c r="M101" s="7" t="s">
        <v>801</v>
      </c>
      <c r="N101" s="6" t="s">
        <v>796</v>
      </c>
    </row>
    <row r="102" spans="1:14" x14ac:dyDescent="0.25">
      <c r="A102" s="2">
        <v>95</v>
      </c>
      <c r="B102" s="2" t="s">
        <v>1036</v>
      </c>
      <c r="C102" s="3" t="s">
        <v>48</v>
      </c>
      <c r="D102" s="3" t="s">
        <v>57</v>
      </c>
      <c r="E102" s="3" t="s">
        <v>88</v>
      </c>
      <c r="F102" s="3" t="s">
        <v>100</v>
      </c>
      <c r="G102" s="3" t="s">
        <v>1037</v>
      </c>
      <c r="H102" s="3" t="s">
        <v>828</v>
      </c>
      <c r="I102" s="3" t="s">
        <v>135</v>
      </c>
      <c r="J102" s="3" t="s">
        <v>887</v>
      </c>
      <c r="K102" s="3" t="s">
        <v>36</v>
      </c>
      <c r="L102" s="7" t="s">
        <v>801</v>
      </c>
      <c r="M102" s="7" t="s">
        <v>801</v>
      </c>
      <c r="N102" s="7" t="s">
        <v>801</v>
      </c>
    </row>
    <row r="103" spans="1:14" x14ac:dyDescent="0.25">
      <c r="A103" s="2">
        <v>96</v>
      </c>
      <c r="B103" s="2" t="s">
        <v>1038</v>
      </c>
      <c r="C103" s="3" t="s">
        <v>23</v>
      </c>
      <c r="D103" s="3" t="s">
        <v>53</v>
      </c>
      <c r="E103" s="3" t="s">
        <v>58</v>
      </c>
      <c r="F103" s="3" t="s">
        <v>95</v>
      </c>
      <c r="G103" s="3" t="s">
        <v>1039</v>
      </c>
      <c r="H103" s="3" t="s">
        <v>804</v>
      </c>
      <c r="I103" s="3" t="s">
        <v>151</v>
      </c>
      <c r="J103" s="3" t="s">
        <v>795</v>
      </c>
      <c r="K103" s="3" t="s">
        <v>20</v>
      </c>
      <c r="L103" s="7" t="s">
        <v>801</v>
      </c>
      <c r="M103" s="7" t="s">
        <v>801</v>
      </c>
      <c r="N103" s="6" t="s">
        <v>796</v>
      </c>
    </row>
    <row r="104" spans="1:14" x14ac:dyDescent="0.25">
      <c r="A104" s="2">
        <v>97</v>
      </c>
      <c r="B104" s="2" t="s">
        <v>1040</v>
      </c>
      <c r="C104" s="3" t="s">
        <v>73</v>
      </c>
      <c r="D104" s="3" t="s">
        <v>87</v>
      </c>
      <c r="E104" s="3" t="s">
        <v>32</v>
      </c>
      <c r="F104" s="3" t="s">
        <v>96</v>
      </c>
      <c r="G104" s="3" t="s">
        <v>1041</v>
      </c>
      <c r="H104" s="3" t="s">
        <v>852</v>
      </c>
      <c r="I104" s="3" t="s">
        <v>137</v>
      </c>
      <c r="J104" s="3" t="s">
        <v>842</v>
      </c>
      <c r="K104" s="3" t="s">
        <v>16</v>
      </c>
      <c r="L104" s="7" t="s">
        <v>801</v>
      </c>
      <c r="M104" s="7" t="s">
        <v>801</v>
      </c>
      <c r="N104" s="6" t="s">
        <v>796</v>
      </c>
    </row>
    <row r="105" spans="1:14" x14ac:dyDescent="0.25">
      <c r="A105" s="2">
        <v>98</v>
      </c>
      <c r="B105" s="2" t="s">
        <v>1042</v>
      </c>
      <c r="C105" s="3" t="s">
        <v>111</v>
      </c>
      <c r="D105" s="3" t="s">
        <v>84</v>
      </c>
      <c r="E105" s="3" t="s">
        <v>93</v>
      </c>
      <c r="F105" s="3" t="s">
        <v>41</v>
      </c>
      <c r="G105" s="3" t="s">
        <v>1043</v>
      </c>
      <c r="H105" s="3" t="s">
        <v>808</v>
      </c>
      <c r="I105" s="3" t="s">
        <v>143</v>
      </c>
      <c r="J105" s="3" t="s">
        <v>870</v>
      </c>
      <c r="K105" s="3" t="s">
        <v>54</v>
      </c>
      <c r="L105" s="7" t="s">
        <v>801</v>
      </c>
      <c r="M105" s="6" t="s">
        <v>796</v>
      </c>
      <c r="N105" s="6" t="s">
        <v>796</v>
      </c>
    </row>
    <row r="106" spans="1:14" x14ac:dyDescent="0.25">
      <c r="A106" s="2">
        <v>99</v>
      </c>
      <c r="B106" s="2" t="s">
        <v>1044</v>
      </c>
      <c r="C106" s="3" t="s">
        <v>36</v>
      </c>
      <c r="D106" s="3" t="s">
        <v>35</v>
      </c>
      <c r="E106" s="3" t="s">
        <v>26</v>
      </c>
      <c r="F106" s="3" t="s">
        <v>18</v>
      </c>
      <c r="G106" s="3" t="s">
        <v>1045</v>
      </c>
      <c r="H106" s="3" t="s">
        <v>804</v>
      </c>
      <c r="I106" s="3" t="s">
        <v>143</v>
      </c>
      <c r="J106" s="3" t="s">
        <v>980</v>
      </c>
      <c r="K106" s="3" t="s">
        <v>79</v>
      </c>
      <c r="L106" s="6" t="s">
        <v>796</v>
      </c>
      <c r="M106" s="7" t="s">
        <v>801</v>
      </c>
      <c r="N106" s="6" t="s">
        <v>796</v>
      </c>
    </row>
    <row r="107" spans="1:14" x14ac:dyDescent="0.25">
      <c r="A107" s="2">
        <v>100</v>
      </c>
      <c r="B107" s="2" t="s">
        <v>1046</v>
      </c>
      <c r="C107" s="3" t="s">
        <v>42</v>
      </c>
      <c r="D107" s="3" t="s">
        <v>73</v>
      </c>
      <c r="E107" s="3" t="s">
        <v>29</v>
      </c>
      <c r="F107" s="3" t="s">
        <v>38</v>
      </c>
      <c r="G107" s="3" t="s">
        <v>1047</v>
      </c>
      <c r="H107" s="3" t="s">
        <v>909</v>
      </c>
      <c r="I107" s="3" t="s">
        <v>143</v>
      </c>
      <c r="J107" s="3" t="s">
        <v>856</v>
      </c>
      <c r="K107" s="3" t="s">
        <v>30</v>
      </c>
      <c r="L107" s="7" t="s">
        <v>801</v>
      </c>
      <c r="M107" s="6" t="s">
        <v>796</v>
      </c>
      <c r="N107" s="6" t="s">
        <v>796</v>
      </c>
    </row>
    <row r="108" spans="1:14" x14ac:dyDescent="0.25">
      <c r="A108" s="2">
        <v>101</v>
      </c>
      <c r="B108" s="2" t="s">
        <v>1048</v>
      </c>
      <c r="C108" s="3" t="s">
        <v>81</v>
      </c>
      <c r="D108" s="3" t="s">
        <v>75</v>
      </c>
      <c r="E108" s="3" t="s">
        <v>104</v>
      </c>
      <c r="F108" s="3" t="s">
        <v>109</v>
      </c>
      <c r="G108" s="3" t="s">
        <v>1049</v>
      </c>
      <c r="H108" s="3" t="s">
        <v>812</v>
      </c>
      <c r="I108" s="3" t="s">
        <v>151</v>
      </c>
      <c r="J108" s="3" t="s">
        <v>876</v>
      </c>
      <c r="K108" s="3" t="s">
        <v>51</v>
      </c>
      <c r="L108" s="7" t="s">
        <v>801</v>
      </c>
      <c r="M108" s="6" t="s">
        <v>796</v>
      </c>
      <c r="N108" s="6" t="s">
        <v>796</v>
      </c>
    </row>
    <row r="109" spans="1:14" x14ac:dyDescent="0.25">
      <c r="A109" s="2">
        <v>102</v>
      </c>
      <c r="B109" s="2" t="s">
        <v>1050</v>
      </c>
      <c r="C109" s="3" t="s">
        <v>85</v>
      </c>
      <c r="D109" s="3" t="s">
        <v>34</v>
      </c>
      <c r="E109" s="3" t="s">
        <v>49</v>
      </c>
      <c r="F109" s="3" t="s">
        <v>103</v>
      </c>
      <c r="G109" s="3" t="s">
        <v>1051</v>
      </c>
      <c r="H109" s="3" t="s">
        <v>822</v>
      </c>
      <c r="I109" s="3" t="s">
        <v>138</v>
      </c>
      <c r="J109" s="3" t="s">
        <v>887</v>
      </c>
      <c r="K109" s="3" t="s">
        <v>71</v>
      </c>
      <c r="L109" s="6" t="s">
        <v>796</v>
      </c>
      <c r="M109" s="6" t="s">
        <v>796</v>
      </c>
      <c r="N109" s="6" t="s">
        <v>796</v>
      </c>
    </row>
    <row r="110" spans="1:14" x14ac:dyDescent="0.25">
      <c r="A110" s="2">
        <v>103</v>
      </c>
      <c r="B110" s="2" t="s">
        <v>1052</v>
      </c>
      <c r="C110" s="3" t="s">
        <v>46</v>
      </c>
      <c r="D110" s="3" t="s">
        <v>43</v>
      </c>
      <c r="E110" s="3" t="s">
        <v>29</v>
      </c>
      <c r="F110" s="3" t="s">
        <v>93</v>
      </c>
      <c r="G110" s="3" t="s">
        <v>1053</v>
      </c>
      <c r="H110" s="3" t="s">
        <v>1054</v>
      </c>
      <c r="I110" s="3" t="s">
        <v>133</v>
      </c>
      <c r="J110" s="3" t="s">
        <v>1023</v>
      </c>
      <c r="K110" s="3" t="s">
        <v>59</v>
      </c>
      <c r="L110" s="7" t="s">
        <v>801</v>
      </c>
      <c r="M110" s="6" t="s">
        <v>796</v>
      </c>
      <c r="N110" s="6" t="s">
        <v>796</v>
      </c>
    </row>
    <row r="111" spans="1:14" x14ac:dyDescent="0.25">
      <c r="A111" s="2">
        <v>104</v>
      </c>
      <c r="B111" s="2" t="s">
        <v>1055</v>
      </c>
      <c r="C111" s="3" t="s">
        <v>111</v>
      </c>
      <c r="D111" s="3" t="s">
        <v>90</v>
      </c>
      <c r="E111" s="3" t="s">
        <v>75</v>
      </c>
      <c r="F111" s="3" t="s">
        <v>69</v>
      </c>
      <c r="G111" s="3" t="s">
        <v>1056</v>
      </c>
      <c r="H111" s="3" t="s">
        <v>845</v>
      </c>
      <c r="I111" s="3" t="s">
        <v>146</v>
      </c>
      <c r="J111" s="3" t="s">
        <v>816</v>
      </c>
      <c r="K111" s="3" t="s">
        <v>41</v>
      </c>
      <c r="L111" s="7" t="s">
        <v>801</v>
      </c>
      <c r="M111" s="7" t="s">
        <v>801</v>
      </c>
      <c r="N111" s="6" t="s">
        <v>796</v>
      </c>
    </row>
    <row r="112" spans="1:14" x14ac:dyDescent="0.25">
      <c r="A112" s="2">
        <v>105</v>
      </c>
      <c r="B112" s="2" t="s">
        <v>1057</v>
      </c>
      <c r="C112" s="3" t="s">
        <v>98</v>
      </c>
      <c r="D112" s="3" t="s">
        <v>103</v>
      </c>
      <c r="E112" s="3" t="s">
        <v>24</v>
      </c>
      <c r="F112" s="3" t="s">
        <v>32</v>
      </c>
      <c r="G112" s="3" t="s">
        <v>1058</v>
      </c>
      <c r="H112" s="3" t="s">
        <v>794</v>
      </c>
      <c r="I112" s="3" t="s">
        <v>143</v>
      </c>
      <c r="J112" s="3" t="s">
        <v>887</v>
      </c>
      <c r="K112" s="3" t="s">
        <v>113</v>
      </c>
      <c r="L112" s="7" t="s">
        <v>801</v>
      </c>
      <c r="M112" s="6" t="s">
        <v>796</v>
      </c>
      <c r="N112" s="6" t="s">
        <v>796</v>
      </c>
    </row>
    <row r="113" spans="1:14" x14ac:dyDescent="0.25">
      <c r="A113" s="2">
        <v>106</v>
      </c>
      <c r="B113" s="2" t="s">
        <v>1059</v>
      </c>
      <c r="C113" s="3" t="s">
        <v>50</v>
      </c>
      <c r="D113" s="3" t="s">
        <v>22</v>
      </c>
      <c r="E113" s="3" t="s">
        <v>63</v>
      </c>
      <c r="F113" s="3" t="s">
        <v>55</v>
      </c>
      <c r="G113" s="3" t="s">
        <v>1060</v>
      </c>
      <c r="H113" s="3" t="s">
        <v>869</v>
      </c>
      <c r="I113" s="3" t="s">
        <v>146</v>
      </c>
      <c r="J113" s="3" t="s">
        <v>853</v>
      </c>
      <c r="K113" s="3" t="s">
        <v>92</v>
      </c>
      <c r="L113" s="7" t="s">
        <v>801</v>
      </c>
      <c r="M113" s="6" t="s">
        <v>796</v>
      </c>
      <c r="N113" s="6" t="s">
        <v>796</v>
      </c>
    </row>
    <row r="114" spans="1:14" x14ac:dyDescent="0.25">
      <c r="A114" s="2">
        <v>107</v>
      </c>
      <c r="B114" s="2" t="s">
        <v>1061</v>
      </c>
      <c r="C114" s="3" t="s">
        <v>25</v>
      </c>
      <c r="D114" s="3" t="s">
        <v>29</v>
      </c>
      <c r="E114" s="3" t="s">
        <v>38</v>
      </c>
      <c r="F114" s="3" t="s">
        <v>111</v>
      </c>
      <c r="G114" s="3" t="s">
        <v>1062</v>
      </c>
      <c r="H114" s="3" t="s">
        <v>1063</v>
      </c>
      <c r="I114" s="3" t="s">
        <v>137</v>
      </c>
      <c r="J114" s="3" t="s">
        <v>1064</v>
      </c>
      <c r="K114" s="3" t="s">
        <v>64</v>
      </c>
      <c r="L114" s="6" t="s">
        <v>796</v>
      </c>
      <c r="M114" s="6" t="s">
        <v>796</v>
      </c>
      <c r="N114" s="6" t="s">
        <v>796</v>
      </c>
    </row>
    <row r="115" spans="1:14" x14ac:dyDescent="0.25">
      <c r="A115" s="2">
        <v>108</v>
      </c>
      <c r="B115" s="2" t="s">
        <v>1065</v>
      </c>
      <c r="C115" s="3" t="s">
        <v>68</v>
      </c>
      <c r="D115" s="3" t="s">
        <v>80</v>
      </c>
      <c r="E115" s="3" t="s">
        <v>88</v>
      </c>
      <c r="F115" s="3" t="s">
        <v>95</v>
      </c>
      <c r="G115" s="3" t="s">
        <v>1066</v>
      </c>
      <c r="H115" s="3" t="s">
        <v>848</v>
      </c>
      <c r="I115" s="3" t="s">
        <v>143</v>
      </c>
      <c r="J115" s="3" t="s">
        <v>1067</v>
      </c>
      <c r="K115" s="3" t="s">
        <v>55</v>
      </c>
      <c r="L115" s="7" t="s">
        <v>801</v>
      </c>
      <c r="M115" s="6" t="s">
        <v>796</v>
      </c>
      <c r="N115" s="7" t="s">
        <v>801</v>
      </c>
    </row>
    <row r="116" spans="1:14" x14ac:dyDescent="0.25">
      <c r="A116" s="2">
        <v>109</v>
      </c>
      <c r="B116" s="2" t="s">
        <v>1068</v>
      </c>
      <c r="C116" s="3" t="s">
        <v>38</v>
      </c>
      <c r="D116" s="3" t="s">
        <v>79</v>
      </c>
      <c r="E116" s="3" t="s">
        <v>115</v>
      </c>
      <c r="F116" s="3" t="s">
        <v>73</v>
      </c>
      <c r="G116" s="3" t="s">
        <v>1069</v>
      </c>
      <c r="H116" s="3" t="s">
        <v>909</v>
      </c>
      <c r="I116" s="3" t="s">
        <v>151</v>
      </c>
      <c r="J116" s="3" t="s">
        <v>795</v>
      </c>
      <c r="K116" s="3" t="s">
        <v>92</v>
      </c>
      <c r="L116" s="7" t="s">
        <v>801</v>
      </c>
      <c r="M116" s="6" t="s">
        <v>796</v>
      </c>
      <c r="N116" s="7" t="s">
        <v>801</v>
      </c>
    </row>
    <row r="117" spans="1:14" x14ac:dyDescent="0.25">
      <c r="A117" s="2">
        <v>110</v>
      </c>
      <c r="B117" s="2" t="s">
        <v>1070</v>
      </c>
      <c r="C117" s="3" t="s">
        <v>21</v>
      </c>
      <c r="D117" s="3" t="s">
        <v>100</v>
      </c>
      <c r="E117" s="3" t="s">
        <v>27</v>
      </c>
      <c r="F117" s="3" t="s">
        <v>30</v>
      </c>
      <c r="G117" s="3" t="s">
        <v>1071</v>
      </c>
      <c r="H117" s="3" t="s">
        <v>1019</v>
      </c>
      <c r="I117" s="3" t="s">
        <v>143</v>
      </c>
      <c r="J117" s="3" t="s">
        <v>800</v>
      </c>
      <c r="K117" s="3" t="s">
        <v>33</v>
      </c>
      <c r="L117" s="7" t="s">
        <v>801</v>
      </c>
      <c r="M117" s="6" t="s">
        <v>796</v>
      </c>
      <c r="N117" s="6" t="s">
        <v>796</v>
      </c>
    </row>
    <row r="118" spans="1:14" x14ac:dyDescent="0.25">
      <c r="A118" s="2">
        <v>111</v>
      </c>
      <c r="B118" s="2" t="s">
        <v>1072</v>
      </c>
      <c r="C118" s="3" t="s">
        <v>43</v>
      </c>
      <c r="D118" s="3" t="s">
        <v>115</v>
      </c>
      <c r="E118" s="3" t="s">
        <v>73</v>
      </c>
      <c r="F118" s="3" t="s">
        <v>55</v>
      </c>
      <c r="G118" s="3" t="s">
        <v>1073</v>
      </c>
      <c r="H118" s="3" t="s">
        <v>909</v>
      </c>
      <c r="I118" s="3" t="s">
        <v>141</v>
      </c>
      <c r="J118" s="3" t="s">
        <v>833</v>
      </c>
      <c r="K118" s="3" t="s">
        <v>44</v>
      </c>
      <c r="L118" s="7" t="s">
        <v>801</v>
      </c>
      <c r="M118" s="6" t="s">
        <v>796</v>
      </c>
      <c r="N118" s="6" t="s">
        <v>796</v>
      </c>
    </row>
    <row r="119" spans="1:14" x14ac:dyDescent="0.25">
      <c r="A119" s="2">
        <v>112</v>
      </c>
      <c r="B119" s="2" t="s">
        <v>1074</v>
      </c>
      <c r="C119" s="3" t="s">
        <v>46</v>
      </c>
      <c r="D119" s="3" t="s">
        <v>102</v>
      </c>
      <c r="E119" s="3" t="s">
        <v>21</v>
      </c>
      <c r="F119" s="3" t="s">
        <v>93</v>
      </c>
      <c r="G119" s="3" t="s">
        <v>1075</v>
      </c>
      <c r="H119" s="3" t="s">
        <v>886</v>
      </c>
      <c r="I119" s="3" t="s">
        <v>133</v>
      </c>
      <c r="J119" s="3" t="s">
        <v>887</v>
      </c>
      <c r="K119" s="3" t="s">
        <v>75</v>
      </c>
      <c r="L119" s="7" t="s">
        <v>801</v>
      </c>
      <c r="M119" s="6" t="s">
        <v>796</v>
      </c>
      <c r="N119" s="7" t="s">
        <v>801</v>
      </c>
    </row>
    <row r="120" spans="1:14" x14ac:dyDescent="0.25">
      <c r="A120" s="2">
        <v>113</v>
      </c>
      <c r="B120" s="2" t="s">
        <v>1076</v>
      </c>
      <c r="C120" s="3" t="s">
        <v>50</v>
      </c>
      <c r="D120" s="3" t="s">
        <v>62</v>
      </c>
      <c r="E120" s="3" t="s">
        <v>44</v>
      </c>
      <c r="F120" s="3" t="s">
        <v>87</v>
      </c>
      <c r="G120" s="3" t="s">
        <v>1077</v>
      </c>
      <c r="H120" s="3" t="s">
        <v>794</v>
      </c>
      <c r="I120" s="3" t="s">
        <v>143</v>
      </c>
      <c r="J120" s="3" t="s">
        <v>819</v>
      </c>
      <c r="K120" s="3" t="s">
        <v>70</v>
      </c>
      <c r="L120" s="7" t="s">
        <v>801</v>
      </c>
      <c r="M120" s="7" t="s">
        <v>801</v>
      </c>
      <c r="N120" s="6" t="s">
        <v>796</v>
      </c>
    </row>
    <row r="121" spans="1:14" x14ac:dyDescent="0.25">
      <c r="A121" s="2">
        <v>114</v>
      </c>
      <c r="B121" s="2" t="s">
        <v>1078</v>
      </c>
      <c r="C121" s="3" t="s">
        <v>20</v>
      </c>
      <c r="D121" s="3" t="s">
        <v>98</v>
      </c>
      <c r="E121" s="3" t="s">
        <v>107</v>
      </c>
      <c r="F121" s="3" t="s">
        <v>46</v>
      </c>
      <c r="G121" s="3" t="s">
        <v>999</v>
      </c>
      <c r="H121" s="3" t="s">
        <v>886</v>
      </c>
      <c r="I121" s="3" t="s">
        <v>133</v>
      </c>
      <c r="J121" s="3" t="s">
        <v>930</v>
      </c>
      <c r="K121" s="3" t="s">
        <v>85</v>
      </c>
      <c r="L121" s="7" t="s">
        <v>801</v>
      </c>
      <c r="M121" s="7" t="s">
        <v>801</v>
      </c>
      <c r="N121" s="7" t="s">
        <v>801</v>
      </c>
    </row>
    <row r="122" spans="1:14" x14ac:dyDescent="0.25">
      <c r="A122" s="2">
        <v>115</v>
      </c>
      <c r="B122" s="2" t="s">
        <v>1079</v>
      </c>
      <c r="C122" s="3" t="s">
        <v>88</v>
      </c>
      <c r="D122" s="3" t="s">
        <v>62</v>
      </c>
      <c r="E122" s="3" t="s">
        <v>85</v>
      </c>
      <c r="F122" s="3" t="s">
        <v>34</v>
      </c>
      <c r="G122" s="3" t="s">
        <v>1080</v>
      </c>
      <c r="H122" s="3" t="s">
        <v>933</v>
      </c>
      <c r="I122" s="3" t="s">
        <v>137</v>
      </c>
      <c r="J122" s="3" t="s">
        <v>1020</v>
      </c>
      <c r="K122" s="3" t="s">
        <v>91</v>
      </c>
      <c r="L122" s="7" t="s">
        <v>801</v>
      </c>
      <c r="M122" s="6" t="s">
        <v>796</v>
      </c>
      <c r="N122" s="6" t="s">
        <v>796</v>
      </c>
    </row>
    <row r="123" spans="1:14" x14ac:dyDescent="0.25">
      <c r="A123" s="2">
        <v>116</v>
      </c>
      <c r="B123" s="2" t="s">
        <v>1081</v>
      </c>
      <c r="C123" s="3" t="s">
        <v>46</v>
      </c>
      <c r="D123" s="3" t="s">
        <v>35</v>
      </c>
      <c r="E123" s="3" t="s">
        <v>114</v>
      </c>
      <c r="F123" s="3" t="s">
        <v>90</v>
      </c>
      <c r="G123" s="3" t="s">
        <v>1082</v>
      </c>
      <c r="H123" s="3" t="s">
        <v>838</v>
      </c>
      <c r="I123" s="3" t="s">
        <v>135</v>
      </c>
      <c r="J123" s="3" t="s">
        <v>1083</v>
      </c>
      <c r="K123" s="3" t="s">
        <v>53</v>
      </c>
      <c r="L123" s="7" t="s">
        <v>801</v>
      </c>
      <c r="M123" s="6" t="s">
        <v>796</v>
      </c>
      <c r="N123" s="7" t="s">
        <v>801</v>
      </c>
    </row>
    <row r="124" spans="1:14" x14ac:dyDescent="0.25">
      <c r="A124" s="2">
        <v>117</v>
      </c>
      <c r="B124" s="2" t="s">
        <v>1084</v>
      </c>
      <c r="C124" s="3" t="s">
        <v>64</v>
      </c>
      <c r="D124" s="3" t="s">
        <v>55</v>
      </c>
      <c r="E124" s="3" t="s">
        <v>95</v>
      </c>
      <c r="F124" s="3" t="s">
        <v>62</v>
      </c>
      <c r="G124" s="3" t="s">
        <v>1085</v>
      </c>
      <c r="H124" s="3" t="s">
        <v>804</v>
      </c>
      <c r="I124" s="3" t="s">
        <v>133</v>
      </c>
      <c r="J124" s="3" t="s">
        <v>805</v>
      </c>
      <c r="K124" s="3" t="s">
        <v>48</v>
      </c>
      <c r="L124" s="7" t="s">
        <v>801</v>
      </c>
      <c r="M124" s="7" t="s">
        <v>801</v>
      </c>
      <c r="N124" s="7" t="s">
        <v>801</v>
      </c>
    </row>
    <row r="125" spans="1:14" x14ac:dyDescent="0.25">
      <c r="A125" s="2">
        <v>118</v>
      </c>
      <c r="B125" s="2" t="s">
        <v>1086</v>
      </c>
      <c r="C125" s="3" t="s">
        <v>57</v>
      </c>
      <c r="D125" s="3" t="s">
        <v>30</v>
      </c>
      <c r="E125" s="3" t="s">
        <v>78</v>
      </c>
      <c r="F125" s="3" t="s">
        <v>103</v>
      </c>
      <c r="G125" s="3" t="s">
        <v>1087</v>
      </c>
      <c r="H125" s="3" t="s">
        <v>841</v>
      </c>
      <c r="I125" s="3" t="s">
        <v>141</v>
      </c>
      <c r="J125" s="3" t="s">
        <v>800</v>
      </c>
      <c r="K125" s="3" t="s">
        <v>80</v>
      </c>
      <c r="L125" s="7" t="s">
        <v>801</v>
      </c>
      <c r="M125" s="6" t="s">
        <v>796</v>
      </c>
      <c r="N125" s="7" t="s">
        <v>801</v>
      </c>
    </row>
    <row r="126" spans="1:14" x14ac:dyDescent="0.25">
      <c r="A126" s="2">
        <v>119</v>
      </c>
      <c r="B126" s="2" t="s">
        <v>1088</v>
      </c>
      <c r="C126" s="3" t="s">
        <v>84</v>
      </c>
      <c r="D126" s="3" t="s">
        <v>104</v>
      </c>
      <c r="E126" s="3" t="s">
        <v>40</v>
      </c>
      <c r="F126" s="3" t="s">
        <v>75</v>
      </c>
      <c r="G126" s="3" t="s">
        <v>1089</v>
      </c>
      <c r="H126" s="3" t="s">
        <v>799</v>
      </c>
      <c r="I126" s="3" t="s">
        <v>137</v>
      </c>
      <c r="J126" s="3" t="s">
        <v>853</v>
      </c>
      <c r="K126" s="3" t="s">
        <v>67</v>
      </c>
      <c r="L126" s="7" t="s">
        <v>801</v>
      </c>
      <c r="M126" s="6" t="s">
        <v>796</v>
      </c>
      <c r="N126" s="7" t="s">
        <v>801</v>
      </c>
    </row>
    <row r="127" spans="1:14" x14ac:dyDescent="0.25">
      <c r="A127" s="2">
        <v>120</v>
      </c>
      <c r="B127" s="2" t="s">
        <v>1090</v>
      </c>
      <c r="C127" s="3" t="s">
        <v>31</v>
      </c>
      <c r="D127" s="3" t="s">
        <v>85</v>
      </c>
      <c r="E127" s="3" t="s">
        <v>79</v>
      </c>
      <c r="F127" s="3" t="s">
        <v>83</v>
      </c>
      <c r="G127" s="3" t="s">
        <v>1091</v>
      </c>
      <c r="H127" s="3" t="s">
        <v>859</v>
      </c>
      <c r="I127" s="3" t="s">
        <v>170</v>
      </c>
      <c r="J127" s="3" t="s">
        <v>1067</v>
      </c>
      <c r="K127" s="3" t="s">
        <v>28</v>
      </c>
      <c r="L127" s="7" t="s">
        <v>801</v>
      </c>
      <c r="M127" s="7" t="s">
        <v>801</v>
      </c>
      <c r="N127" s="7" t="s">
        <v>801</v>
      </c>
    </row>
    <row r="128" spans="1:14" x14ac:dyDescent="0.25">
      <c r="A128" s="2">
        <v>121</v>
      </c>
      <c r="B128" s="2" t="s">
        <v>1092</v>
      </c>
      <c r="C128" s="3" t="s">
        <v>53</v>
      </c>
      <c r="D128" s="3" t="s">
        <v>60</v>
      </c>
      <c r="E128" s="3" t="s">
        <v>47</v>
      </c>
      <c r="F128" s="3" t="s">
        <v>66</v>
      </c>
      <c r="G128" s="3" t="s">
        <v>827</v>
      </c>
      <c r="H128" s="3" t="s">
        <v>886</v>
      </c>
      <c r="I128" s="3" t="s">
        <v>138</v>
      </c>
      <c r="J128" s="3" t="s">
        <v>795</v>
      </c>
      <c r="K128" s="3" t="s">
        <v>57</v>
      </c>
      <c r="L128" s="7" t="s">
        <v>801</v>
      </c>
      <c r="M128" s="6" t="s">
        <v>796</v>
      </c>
      <c r="N128" s="7" t="s">
        <v>801</v>
      </c>
    </row>
    <row r="129" spans="1:14" x14ac:dyDescent="0.25">
      <c r="A129" s="2">
        <v>122</v>
      </c>
      <c r="B129" s="2" t="s">
        <v>1093</v>
      </c>
      <c r="C129" s="3" t="s">
        <v>106</v>
      </c>
      <c r="D129" s="3" t="s">
        <v>66</v>
      </c>
      <c r="E129" s="3" t="s">
        <v>22</v>
      </c>
      <c r="F129" s="3" t="s">
        <v>41</v>
      </c>
      <c r="G129" s="3" t="s">
        <v>1094</v>
      </c>
      <c r="H129" s="3" t="s">
        <v>848</v>
      </c>
      <c r="I129" s="3" t="s">
        <v>143</v>
      </c>
      <c r="J129" s="3" t="s">
        <v>1095</v>
      </c>
      <c r="K129" s="3" t="s">
        <v>56</v>
      </c>
      <c r="L129" s="7" t="s">
        <v>801</v>
      </c>
      <c r="M129" s="7" t="s">
        <v>801</v>
      </c>
      <c r="N129" s="7" t="s">
        <v>801</v>
      </c>
    </row>
    <row r="130" spans="1:14" x14ac:dyDescent="0.25">
      <c r="A130" s="2">
        <v>123</v>
      </c>
      <c r="B130" s="2" t="s">
        <v>1096</v>
      </c>
      <c r="C130" s="3" t="s">
        <v>31</v>
      </c>
      <c r="D130" s="3" t="s">
        <v>56</v>
      </c>
      <c r="E130" s="3" t="s">
        <v>61</v>
      </c>
      <c r="F130" s="3" t="s">
        <v>82</v>
      </c>
      <c r="G130" s="3" t="s">
        <v>1010</v>
      </c>
      <c r="H130" s="3" t="s">
        <v>812</v>
      </c>
      <c r="I130" s="3" t="s">
        <v>135</v>
      </c>
      <c r="J130" s="3" t="s">
        <v>816</v>
      </c>
      <c r="K130" s="3" t="s">
        <v>63</v>
      </c>
      <c r="L130" s="7" t="s">
        <v>801</v>
      </c>
      <c r="M130" s="6" t="s">
        <v>796</v>
      </c>
      <c r="N130" s="7" t="s">
        <v>801</v>
      </c>
    </row>
    <row r="131" spans="1:14" x14ac:dyDescent="0.25">
      <c r="A131" s="2">
        <v>124</v>
      </c>
      <c r="B131" s="2" t="s">
        <v>1097</v>
      </c>
      <c r="C131" s="3" t="s">
        <v>78</v>
      </c>
      <c r="D131" s="3" t="s">
        <v>41</v>
      </c>
      <c r="E131" s="3" t="s">
        <v>58</v>
      </c>
      <c r="F131" s="3" t="s">
        <v>110</v>
      </c>
      <c r="G131" s="3" t="s">
        <v>1098</v>
      </c>
      <c r="H131" s="3" t="s">
        <v>969</v>
      </c>
      <c r="I131" s="3" t="s">
        <v>133</v>
      </c>
      <c r="J131" s="3" t="s">
        <v>833</v>
      </c>
      <c r="K131" s="3" t="s">
        <v>108</v>
      </c>
      <c r="L131" s="7" t="s">
        <v>801</v>
      </c>
      <c r="M131" s="6" t="s">
        <v>796</v>
      </c>
      <c r="N131" s="7" t="s">
        <v>801</v>
      </c>
    </row>
    <row r="132" spans="1:14" x14ac:dyDescent="0.25">
      <c r="A132" s="2">
        <v>125</v>
      </c>
      <c r="B132" s="2" t="s">
        <v>1099</v>
      </c>
      <c r="C132" s="3" t="s">
        <v>21</v>
      </c>
      <c r="D132" s="3" t="s">
        <v>112</v>
      </c>
      <c r="E132" s="3" t="s">
        <v>102</v>
      </c>
      <c r="F132" s="3" t="s">
        <v>61</v>
      </c>
      <c r="G132" s="3" t="s">
        <v>976</v>
      </c>
      <c r="H132" s="3" t="s">
        <v>933</v>
      </c>
      <c r="I132" s="3" t="s">
        <v>137</v>
      </c>
      <c r="J132" s="3" t="s">
        <v>988</v>
      </c>
      <c r="K132" s="3" t="s">
        <v>39</v>
      </c>
      <c r="L132" s="6" t="s">
        <v>796</v>
      </c>
      <c r="M132" s="7" t="s">
        <v>801</v>
      </c>
      <c r="N132" s="6" t="s">
        <v>796</v>
      </c>
    </row>
    <row r="133" spans="1:14" x14ac:dyDescent="0.25">
      <c r="A133" s="2">
        <v>126</v>
      </c>
      <c r="B133" s="2" t="s">
        <v>1100</v>
      </c>
      <c r="C133" s="3" t="s">
        <v>33</v>
      </c>
      <c r="D133" s="3" t="s">
        <v>31</v>
      </c>
      <c r="E133" s="3" t="s">
        <v>46</v>
      </c>
      <c r="F133" s="3" t="s">
        <v>68</v>
      </c>
      <c r="G133" s="3" t="s">
        <v>1101</v>
      </c>
      <c r="H133" s="3" t="s">
        <v>969</v>
      </c>
      <c r="I133" s="3" t="s">
        <v>138</v>
      </c>
      <c r="J133" s="3" t="s">
        <v>795</v>
      </c>
      <c r="K133" s="3" t="s">
        <v>33</v>
      </c>
      <c r="L133" s="7" t="s">
        <v>801</v>
      </c>
      <c r="M133" s="7" t="s">
        <v>801</v>
      </c>
      <c r="N133" s="7" t="s">
        <v>801</v>
      </c>
    </row>
    <row r="134" spans="1:14" x14ac:dyDescent="0.25">
      <c r="A134" s="2">
        <v>127</v>
      </c>
      <c r="B134" s="2" t="s">
        <v>1102</v>
      </c>
      <c r="C134" s="3" t="s">
        <v>96</v>
      </c>
      <c r="D134" s="3" t="s">
        <v>34</v>
      </c>
      <c r="E134" s="3" t="s">
        <v>60</v>
      </c>
      <c r="F134" s="3" t="s">
        <v>72</v>
      </c>
      <c r="G134" s="3" t="s">
        <v>1103</v>
      </c>
      <c r="H134" s="3" t="s">
        <v>845</v>
      </c>
      <c r="I134" s="3" t="s">
        <v>143</v>
      </c>
      <c r="J134" s="3" t="s">
        <v>795</v>
      </c>
      <c r="K134" s="3" t="s">
        <v>49</v>
      </c>
      <c r="L134" s="6" t="s">
        <v>796</v>
      </c>
      <c r="M134" s="6" t="s">
        <v>796</v>
      </c>
      <c r="N134" s="6" t="s">
        <v>796</v>
      </c>
    </row>
    <row r="135" spans="1:14" x14ac:dyDescent="0.25">
      <c r="A135" s="2">
        <v>128</v>
      </c>
      <c r="B135" s="2" t="s">
        <v>1104</v>
      </c>
      <c r="C135" s="3" t="s">
        <v>43</v>
      </c>
      <c r="D135" s="3" t="s">
        <v>48</v>
      </c>
      <c r="E135" s="3" t="s">
        <v>47</v>
      </c>
      <c r="F135" s="3" t="s">
        <v>74</v>
      </c>
      <c r="G135" s="3" t="s">
        <v>1105</v>
      </c>
      <c r="H135" s="3" t="s">
        <v>886</v>
      </c>
      <c r="I135" s="3" t="s">
        <v>133</v>
      </c>
      <c r="J135" s="3" t="s">
        <v>805</v>
      </c>
      <c r="K135" s="3" t="s">
        <v>54</v>
      </c>
      <c r="L135" s="7" t="s">
        <v>801</v>
      </c>
      <c r="M135" s="6" t="s">
        <v>796</v>
      </c>
      <c r="N135" s="6" t="s">
        <v>796</v>
      </c>
    </row>
    <row r="136" spans="1:14" x14ac:dyDescent="0.25">
      <c r="A136" s="2">
        <v>129</v>
      </c>
      <c r="B136" s="2" t="s">
        <v>1106</v>
      </c>
      <c r="C136" s="3" t="s">
        <v>49</v>
      </c>
      <c r="D136" s="3" t="s">
        <v>106</v>
      </c>
      <c r="E136" s="3" t="s">
        <v>115</v>
      </c>
      <c r="F136" s="3" t="s">
        <v>99</v>
      </c>
      <c r="G136" s="3" t="s">
        <v>936</v>
      </c>
      <c r="H136" s="3" t="s">
        <v>845</v>
      </c>
      <c r="I136" s="3" t="s">
        <v>142</v>
      </c>
      <c r="J136" s="3" t="s">
        <v>809</v>
      </c>
      <c r="K136" s="3" t="s">
        <v>85</v>
      </c>
      <c r="L136" s="7" t="s">
        <v>801</v>
      </c>
      <c r="M136" s="6" t="s">
        <v>796</v>
      </c>
      <c r="N136" s="6" t="s">
        <v>796</v>
      </c>
    </row>
    <row r="137" spans="1:14" x14ac:dyDescent="0.25">
      <c r="A137" s="2">
        <v>130</v>
      </c>
      <c r="B137" s="2" t="s">
        <v>1107</v>
      </c>
      <c r="C137" s="3" t="s">
        <v>20</v>
      </c>
      <c r="D137" s="3" t="s">
        <v>64</v>
      </c>
      <c r="E137" s="3" t="s">
        <v>78</v>
      </c>
      <c r="F137" s="3" t="s">
        <v>59</v>
      </c>
      <c r="G137" s="3" t="s">
        <v>1108</v>
      </c>
      <c r="H137" s="3" t="s">
        <v>909</v>
      </c>
      <c r="I137" s="3" t="s">
        <v>138</v>
      </c>
      <c r="J137" s="3" t="s">
        <v>825</v>
      </c>
      <c r="K137" s="3" t="s">
        <v>110</v>
      </c>
      <c r="L137" s="7" t="s">
        <v>801</v>
      </c>
      <c r="M137" s="7" t="s">
        <v>801</v>
      </c>
      <c r="N137" s="7" t="s">
        <v>801</v>
      </c>
    </row>
    <row r="138" spans="1:14" x14ac:dyDescent="0.25">
      <c r="A138" s="2">
        <v>131</v>
      </c>
      <c r="B138" s="2" t="s">
        <v>1109</v>
      </c>
      <c r="C138" s="3" t="s">
        <v>65</v>
      </c>
      <c r="D138" s="3" t="s">
        <v>63</v>
      </c>
      <c r="E138" s="3" t="s">
        <v>25</v>
      </c>
      <c r="F138" s="3" t="s">
        <v>49</v>
      </c>
      <c r="G138" s="3" t="s">
        <v>844</v>
      </c>
      <c r="H138" s="3" t="s">
        <v>845</v>
      </c>
      <c r="I138" s="3" t="s">
        <v>135</v>
      </c>
      <c r="J138" s="3" t="s">
        <v>816</v>
      </c>
      <c r="K138" s="3" t="s">
        <v>20</v>
      </c>
      <c r="L138" s="7" t="s">
        <v>801</v>
      </c>
      <c r="M138" s="6" t="s">
        <v>796</v>
      </c>
      <c r="N138" s="7" t="s">
        <v>801</v>
      </c>
    </row>
    <row r="139" spans="1:14" x14ac:dyDescent="0.25">
      <c r="A139" s="2">
        <v>132</v>
      </c>
      <c r="B139" s="2" t="s">
        <v>1110</v>
      </c>
      <c r="C139" s="3" t="s">
        <v>82</v>
      </c>
      <c r="D139" s="3" t="s">
        <v>76</v>
      </c>
      <c r="E139" s="3" t="s">
        <v>97</v>
      </c>
      <c r="F139" s="3" t="s">
        <v>100</v>
      </c>
      <c r="G139" s="3" t="s">
        <v>1111</v>
      </c>
      <c r="H139" s="3" t="s">
        <v>812</v>
      </c>
      <c r="I139" s="3" t="s">
        <v>133</v>
      </c>
      <c r="J139" s="3" t="s">
        <v>876</v>
      </c>
      <c r="K139" s="3" t="s">
        <v>100</v>
      </c>
      <c r="L139" s="7" t="s">
        <v>801</v>
      </c>
      <c r="M139" s="6" t="s">
        <v>796</v>
      </c>
      <c r="N139" s="7" t="s">
        <v>801</v>
      </c>
    </row>
    <row r="140" spans="1:14" x14ac:dyDescent="0.25">
      <c r="A140" s="2">
        <v>133</v>
      </c>
      <c r="B140" s="2" t="s">
        <v>1112</v>
      </c>
      <c r="C140" s="3" t="s">
        <v>25</v>
      </c>
      <c r="D140" s="3" t="s">
        <v>67</v>
      </c>
      <c r="E140" s="3" t="s">
        <v>38</v>
      </c>
      <c r="F140" s="3" t="s">
        <v>109</v>
      </c>
      <c r="G140" s="3" t="s">
        <v>1062</v>
      </c>
      <c r="H140" s="3" t="s">
        <v>812</v>
      </c>
      <c r="I140" s="3" t="s">
        <v>138</v>
      </c>
      <c r="J140" s="3" t="s">
        <v>825</v>
      </c>
      <c r="K140" s="3" t="s">
        <v>77</v>
      </c>
      <c r="L140" s="7" t="s">
        <v>801</v>
      </c>
      <c r="M140" s="6" t="s">
        <v>796</v>
      </c>
      <c r="N140" s="7" t="s">
        <v>801</v>
      </c>
    </row>
    <row r="141" spans="1:14" x14ac:dyDescent="0.25">
      <c r="A141" s="2">
        <v>134</v>
      </c>
      <c r="B141" s="2" t="s">
        <v>1113</v>
      </c>
      <c r="C141" s="3" t="s">
        <v>27</v>
      </c>
      <c r="D141" s="3" t="s">
        <v>65</v>
      </c>
      <c r="E141" s="3" t="s">
        <v>86</v>
      </c>
      <c r="F141" s="3" t="s">
        <v>71</v>
      </c>
      <c r="G141" s="3" t="s">
        <v>1114</v>
      </c>
      <c r="H141" s="3" t="s">
        <v>794</v>
      </c>
      <c r="I141" s="3" t="s">
        <v>142</v>
      </c>
      <c r="J141" s="3" t="s">
        <v>1000</v>
      </c>
      <c r="K141" s="3" t="s">
        <v>70</v>
      </c>
      <c r="L141" s="7" t="s">
        <v>801</v>
      </c>
      <c r="M141" s="6" t="s">
        <v>796</v>
      </c>
      <c r="N141" s="6" t="s">
        <v>796</v>
      </c>
    </row>
    <row r="142" spans="1:14" x14ac:dyDescent="0.25">
      <c r="A142" s="2">
        <v>135</v>
      </c>
      <c r="B142" s="2" t="s">
        <v>1115</v>
      </c>
      <c r="C142" s="3" t="s">
        <v>78</v>
      </c>
      <c r="D142" s="3" t="s">
        <v>34</v>
      </c>
      <c r="E142" s="3" t="s">
        <v>33</v>
      </c>
      <c r="F142" s="3" t="s">
        <v>103</v>
      </c>
      <c r="G142" s="3" t="s">
        <v>1116</v>
      </c>
      <c r="H142" s="3" t="s">
        <v>886</v>
      </c>
      <c r="I142" s="3" t="s">
        <v>138</v>
      </c>
      <c r="J142" s="3" t="s">
        <v>1117</v>
      </c>
      <c r="K142" s="3" t="s">
        <v>84</v>
      </c>
      <c r="L142" s="7" t="s">
        <v>801</v>
      </c>
      <c r="M142" s="6" t="s">
        <v>796</v>
      </c>
      <c r="N142" s="7" t="s">
        <v>801</v>
      </c>
    </row>
    <row r="143" spans="1:14" x14ac:dyDescent="0.25">
      <c r="A143" s="2">
        <v>136</v>
      </c>
      <c r="B143" s="2" t="s">
        <v>1118</v>
      </c>
      <c r="C143" s="3" t="s">
        <v>26</v>
      </c>
      <c r="D143" s="3" t="s">
        <v>68</v>
      </c>
      <c r="E143" s="3" t="s">
        <v>110</v>
      </c>
      <c r="F143" s="3" t="s">
        <v>27</v>
      </c>
      <c r="G143" s="3" t="s">
        <v>1119</v>
      </c>
      <c r="H143" s="3" t="s">
        <v>969</v>
      </c>
      <c r="I143" s="3" t="s">
        <v>146</v>
      </c>
      <c r="J143" s="3" t="s">
        <v>1000</v>
      </c>
      <c r="K143" s="3" t="s">
        <v>101</v>
      </c>
      <c r="L143" s="7" t="s">
        <v>801</v>
      </c>
      <c r="M143" s="6" t="s">
        <v>796</v>
      </c>
      <c r="N143" s="7" t="s">
        <v>801</v>
      </c>
    </row>
    <row r="144" spans="1:14" x14ac:dyDescent="0.25">
      <c r="A144" s="2">
        <v>137</v>
      </c>
      <c r="B144" s="2" t="s">
        <v>1120</v>
      </c>
      <c r="C144" s="3" t="s">
        <v>54</v>
      </c>
      <c r="D144" s="3" t="s">
        <v>70</v>
      </c>
      <c r="E144" s="3" t="s">
        <v>111</v>
      </c>
      <c r="F144" s="3" t="s">
        <v>90</v>
      </c>
      <c r="G144" s="3" t="s">
        <v>1121</v>
      </c>
      <c r="H144" s="3" t="s">
        <v>799</v>
      </c>
      <c r="I144" s="3" t="s">
        <v>135</v>
      </c>
      <c r="J144" s="3" t="s">
        <v>1122</v>
      </c>
      <c r="K144" s="3" t="s">
        <v>55</v>
      </c>
      <c r="L144" s="7" t="s">
        <v>801</v>
      </c>
      <c r="M144" s="7" t="s">
        <v>801</v>
      </c>
      <c r="N144" s="6" t="s">
        <v>796</v>
      </c>
    </row>
    <row r="145" spans="1:14" x14ac:dyDescent="0.25">
      <c r="A145" s="2">
        <v>138</v>
      </c>
      <c r="B145" s="2" t="s">
        <v>1123</v>
      </c>
      <c r="C145" s="3" t="s">
        <v>59</v>
      </c>
      <c r="D145" s="3" t="s">
        <v>28</v>
      </c>
      <c r="E145" s="3" t="s">
        <v>94</v>
      </c>
      <c r="F145" s="3" t="s">
        <v>97</v>
      </c>
      <c r="G145" s="3" t="s">
        <v>1037</v>
      </c>
      <c r="H145" s="3" t="s">
        <v>896</v>
      </c>
      <c r="I145" s="3" t="s">
        <v>137</v>
      </c>
      <c r="J145" s="3" t="s">
        <v>1067</v>
      </c>
      <c r="K145" s="3" t="s">
        <v>37</v>
      </c>
      <c r="L145" s="7" t="s">
        <v>801</v>
      </c>
      <c r="M145" s="6" t="s">
        <v>796</v>
      </c>
      <c r="N145" s="7" t="s">
        <v>801</v>
      </c>
    </row>
    <row r="146" spans="1:14" x14ac:dyDescent="0.25">
      <c r="A146" s="2">
        <v>139</v>
      </c>
      <c r="B146" s="2" t="s">
        <v>1124</v>
      </c>
      <c r="C146" s="3" t="s">
        <v>100</v>
      </c>
      <c r="D146" s="3" t="s">
        <v>52</v>
      </c>
      <c r="E146" s="3" t="s">
        <v>101</v>
      </c>
      <c r="F146" s="3" t="s">
        <v>42</v>
      </c>
      <c r="G146" s="3" t="s">
        <v>1125</v>
      </c>
      <c r="H146" s="3" t="s">
        <v>909</v>
      </c>
      <c r="I146" s="3" t="s">
        <v>143</v>
      </c>
      <c r="J146" s="3" t="s">
        <v>825</v>
      </c>
      <c r="K146" s="3" t="s">
        <v>20</v>
      </c>
      <c r="L146" s="7" t="s">
        <v>801</v>
      </c>
      <c r="M146" s="7" t="s">
        <v>801</v>
      </c>
      <c r="N146" s="7" t="s">
        <v>801</v>
      </c>
    </row>
    <row r="147" spans="1:14" x14ac:dyDescent="0.25">
      <c r="A147" s="2">
        <v>140</v>
      </c>
      <c r="B147" s="2" t="s">
        <v>1126</v>
      </c>
      <c r="C147" s="3" t="s">
        <v>45</v>
      </c>
      <c r="D147" s="3" t="s">
        <v>74</v>
      </c>
      <c r="E147" s="3" t="s">
        <v>22</v>
      </c>
      <c r="F147" s="3" t="s">
        <v>112</v>
      </c>
      <c r="G147" s="3" t="s">
        <v>1127</v>
      </c>
      <c r="H147" s="3" t="s">
        <v>815</v>
      </c>
      <c r="I147" s="3" t="s">
        <v>170</v>
      </c>
      <c r="J147" s="3" t="s">
        <v>795</v>
      </c>
      <c r="K147" s="3" t="s">
        <v>97</v>
      </c>
      <c r="L147" s="7" t="s">
        <v>801</v>
      </c>
      <c r="M147" s="6" t="s">
        <v>796</v>
      </c>
      <c r="N147" s="6" t="s">
        <v>796</v>
      </c>
    </row>
    <row r="148" spans="1:14" x14ac:dyDescent="0.25">
      <c r="A148" s="2">
        <v>141</v>
      </c>
      <c r="B148" s="2" t="s">
        <v>1128</v>
      </c>
      <c r="C148" s="3" t="s">
        <v>106</v>
      </c>
      <c r="D148" s="3" t="s">
        <v>59</v>
      </c>
      <c r="E148" s="3" t="s">
        <v>99</v>
      </c>
      <c r="F148" s="3" t="s">
        <v>112</v>
      </c>
      <c r="G148" s="3" t="s">
        <v>1129</v>
      </c>
      <c r="H148" s="3" t="s">
        <v>848</v>
      </c>
      <c r="I148" s="3" t="s">
        <v>137</v>
      </c>
      <c r="J148" s="3" t="s">
        <v>1067</v>
      </c>
      <c r="K148" s="3" t="s">
        <v>27</v>
      </c>
      <c r="L148" s="6" t="s">
        <v>796</v>
      </c>
      <c r="M148" s="6" t="s">
        <v>796</v>
      </c>
      <c r="N148" s="6" t="s">
        <v>796</v>
      </c>
    </row>
    <row r="149" spans="1:14" x14ac:dyDescent="0.25">
      <c r="A149" s="2">
        <v>142</v>
      </c>
      <c r="B149" s="2" t="s">
        <v>1130</v>
      </c>
      <c r="C149" s="3" t="s">
        <v>90</v>
      </c>
      <c r="D149" s="3" t="s">
        <v>55</v>
      </c>
      <c r="E149" s="3" t="s">
        <v>44</v>
      </c>
      <c r="F149" s="3" t="s">
        <v>97</v>
      </c>
      <c r="G149" s="3" t="s">
        <v>1131</v>
      </c>
      <c r="H149" s="3" t="s">
        <v>848</v>
      </c>
      <c r="I149" s="3" t="s">
        <v>170</v>
      </c>
      <c r="J149" s="3" t="s">
        <v>1132</v>
      </c>
      <c r="K149" s="3" t="s">
        <v>29</v>
      </c>
      <c r="L149" s="7" t="s">
        <v>801</v>
      </c>
      <c r="M149" s="6" t="s">
        <v>796</v>
      </c>
      <c r="N149" s="7" t="s">
        <v>801</v>
      </c>
    </row>
    <row r="150" spans="1:14" x14ac:dyDescent="0.25">
      <c r="A150" s="2">
        <v>143</v>
      </c>
      <c r="B150" s="2" t="s">
        <v>1133</v>
      </c>
      <c r="C150" s="3" t="s">
        <v>61</v>
      </c>
      <c r="D150" s="3" t="s">
        <v>43</v>
      </c>
      <c r="E150" s="3" t="s">
        <v>32</v>
      </c>
      <c r="F150" s="3" t="s">
        <v>31</v>
      </c>
      <c r="G150" s="3" t="s">
        <v>913</v>
      </c>
      <c r="H150" s="3" t="s">
        <v>812</v>
      </c>
      <c r="I150" s="3" t="s">
        <v>151</v>
      </c>
      <c r="J150" s="3" t="s">
        <v>795</v>
      </c>
      <c r="K150" s="3" t="s">
        <v>66</v>
      </c>
      <c r="L150" s="7" t="s">
        <v>801</v>
      </c>
      <c r="M150" s="6" t="s">
        <v>796</v>
      </c>
      <c r="N150" s="6" t="s">
        <v>796</v>
      </c>
    </row>
    <row r="151" spans="1:14" x14ac:dyDescent="0.25">
      <c r="A151" s="2">
        <v>144</v>
      </c>
      <c r="B151" s="2" t="s">
        <v>1134</v>
      </c>
      <c r="C151" s="3" t="s">
        <v>32</v>
      </c>
      <c r="D151" s="3" t="s">
        <v>16</v>
      </c>
      <c r="E151" s="3" t="s">
        <v>67</v>
      </c>
      <c r="F151" s="3" t="s">
        <v>115</v>
      </c>
      <c r="G151" s="3" t="s">
        <v>1135</v>
      </c>
      <c r="H151" s="3" t="s">
        <v>838</v>
      </c>
      <c r="I151" s="3" t="s">
        <v>133</v>
      </c>
      <c r="J151" s="3" t="s">
        <v>919</v>
      </c>
      <c r="K151" s="3" t="s">
        <v>70</v>
      </c>
      <c r="L151" s="7" t="s">
        <v>801</v>
      </c>
      <c r="M151" s="6" t="s">
        <v>796</v>
      </c>
      <c r="N151" s="6" t="s">
        <v>796</v>
      </c>
    </row>
    <row r="152" spans="1:14" x14ac:dyDescent="0.25">
      <c r="A152" s="2">
        <v>145</v>
      </c>
      <c r="B152" s="2" t="s">
        <v>1136</v>
      </c>
      <c r="C152" s="3" t="s">
        <v>33</v>
      </c>
      <c r="D152" s="3" t="s">
        <v>32</v>
      </c>
      <c r="E152" s="3" t="s">
        <v>82</v>
      </c>
      <c r="F152" s="3" t="s">
        <v>99</v>
      </c>
      <c r="G152" s="3" t="s">
        <v>1137</v>
      </c>
      <c r="H152" s="3" t="s">
        <v>969</v>
      </c>
      <c r="I152" s="3" t="s">
        <v>143</v>
      </c>
      <c r="J152" s="3" t="s">
        <v>906</v>
      </c>
      <c r="K152" s="3" t="s">
        <v>59</v>
      </c>
      <c r="L152" s="7" t="s">
        <v>801</v>
      </c>
      <c r="M152" s="6" t="s">
        <v>796</v>
      </c>
      <c r="N152" s="7" t="s">
        <v>801</v>
      </c>
    </row>
    <row r="153" spans="1:14" x14ac:dyDescent="0.25">
      <c r="A153" s="2">
        <v>146</v>
      </c>
      <c r="B153" s="2" t="s">
        <v>1138</v>
      </c>
      <c r="C153" s="3" t="s">
        <v>67</v>
      </c>
      <c r="D153" s="3" t="s">
        <v>72</v>
      </c>
      <c r="E153" s="3" t="s">
        <v>112</v>
      </c>
      <c r="F153" s="3" t="s">
        <v>60</v>
      </c>
      <c r="G153" s="3" t="s">
        <v>915</v>
      </c>
      <c r="H153" s="3" t="s">
        <v>815</v>
      </c>
      <c r="I153" s="3" t="s">
        <v>151</v>
      </c>
      <c r="J153" s="3" t="s">
        <v>876</v>
      </c>
      <c r="K153" s="3" t="s">
        <v>58</v>
      </c>
      <c r="L153" s="7" t="s">
        <v>801</v>
      </c>
      <c r="M153" s="6" t="s">
        <v>796</v>
      </c>
      <c r="N153" s="7" t="s">
        <v>801</v>
      </c>
    </row>
    <row r="154" spans="1:14" x14ac:dyDescent="0.25">
      <c r="A154" s="2">
        <v>147</v>
      </c>
      <c r="B154" s="2" t="s">
        <v>1139</v>
      </c>
      <c r="C154" s="3" t="s">
        <v>89</v>
      </c>
      <c r="D154" s="3" t="s">
        <v>55</v>
      </c>
      <c r="E154" s="3" t="s">
        <v>97</v>
      </c>
      <c r="F154" s="3" t="s">
        <v>100</v>
      </c>
      <c r="G154" s="3" t="s">
        <v>1140</v>
      </c>
      <c r="H154" s="3" t="s">
        <v>828</v>
      </c>
      <c r="I154" s="3" t="s">
        <v>141</v>
      </c>
      <c r="J154" s="3" t="s">
        <v>795</v>
      </c>
      <c r="K154" s="3" t="s">
        <v>69</v>
      </c>
      <c r="L154" s="7" t="s">
        <v>801</v>
      </c>
      <c r="M154" s="6" t="s">
        <v>796</v>
      </c>
      <c r="N154" s="6" t="s">
        <v>796</v>
      </c>
    </row>
    <row r="155" spans="1:14" x14ac:dyDescent="0.25">
      <c r="A155" s="2">
        <v>148</v>
      </c>
      <c r="B155" s="2" t="s">
        <v>1141</v>
      </c>
      <c r="C155" s="3" t="s">
        <v>58</v>
      </c>
      <c r="D155" s="3" t="s">
        <v>83</v>
      </c>
      <c r="E155" s="3" t="s">
        <v>36</v>
      </c>
      <c r="F155" s="3" t="s">
        <v>26</v>
      </c>
      <c r="G155" s="3" t="s">
        <v>1142</v>
      </c>
      <c r="H155" s="3" t="s">
        <v>969</v>
      </c>
      <c r="I155" s="3" t="s">
        <v>143</v>
      </c>
      <c r="J155" s="3" t="s">
        <v>805</v>
      </c>
      <c r="K155" s="3" t="s">
        <v>39</v>
      </c>
      <c r="L155" s="7" t="s">
        <v>801</v>
      </c>
      <c r="M155" s="6" t="s">
        <v>796</v>
      </c>
      <c r="N155" s="6" t="s">
        <v>796</v>
      </c>
    </row>
    <row r="156" spans="1:14" x14ac:dyDescent="0.25">
      <c r="A156" s="2">
        <v>149</v>
      </c>
      <c r="B156" s="2" t="s">
        <v>1143</v>
      </c>
      <c r="C156" s="3" t="s">
        <v>48</v>
      </c>
      <c r="D156" s="3" t="s">
        <v>75</v>
      </c>
      <c r="E156" s="3" t="s">
        <v>99</v>
      </c>
      <c r="F156" s="3" t="s">
        <v>103</v>
      </c>
      <c r="G156" s="3" t="s">
        <v>1144</v>
      </c>
      <c r="H156" s="3" t="s">
        <v>822</v>
      </c>
      <c r="I156" s="3" t="s">
        <v>133</v>
      </c>
      <c r="J156" s="3" t="s">
        <v>887</v>
      </c>
      <c r="K156" s="3" t="s">
        <v>52</v>
      </c>
      <c r="L156" s="7" t="s">
        <v>801</v>
      </c>
      <c r="M156" s="6" t="s">
        <v>796</v>
      </c>
      <c r="N156" s="7" t="s">
        <v>801</v>
      </c>
    </row>
    <row r="157" spans="1:14" x14ac:dyDescent="0.25">
      <c r="A157" s="2">
        <v>150</v>
      </c>
      <c r="B157" s="2" t="s">
        <v>1145</v>
      </c>
      <c r="C157" s="3" t="s">
        <v>68</v>
      </c>
      <c r="D157" s="3" t="s">
        <v>106</v>
      </c>
      <c r="E157" s="3" t="s">
        <v>93</v>
      </c>
      <c r="F157" s="3" t="s">
        <v>50</v>
      </c>
      <c r="G157" s="3" t="s">
        <v>1146</v>
      </c>
      <c r="H157" s="3" t="s">
        <v>808</v>
      </c>
      <c r="I157" s="3" t="s">
        <v>151</v>
      </c>
      <c r="J157" s="3" t="s">
        <v>842</v>
      </c>
      <c r="K157" s="3" t="s">
        <v>99</v>
      </c>
      <c r="L157" s="7" t="s">
        <v>801</v>
      </c>
      <c r="M157" s="6" t="s">
        <v>796</v>
      </c>
      <c r="N157" s="6" t="s">
        <v>796</v>
      </c>
    </row>
    <row r="158" spans="1:14" x14ac:dyDescent="0.25">
      <c r="A158" s="2">
        <v>151</v>
      </c>
      <c r="B158" s="2" t="s">
        <v>1147</v>
      </c>
      <c r="C158" s="3" t="s">
        <v>49</v>
      </c>
      <c r="D158" s="3" t="s">
        <v>68</v>
      </c>
      <c r="E158" s="3" t="s">
        <v>96</v>
      </c>
      <c r="F158" s="3" t="s">
        <v>32</v>
      </c>
      <c r="G158" s="3" t="s">
        <v>1148</v>
      </c>
      <c r="H158" s="3" t="s">
        <v>969</v>
      </c>
      <c r="I158" s="3" t="s">
        <v>151</v>
      </c>
      <c r="J158" s="3" t="s">
        <v>953</v>
      </c>
      <c r="K158" s="3" t="s">
        <v>94</v>
      </c>
      <c r="L158" s="7" t="s">
        <v>801</v>
      </c>
      <c r="M158" s="6" t="s">
        <v>796</v>
      </c>
      <c r="N158" s="6" t="s">
        <v>796</v>
      </c>
    </row>
    <row r="159" spans="1:14" x14ac:dyDescent="0.25">
      <c r="A159" s="2">
        <v>152</v>
      </c>
      <c r="B159" s="2" t="s">
        <v>1149</v>
      </c>
      <c r="C159" s="3" t="s">
        <v>65</v>
      </c>
      <c r="D159" s="3" t="s">
        <v>68</v>
      </c>
      <c r="E159" s="3" t="s">
        <v>115</v>
      </c>
      <c r="F159" s="3" t="s">
        <v>62</v>
      </c>
      <c r="G159" s="3" t="s">
        <v>1098</v>
      </c>
      <c r="H159" s="3" t="s">
        <v>794</v>
      </c>
      <c r="I159" s="3" t="s">
        <v>133</v>
      </c>
      <c r="J159" s="3" t="s">
        <v>856</v>
      </c>
      <c r="K159" s="3" t="s">
        <v>81</v>
      </c>
      <c r="L159" s="7" t="s">
        <v>801</v>
      </c>
      <c r="M159" s="6" t="s">
        <v>796</v>
      </c>
      <c r="N159" s="6" t="s">
        <v>796</v>
      </c>
    </row>
    <row r="160" spans="1:14" x14ac:dyDescent="0.25">
      <c r="A160" s="2">
        <v>153</v>
      </c>
      <c r="B160" s="2" t="s">
        <v>1150</v>
      </c>
      <c r="C160" s="3" t="s">
        <v>69</v>
      </c>
      <c r="D160" s="3" t="s">
        <v>48</v>
      </c>
      <c r="E160" s="3" t="s">
        <v>85</v>
      </c>
      <c r="F160" s="3" t="s">
        <v>68</v>
      </c>
      <c r="G160" s="3" t="s">
        <v>1151</v>
      </c>
      <c r="H160" s="3" t="s">
        <v>794</v>
      </c>
      <c r="I160" s="3" t="s">
        <v>135</v>
      </c>
      <c r="J160" s="3" t="s">
        <v>833</v>
      </c>
      <c r="K160" s="3" t="s">
        <v>109</v>
      </c>
      <c r="L160" s="7" t="s">
        <v>801</v>
      </c>
      <c r="M160" s="7" t="s">
        <v>801</v>
      </c>
      <c r="N160" s="7" t="s">
        <v>801</v>
      </c>
    </row>
    <row r="161" spans="1:14" x14ac:dyDescent="0.25">
      <c r="A161" s="2">
        <v>154</v>
      </c>
      <c r="B161" s="2" t="s">
        <v>1152</v>
      </c>
      <c r="C161" s="3" t="s">
        <v>25</v>
      </c>
      <c r="D161" s="3" t="s">
        <v>27</v>
      </c>
      <c r="E161" s="3" t="s">
        <v>57</v>
      </c>
      <c r="F161" s="3" t="s">
        <v>31</v>
      </c>
      <c r="G161" s="3" t="s">
        <v>1153</v>
      </c>
      <c r="H161" s="3" t="s">
        <v>848</v>
      </c>
      <c r="I161" s="3" t="s">
        <v>137</v>
      </c>
      <c r="J161" s="3" t="s">
        <v>919</v>
      </c>
      <c r="K161" s="3" t="s">
        <v>21</v>
      </c>
      <c r="L161" s="7" t="s">
        <v>801</v>
      </c>
      <c r="M161" s="7" t="s">
        <v>801</v>
      </c>
      <c r="N161" s="7" t="s">
        <v>801</v>
      </c>
    </row>
    <row r="162" spans="1:14" x14ac:dyDescent="0.25">
      <c r="A162" s="2">
        <v>155</v>
      </c>
      <c r="B162" s="2" t="s">
        <v>1154</v>
      </c>
      <c r="C162" s="3" t="s">
        <v>47</v>
      </c>
      <c r="D162" s="3" t="s">
        <v>37</v>
      </c>
      <c r="E162" s="3" t="s">
        <v>77</v>
      </c>
      <c r="F162" s="3" t="s">
        <v>23</v>
      </c>
      <c r="G162" s="3" t="s">
        <v>1155</v>
      </c>
      <c r="H162" s="3" t="s">
        <v>909</v>
      </c>
      <c r="I162" s="3" t="s">
        <v>133</v>
      </c>
      <c r="J162" s="3" t="s">
        <v>856</v>
      </c>
      <c r="K162" s="3" t="s">
        <v>67</v>
      </c>
      <c r="L162" s="7" t="s">
        <v>801</v>
      </c>
      <c r="M162" s="6" t="s">
        <v>796</v>
      </c>
      <c r="N162" s="6" t="s">
        <v>796</v>
      </c>
    </row>
    <row r="163" spans="1:14" x14ac:dyDescent="0.25">
      <c r="A163" s="2">
        <v>156</v>
      </c>
      <c r="B163" s="2" t="s">
        <v>1156</v>
      </c>
      <c r="C163" s="3" t="s">
        <v>26</v>
      </c>
      <c r="D163" s="3" t="s">
        <v>106</v>
      </c>
      <c r="E163" s="3" t="s">
        <v>63</v>
      </c>
      <c r="F163" s="3" t="s">
        <v>65</v>
      </c>
      <c r="G163" s="3" t="s">
        <v>1157</v>
      </c>
      <c r="H163" s="3" t="s">
        <v>845</v>
      </c>
      <c r="I163" s="3" t="s">
        <v>133</v>
      </c>
      <c r="J163" s="3" t="s">
        <v>876</v>
      </c>
      <c r="K163" s="3" t="s">
        <v>24</v>
      </c>
      <c r="L163" s="7" t="s">
        <v>801</v>
      </c>
      <c r="M163" s="6" t="s">
        <v>796</v>
      </c>
      <c r="N163" s="7" t="s">
        <v>801</v>
      </c>
    </row>
    <row r="164" spans="1:14" x14ac:dyDescent="0.25">
      <c r="A164" s="2">
        <v>157</v>
      </c>
      <c r="B164" s="2" t="s">
        <v>1158</v>
      </c>
      <c r="C164" s="3" t="s">
        <v>68</v>
      </c>
      <c r="D164" s="3" t="s">
        <v>29</v>
      </c>
      <c r="E164" s="3" t="s">
        <v>21</v>
      </c>
      <c r="F164" s="3" t="s">
        <v>23</v>
      </c>
      <c r="G164" s="3" t="s">
        <v>1101</v>
      </c>
      <c r="H164" s="3" t="s">
        <v>828</v>
      </c>
      <c r="I164" s="3" t="s">
        <v>146</v>
      </c>
      <c r="J164" s="3" t="s">
        <v>887</v>
      </c>
      <c r="K164" s="3" t="s">
        <v>99</v>
      </c>
      <c r="L164" s="7" t="s">
        <v>801</v>
      </c>
      <c r="M164" s="6" t="s">
        <v>796</v>
      </c>
      <c r="N164" s="6" t="s">
        <v>796</v>
      </c>
    </row>
    <row r="165" spans="1:14" x14ac:dyDescent="0.25">
      <c r="A165" s="2">
        <v>158</v>
      </c>
      <c r="B165" s="2" t="s">
        <v>1159</v>
      </c>
      <c r="C165" s="3" t="s">
        <v>36</v>
      </c>
      <c r="D165" s="3" t="s">
        <v>72</v>
      </c>
      <c r="E165" s="3" t="s">
        <v>75</v>
      </c>
      <c r="F165" s="3" t="s">
        <v>70</v>
      </c>
      <c r="G165" s="3" t="s">
        <v>1160</v>
      </c>
      <c r="H165" s="3" t="s">
        <v>812</v>
      </c>
      <c r="I165" s="3" t="s">
        <v>142</v>
      </c>
      <c r="J165" s="3" t="s">
        <v>795</v>
      </c>
      <c r="K165" s="3" t="s">
        <v>105</v>
      </c>
      <c r="L165" s="7" t="s">
        <v>801</v>
      </c>
      <c r="M165" s="6" t="s">
        <v>796</v>
      </c>
      <c r="N165" s="7" t="s">
        <v>801</v>
      </c>
    </row>
    <row r="166" spans="1:14" x14ac:dyDescent="0.25">
      <c r="A166" s="2">
        <v>159</v>
      </c>
      <c r="B166" s="2" t="s">
        <v>1161</v>
      </c>
      <c r="C166" s="3" t="s">
        <v>92</v>
      </c>
      <c r="D166" s="3" t="s">
        <v>105</v>
      </c>
      <c r="E166" s="3" t="s">
        <v>42</v>
      </c>
      <c r="F166" s="3" t="s">
        <v>63</v>
      </c>
      <c r="G166" s="3" t="s">
        <v>1162</v>
      </c>
      <c r="H166" s="3" t="s">
        <v>969</v>
      </c>
      <c r="I166" s="3" t="s">
        <v>143</v>
      </c>
      <c r="J166" s="3" t="s">
        <v>795</v>
      </c>
      <c r="K166" s="3" t="s">
        <v>30</v>
      </c>
      <c r="L166" s="7" t="s">
        <v>801</v>
      </c>
      <c r="M166" s="6" t="s">
        <v>796</v>
      </c>
      <c r="N166" s="6" t="s">
        <v>796</v>
      </c>
    </row>
    <row r="167" spans="1:14" x14ac:dyDescent="0.25">
      <c r="A167" s="2">
        <v>160</v>
      </c>
      <c r="B167" s="2" t="s">
        <v>1163</v>
      </c>
      <c r="C167" s="3" t="s">
        <v>17</v>
      </c>
      <c r="D167" s="3" t="s">
        <v>60</v>
      </c>
      <c r="E167" s="3" t="s">
        <v>109</v>
      </c>
      <c r="F167" s="3" t="s">
        <v>88</v>
      </c>
      <c r="G167" s="3" t="s">
        <v>1164</v>
      </c>
      <c r="H167" s="3" t="s">
        <v>926</v>
      </c>
      <c r="I167" s="3" t="s">
        <v>146</v>
      </c>
      <c r="J167" s="3" t="s">
        <v>1083</v>
      </c>
      <c r="K167" s="3" t="s">
        <v>16</v>
      </c>
      <c r="L167" s="7" t="s">
        <v>801</v>
      </c>
      <c r="M167" s="6" t="s">
        <v>796</v>
      </c>
      <c r="N167" s="6" t="s">
        <v>796</v>
      </c>
    </row>
    <row r="168" spans="1:14" x14ac:dyDescent="0.25">
      <c r="A168" s="2">
        <v>161</v>
      </c>
      <c r="B168" s="2" t="s">
        <v>1165</v>
      </c>
      <c r="C168" s="3" t="s">
        <v>64</v>
      </c>
      <c r="D168" s="3" t="s">
        <v>115</v>
      </c>
      <c r="E168" s="3" t="s">
        <v>85</v>
      </c>
      <c r="F168" s="3" t="s">
        <v>54</v>
      </c>
      <c r="G168" s="3" t="s">
        <v>1166</v>
      </c>
      <c r="H168" s="3" t="s">
        <v>838</v>
      </c>
      <c r="I168" s="3" t="s">
        <v>146</v>
      </c>
      <c r="J168" s="3" t="s">
        <v>919</v>
      </c>
      <c r="K168" s="3" t="s">
        <v>96</v>
      </c>
      <c r="L168" s="7" t="s">
        <v>801</v>
      </c>
      <c r="M168" s="6" t="s">
        <v>796</v>
      </c>
      <c r="N168" s="7" t="s">
        <v>801</v>
      </c>
    </row>
    <row r="169" spans="1:14" x14ac:dyDescent="0.25">
      <c r="A169" s="2">
        <v>162</v>
      </c>
      <c r="B169" s="2" t="s">
        <v>1167</v>
      </c>
      <c r="C169" s="3" t="s">
        <v>78</v>
      </c>
      <c r="D169" s="3" t="s">
        <v>102</v>
      </c>
      <c r="E169" s="3" t="s">
        <v>43</v>
      </c>
      <c r="F169" s="3" t="s">
        <v>16</v>
      </c>
      <c r="G169" s="3" t="s">
        <v>1168</v>
      </c>
      <c r="H169" s="3" t="s">
        <v>886</v>
      </c>
      <c r="I169" s="3" t="s">
        <v>142</v>
      </c>
      <c r="J169" s="3" t="s">
        <v>876</v>
      </c>
      <c r="K169" s="3" t="s">
        <v>100</v>
      </c>
      <c r="L169" s="7" t="s">
        <v>801</v>
      </c>
      <c r="M169" s="6" t="s">
        <v>796</v>
      </c>
      <c r="N169" s="6" t="s">
        <v>796</v>
      </c>
    </row>
    <row r="170" spans="1:14" x14ac:dyDescent="0.25">
      <c r="A170" s="2">
        <v>163</v>
      </c>
      <c r="B170" s="2" t="s">
        <v>1169</v>
      </c>
      <c r="C170" s="3" t="s">
        <v>27</v>
      </c>
      <c r="D170" s="3" t="s">
        <v>75</v>
      </c>
      <c r="E170" s="3" t="s">
        <v>71</v>
      </c>
      <c r="F170" s="3" t="s">
        <v>86</v>
      </c>
      <c r="G170" s="3" t="s">
        <v>1170</v>
      </c>
      <c r="H170" s="3" t="s">
        <v>828</v>
      </c>
      <c r="I170" s="3" t="s">
        <v>141</v>
      </c>
      <c r="J170" s="3" t="s">
        <v>816</v>
      </c>
      <c r="K170" s="3" t="s">
        <v>19</v>
      </c>
      <c r="L170" s="7" t="s">
        <v>801</v>
      </c>
      <c r="M170" s="6" t="s">
        <v>796</v>
      </c>
      <c r="N170" s="6" t="s">
        <v>796</v>
      </c>
    </row>
    <row r="171" spans="1:14" x14ac:dyDescent="0.25">
      <c r="A171" s="2">
        <v>164</v>
      </c>
      <c r="B171" s="2" t="s">
        <v>1171</v>
      </c>
      <c r="C171" s="3" t="s">
        <v>37</v>
      </c>
      <c r="D171" s="3" t="s">
        <v>32</v>
      </c>
      <c r="E171" s="3" t="s">
        <v>77</v>
      </c>
      <c r="F171" s="3" t="s">
        <v>113</v>
      </c>
      <c r="G171" s="3" t="s">
        <v>1172</v>
      </c>
      <c r="H171" s="3" t="s">
        <v>969</v>
      </c>
      <c r="I171" s="3" t="s">
        <v>151</v>
      </c>
      <c r="J171" s="3" t="s">
        <v>876</v>
      </c>
      <c r="K171" s="3" t="s">
        <v>48</v>
      </c>
      <c r="L171" s="7" t="s">
        <v>801</v>
      </c>
      <c r="M171" s="6" t="s">
        <v>796</v>
      </c>
      <c r="N171" s="6" t="s">
        <v>796</v>
      </c>
    </row>
    <row r="172" spans="1:14" x14ac:dyDescent="0.25">
      <c r="A172" s="2">
        <v>165</v>
      </c>
      <c r="B172" s="2" t="s">
        <v>1173</v>
      </c>
      <c r="C172" s="3" t="s">
        <v>49</v>
      </c>
      <c r="D172" s="3" t="s">
        <v>24</v>
      </c>
      <c r="E172" s="3" t="s">
        <v>21</v>
      </c>
      <c r="F172" s="3" t="s">
        <v>84</v>
      </c>
      <c r="G172" s="3" t="s">
        <v>899</v>
      </c>
      <c r="H172" s="3" t="s">
        <v>859</v>
      </c>
      <c r="I172" s="3" t="s">
        <v>141</v>
      </c>
      <c r="J172" s="3" t="s">
        <v>930</v>
      </c>
      <c r="K172" s="3" t="s">
        <v>71</v>
      </c>
      <c r="L172" s="7" t="s">
        <v>801</v>
      </c>
      <c r="M172" s="6" t="s">
        <v>796</v>
      </c>
      <c r="N172" s="7" t="s">
        <v>801</v>
      </c>
    </row>
    <row r="173" spans="1:14" x14ac:dyDescent="0.25">
      <c r="A173" s="2">
        <v>166</v>
      </c>
      <c r="B173" s="2" t="s">
        <v>1174</v>
      </c>
      <c r="C173" s="3" t="s">
        <v>66</v>
      </c>
      <c r="D173" s="3" t="s">
        <v>80</v>
      </c>
      <c r="E173" s="3" t="s">
        <v>60</v>
      </c>
      <c r="F173" s="3" t="s">
        <v>51</v>
      </c>
      <c r="G173" s="3" t="s">
        <v>1175</v>
      </c>
      <c r="H173" s="3" t="s">
        <v>841</v>
      </c>
      <c r="I173" s="3" t="s">
        <v>133</v>
      </c>
      <c r="J173" s="3" t="s">
        <v>873</v>
      </c>
      <c r="K173" s="3" t="s">
        <v>76</v>
      </c>
      <c r="L173" s="7" t="s">
        <v>801</v>
      </c>
      <c r="M173" s="6" t="s">
        <v>796</v>
      </c>
      <c r="N173" s="6" t="s">
        <v>796</v>
      </c>
    </row>
    <row r="174" spans="1:14" x14ac:dyDescent="0.25">
      <c r="A174" s="2">
        <v>167</v>
      </c>
      <c r="B174" s="2" t="s">
        <v>1176</v>
      </c>
      <c r="C174" s="3" t="s">
        <v>112</v>
      </c>
      <c r="D174" s="3" t="s">
        <v>92</v>
      </c>
      <c r="E174" s="3" t="s">
        <v>101</v>
      </c>
      <c r="F174" s="3" t="s">
        <v>84</v>
      </c>
      <c r="G174" s="3" t="s">
        <v>1177</v>
      </c>
      <c r="H174" s="3" t="s">
        <v>886</v>
      </c>
      <c r="I174" s="3" t="s">
        <v>135</v>
      </c>
      <c r="J174" s="3" t="s">
        <v>833</v>
      </c>
      <c r="K174" s="3" t="s">
        <v>99</v>
      </c>
      <c r="L174" s="7" t="s">
        <v>801</v>
      </c>
      <c r="M174" s="6" t="s">
        <v>796</v>
      </c>
      <c r="N174" s="6" t="s">
        <v>796</v>
      </c>
    </row>
    <row r="175" spans="1:14" x14ac:dyDescent="0.25">
      <c r="A175" s="2">
        <v>168</v>
      </c>
      <c r="B175" s="2" t="s">
        <v>1178</v>
      </c>
      <c r="C175" s="3" t="s">
        <v>110</v>
      </c>
      <c r="D175" s="3" t="s">
        <v>49</v>
      </c>
      <c r="E175" s="3" t="s">
        <v>23</v>
      </c>
      <c r="F175" s="3" t="s">
        <v>29</v>
      </c>
      <c r="G175" s="3" t="s">
        <v>973</v>
      </c>
      <c r="H175" s="3" t="s">
        <v>926</v>
      </c>
      <c r="I175" s="3" t="s">
        <v>146</v>
      </c>
      <c r="J175" s="3" t="s">
        <v>974</v>
      </c>
      <c r="K175" s="3" t="s">
        <v>52</v>
      </c>
      <c r="L175" s="7" t="s">
        <v>801</v>
      </c>
      <c r="M175" s="6" t="s">
        <v>796</v>
      </c>
      <c r="N175" s="7" t="s">
        <v>801</v>
      </c>
    </row>
    <row r="176" spans="1:14" x14ac:dyDescent="0.25">
      <c r="A176" s="2">
        <v>169</v>
      </c>
      <c r="B176" s="2" t="s">
        <v>1179</v>
      </c>
      <c r="C176" s="3" t="s">
        <v>108</v>
      </c>
      <c r="D176" s="3" t="s">
        <v>70</v>
      </c>
      <c r="E176" s="3" t="s">
        <v>39</v>
      </c>
      <c r="F176" s="3" t="s">
        <v>63</v>
      </c>
      <c r="G176" s="3" t="s">
        <v>1180</v>
      </c>
      <c r="H176" s="3" t="s">
        <v>822</v>
      </c>
      <c r="I176" s="3" t="s">
        <v>142</v>
      </c>
      <c r="J176" s="3" t="s">
        <v>795</v>
      </c>
      <c r="K176" s="3" t="s">
        <v>53</v>
      </c>
      <c r="L176" s="7" t="s">
        <v>801</v>
      </c>
      <c r="M176" s="6" t="s">
        <v>796</v>
      </c>
      <c r="N176" s="7" t="s">
        <v>801</v>
      </c>
    </row>
    <row r="177" spans="1:14" x14ac:dyDescent="0.25">
      <c r="A177" s="2">
        <v>170</v>
      </c>
      <c r="B177" s="2" t="s">
        <v>1181</v>
      </c>
      <c r="C177" s="3" t="s">
        <v>54</v>
      </c>
      <c r="D177" s="3" t="s">
        <v>99</v>
      </c>
      <c r="E177" s="3" t="s">
        <v>109</v>
      </c>
      <c r="F177" s="3" t="s">
        <v>78</v>
      </c>
      <c r="G177" s="3" t="s">
        <v>1182</v>
      </c>
      <c r="H177" s="3" t="s">
        <v>969</v>
      </c>
      <c r="I177" s="3" t="s">
        <v>137</v>
      </c>
      <c r="J177" s="3" t="s">
        <v>856</v>
      </c>
      <c r="K177" s="3" t="s">
        <v>67</v>
      </c>
      <c r="L177" s="6" t="s">
        <v>796</v>
      </c>
      <c r="M177" s="6" t="s">
        <v>796</v>
      </c>
      <c r="N177" s="6" t="s">
        <v>796</v>
      </c>
    </row>
    <row r="178" spans="1:14" x14ac:dyDescent="0.25">
      <c r="A178" s="2">
        <v>171</v>
      </c>
      <c r="B178" s="2" t="s">
        <v>1183</v>
      </c>
      <c r="C178" s="3" t="s">
        <v>114</v>
      </c>
      <c r="D178" s="3" t="s">
        <v>70</v>
      </c>
      <c r="E178" s="3" t="s">
        <v>82</v>
      </c>
      <c r="F178" s="3" t="s">
        <v>37</v>
      </c>
      <c r="G178" s="3" t="s">
        <v>1025</v>
      </c>
      <c r="H178" s="3" t="s">
        <v>909</v>
      </c>
      <c r="I178" s="3" t="s">
        <v>133</v>
      </c>
      <c r="J178" s="3" t="s">
        <v>819</v>
      </c>
      <c r="K178" s="3" t="s">
        <v>32</v>
      </c>
      <c r="L178" s="7" t="s">
        <v>801</v>
      </c>
      <c r="M178" s="6" t="s">
        <v>796</v>
      </c>
      <c r="N178" s="7" t="s">
        <v>801</v>
      </c>
    </row>
    <row r="179" spans="1:14" x14ac:dyDescent="0.25">
      <c r="A179" s="2">
        <v>172</v>
      </c>
      <c r="B179" s="2" t="s">
        <v>1184</v>
      </c>
      <c r="C179" s="3" t="s">
        <v>54</v>
      </c>
      <c r="D179" s="3" t="s">
        <v>19</v>
      </c>
      <c r="E179" s="3" t="s">
        <v>52</v>
      </c>
      <c r="F179" s="3" t="s">
        <v>66</v>
      </c>
      <c r="G179" s="3" t="s">
        <v>899</v>
      </c>
      <c r="H179" s="3" t="s">
        <v>859</v>
      </c>
      <c r="I179" s="3" t="s">
        <v>138</v>
      </c>
      <c r="J179" s="3" t="s">
        <v>930</v>
      </c>
      <c r="K179" s="3" t="s">
        <v>20</v>
      </c>
      <c r="L179" s="7" t="s">
        <v>801</v>
      </c>
      <c r="M179" s="6" t="s">
        <v>796</v>
      </c>
      <c r="N179" s="7" t="s">
        <v>801</v>
      </c>
    </row>
    <row r="180" spans="1:14" x14ac:dyDescent="0.25">
      <c r="A180" s="2">
        <v>173</v>
      </c>
      <c r="B180" s="2" t="s">
        <v>1185</v>
      </c>
      <c r="C180" s="3" t="s">
        <v>48</v>
      </c>
      <c r="D180" s="3" t="s">
        <v>91</v>
      </c>
      <c r="E180" s="3" t="s">
        <v>50</v>
      </c>
      <c r="F180" s="3" t="s">
        <v>23</v>
      </c>
      <c r="G180" s="3" t="s">
        <v>1186</v>
      </c>
      <c r="H180" s="3" t="s">
        <v>1019</v>
      </c>
      <c r="I180" s="3" t="s">
        <v>133</v>
      </c>
      <c r="J180" s="3" t="s">
        <v>988</v>
      </c>
      <c r="K180" s="3" t="s">
        <v>69</v>
      </c>
      <c r="L180" s="7" t="s">
        <v>801</v>
      </c>
      <c r="M180" s="6" t="s">
        <v>796</v>
      </c>
      <c r="N180" s="6" t="s">
        <v>796</v>
      </c>
    </row>
    <row r="181" spans="1:14" x14ac:dyDescent="0.25">
      <c r="A181" s="2">
        <v>174</v>
      </c>
      <c r="B181" s="2" t="s">
        <v>1187</v>
      </c>
      <c r="C181" s="3" t="s">
        <v>111</v>
      </c>
      <c r="D181" s="3" t="s">
        <v>64</v>
      </c>
      <c r="E181" s="3" t="s">
        <v>107</v>
      </c>
      <c r="F181" s="3" t="s">
        <v>84</v>
      </c>
      <c r="G181" s="3" t="s">
        <v>1188</v>
      </c>
      <c r="H181" s="3" t="s">
        <v>828</v>
      </c>
      <c r="I181" s="3" t="s">
        <v>135</v>
      </c>
      <c r="J181" s="3" t="s">
        <v>805</v>
      </c>
      <c r="K181" s="3" t="s">
        <v>68</v>
      </c>
      <c r="L181" s="7" t="s">
        <v>801</v>
      </c>
      <c r="M181" s="7" t="s">
        <v>801</v>
      </c>
      <c r="N181" s="7" t="s">
        <v>801</v>
      </c>
    </row>
    <row r="182" spans="1:14" x14ac:dyDescent="0.25">
      <c r="A182" s="2">
        <v>175</v>
      </c>
      <c r="B182" s="2" t="s">
        <v>1189</v>
      </c>
      <c r="C182" s="3" t="s">
        <v>101</v>
      </c>
      <c r="D182" s="3" t="s">
        <v>57</v>
      </c>
      <c r="E182" s="3" t="s">
        <v>71</v>
      </c>
      <c r="F182" s="3" t="s">
        <v>52</v>
      </c>
      <c r="G182" s="3" t="s">
        <v>1190</v>
      </c>
      <c r="H182" s="3" t="s">
        <v>886</v>
      </c>
      <c r="I182" s="3" t="s">
        <v>143</v>
      </c>
      <c r="J182" s="3" t="s">
        <v>953</v>
      </c>
      <c r="K182" s="3" t="s">
        <v>58</v>
      </c>
      <c r="L182" s="7" t="s">
        <v>801</v>
      </c>
      <c r="M182" s="6" t="s">
        <v>796</v>
      </c>
      <c r="N182" s="6" t="s">
        <v>796</v>
      </c>
    </row>
    <row r="183" spans="1:14" x14ac:dyDescent="0.25">
      <c r="A183" s="2">
        <v>176</v>
      </c>
      <c r="B183" s="2" t="s">
        <v>1191</v>
      </c>
      <c r="C183" s="3" t="s">
        <v>110</v>
      </c>
      <c r="D183" s="3" t="s">
        <v>24</v>
      </c>
      <c r="E183" s="3" t="s">
        <v>109</v>
      </c>
      <c r="F183" s="3" t="s">
        <v>86</v>
      </c>
      <c r="G183" s="3" t="s">
        <v>1192</v>
      </c>
      <c r="H183" s="3" t="s">
        <v>852</v>
      </c>
      <c r="I183" s="3" t="s">
        <v>151</v>
      </c>
      <c r="J183" s="3" t="s">
        <v>988</v>
      </c>
      <c r="K183" s="3" t="s">
        <v>84</v>
      </c>
      <c r="L183" s="7" t="s">
        <v>801</v>
      </c>
      <c r="M183" s="7" t="s">
        <v>801</v>
      </c>
      <c r="N183" s="6" t="s">
        <v>796</v>
      </c>
    </row>
    <row r="184" spans="1:14" x14ac:dyDescent="0.25">
      <c r="A184" s="2">
        <v>177</v>
      </c>
      <c r="B184" s="2" t="s">
        <v>1193</v>
      </c>
      <c r="C184" s="3" t="s">
        <v>49</v>
      </c>
      <c r="D184" s="3" t="s">
        <v>106</v>
      </c>
      <c r="E184" s="3" t="s">
        <v>113</v>
      </c>
      <c r="F184" s="3" t="s">
        <v>28</v>
      </c>
      <c r="G184" s="3" t="s">
        <v>1194</v>
      </c>
      <c r="H184" s="3" t="s">
        <v>845</v>
      </c>
      <c r="I184" s="3" t="s">
        <v>137</v>
      </c>
      <c r="J184" s="3" t="s">
        <v>795</v>
      </c>
      <c r="K184" s="3" t="s">
        <v>70</v>
      </c>
      <c r="L184" s="6" t="s">
        <v>796</v>
      </c>
      <c r="M184" s="6" t="s">
        <v>796</v>
      </c>
      <c r="N184" s="6" t="s">
        <v>796</v>
      </c>
    </row>
    <row r="185" spans="1:14" x14ac:dyDescent="0.25">
      <c r="A185" s="2">
        <v>178</v>
      </c>
      <c r="B185" s="2" t="s">
        <v>1195</v>
      </c>
      <c r="C185" s="3" t="s">
        <v>107</v>
      </c>
      <c r="D185" s="3" t="s">
        <v>23</v>
      </c>
      <c r="E185" s="3" t="s">
        <v>51</v>
      </c>
      <c r="F185" s="3" t="s">
        <v>96</v>
      </c>
      <c r="G185" s="3" t="s">
        <v>1196</v>
      </c>
      <c r="H185" s="3" t="s">
        <v>794</v>
      </c>
      <c r="I185" s="3" t="s">
        <v>151</v>
      </c>
      <c r="J185" s="3" t="s">
        <v>940</v>
      </c>
      <c r="K185" s="3" t="s">
        <v>55</v>
      </c>
      <c r="L185" s="7" t="s">
        <v>801</v>
      </c>
      <c r="M185" s="6" t="s">
        <v>796</v>
      </c>
      <c r="N185" s="7" t="s">
        <v>801</v>
      </c>
    </row>
    <row r="186" spans="1:14" x14ac:dyDescent="0.25">
      <c r="A186" s="2">
        <v>179</v>
      </c>
      <c r="B186" s="2" t="s">
        <v>1197</v>
      </c>
      <c r="C186" s="3" t="s">
        <v>75</v>
      </c>
      <c r="D186" s="3" t="s">
        <v>94</v>
      </c>
      <c r="E186" s="3" t="s">
        <v>49</v>
      </c>
      <c r="F186" s="3" t="s">
        <v>86</v>
      </c>
      <c r="G186" s="3" t="s">
        <v>1198</v>
      </c>
      <c r="H186" s="3" t="s">
        <v>848</v>
      </c>
      <c r="I186" s="3" t="s">
        <v>137</v>
      </c>
      <c r="J186" s="3" t="s">
        <v>963</v>
      </c>
      <c r="K186" s="3" t="s">
        <v>81</v>
      </c>
      <c r="L186" s="7" t="s">
        <v>801</v>
      </c>
      <c r="M186" s="6" t="s">
        <v>796</v>
      </c>
      <c r="N186" s="7" t="s">
        <v>801</v>
      </c>
    </row>
    <row r="187" spans="1:14" x14ac:dyDescent="0.25">
      <c r="A187" s="2">
        <v>180</v>
      </c>
      <c r="B187" s="2" t="s">
        <v>1199</v>
      </c>
      <c r="C187" s="3" t="s">
        <v>106</v>
      </c>
      <c r="D187" s="3" t="s">
        <v>84</v>
      </c>
      <c r="E187" s="3" t="s">
        <v>108</v>
      </c>
      <c r="F187" s="3" t="s">
        <v>29</v>
      </c>
      <c r="G187" s="3" t="s">
        <v>1200</v>
      </c>
      <c r="H187" s="3" t="s">
        <v>799</v>
      </c>
      <c r="I187" s="3" t="s">
        <v>146</v>
      </c>
      <c r="J187" s="3" t="s">
        <v>1122</v>
      </c>
      <c r="K187" s="3" t="s">
        <v>103</v>
      </c>
      <c r="L187" s="7" t="s">
        <v>801</v>
      </c>
      <c r="M187" s="6" t="s">
        <v>796</v>
      </c>
      <c r="N187" s="6" t="s">
        <v>796</v>
      </c>
    </row>
    <row r="188" spans="1:14" x14ac:dyDescent="0.25">
      <c r="A188" s="2">
        <v>181</v>
      </c>
      <c r="B188" s="2" t="s">
        <v>1201</v>
      </c>
      <c r="C188" s="3" t="s">
        <v>89</v>
      </c>
      <c r="D188" s="3" t="s">
        <v>70</v>
      </c>
      <c r="E188" s="3" t="s">
        <v>103</v>
      </c>
      <c r="F188" s="3" t="s">
        <v>107</v>
      </c>
      <c r="G188" s="3" t="s">
        <v>1202</v>
      </c>
      <c r="H188" s="3" t="s">
        <v>933</v>
      </c>
      <c r="I188" s="3" t="s">
        <v>170</v>
      </c>
      <c r="J188" s="3" t="s">
        <v>980</v>
      </c>
      <c r="K188" s="3" t="s">
        <v>87</v>
      </c>
      <c r="L188" s="7" t="s">
        <v>801</v>
      </c>
      <c r="M188" s="7" t="s">
        <v>801</v>
      </c>
      <c r="N188" s="6" t="s">
        <v>796</v>
      </c>
    </row>
    <row r="189" spans="1:14" x14ac:dyDescent="0.25">
      <c r="A189" s="2">
        <v>182</v>
      </c>
      <c r="B189" s="2" t="s">
        <v>1203</v>
      </c>
      <c r="C189" s="3" t="s">
        <v>115</v>
      </c>
      <c r="D189" s="3" t="s">
        <v>51</v>
      </c>
      <c r="E189" s="3" t="s">
        <v>19</v>
      </c>
      <c r="F189" s="3" t="s">
        <v>102</v>
      </c>
      <c r="G189" s="3" t="s">
        <v>1204</v>
      </c>
      <c r="H189" s="3" t="s">
        <v>1054</v>
      </c>
      <c r="I189" s="3" t="s">
        <v>137</v>
      </c>
      <c r="J189" s="3" t="s">
        <v>800</v>
      </c>
      <c r="K189" s="3" t="s">
        <v>113</v>
      </c>
      <c r="L189" s="7" t="s">
        <v>801</v>
      </c>
      <c r="M189" s="6" t="s">
        <v>796</v>
      </c>
      <c r="N189" s="6" t="s">
        <v>796</v>
      </c>
    </row>
    <row r="190" spans="1:14" x14ac:dyDescent="0.25">
      <c r="A190" s="2">
        <v>183</v>
      </c>
      <c r="B190" s="2" t="s">
        <v>1205</v>
      </c>
      <c r="C190" s="3" t="s">
        <v>46</v>
      </c>
      <c r="D190" s="3" t="s">
        <v>71</v>
      </c>
      <c r="E190" s="3" t="s">
        <v>105</v>
      </c>
      <c r="F190" s="3" t="s">
        <v>36</v>
      </c>
      <c r="G190" s="3" t="s">
        <v>1206</v>
      </c>
      <c r="H190" s="3" t="s">
        <v>794</v>
      </c>
      <c r="I190" s="3" t="s">
        <v>138</v>
      </c>
      <c r="J190" s="3" t="s">
        <v>805</v>
      </c>
      <c r="K190" s="3" t="s">
        <v>95</v>
      </c>
      <c r="L190" s="7" t="s">
        <v>801</v>
      </c>
      <c r="M190" s="6" t="s">
        <v>796</v>
      </c>
      <c r="N190" s="6" t="s">
        <v>796</v>
      </c>
    </row>
    <row r="191" spans="1:14" x14ac:dyDescent="0.25">
      <c r="A191" s="2">
        <v>184</v>
      </c>
      <c r="B191" s="2" t="s">
        <v>1207</v>
      </c>
      <c r="C191" s="3" t="s">
        <v>96</v>
      </c>
      <c r="D191" s="3" t="s">
        <v>78</v>
      </c>
      <c r="E191" s="3" t="s">
        <v>70</v>
      </c>
      <c r="F191" s="3" t="s">
        <v>97</v>
      </c>
      <c r="G191" s="3" t="s">
        <v>1208</v>
      </c>
      <c r="H191" s="3" t="s">
        <v>1054</v>
      </c>
      <c r="I191" s="3" t="s">
        <v>151</v>
      </c>
      <c r="J191" s="3" t="s">
        <v>980</v>
      </c>
      <c r="K191" s="3" t="s">
        <v>105</v>
      </c>
      <c r="L191" s="7" t="s">
        <v>801</v>
      </c>
      <c r="M191" s="6" t="s">
        <v>796</v>
      </c>
      <c r="N191" s="6" t="s">
        <v>796</v>
      </c>
    </row>
    <row r="192" spans="1:14" x14ac:dyDescent="0.25">
      <c r="A192" s="2">
        <v>185</v>
      </c>
      <c r="B192" s="2" t="s">
        <v>1209</v>
      </c>
      <c r="C192" s="3" t="s">
        <v>36</v>
      </c>
      <c r="D192" s="3" t="s">
        <v>17</v>
      </c>
      <c r="E192" s="3" t="s">
        <v>97</v>
      </c>
      <c r="F192" s="3" t="s">
        <v>35</v>
      </c>
      <c r="G192" s="3" t="s">
        <v>1210</v>
      </c>
      <c r="H192" s="3" t="s">
        <v>848</v>
      </c>
      <c r="I192" s="3" t="s">
        <v>141</v>
      </c>
      <c r="J192" s="3" t="s">
        <v>849</v>
      </c>
      <c r="K192" s="3" t="s">
        <v>101</v>
      </c>
      <c r="L192" s="7" t="s">
        <v>801</v>
      </c>
      <c r="M192" s="6" t="s">
        <v>796</v>
      </c>
      <c r="N192" s="6" t="s">
        <v>796</v>
      </c>
    </row>
    <row r="193" spans="1:14" x14ac:dyDescent="0.25">
      <c r="A193" s="2">
        <v>186</v>
      </c>
      <c r="B193" s="2" t="s">
        <v>1211</v>
      </c>
      <c r="C193" s="3" t="s">
        <v>29</v>
      </c>
      <c r="D193" s="3" t="s">
        <v>21</v>
      </c>
      <c r="E193" s="3" t="s">
        <v>80</v>
      </c>
      <c r="F193" s="3" t="s">
        <v>62</v>
      </c>
      <c r="G193" s="3" t="s">
        <v>1212</v>
      </c>
      <c r="H193" s="3" t="s">
        <v>933</v>
      </c>
      <c r="I193" s="3" t="s">
        <v>135</v>
      </c>
      <c r="J193" s="3" t="s">
        <v>842</v>
      </c>
      <c r="K193" s="3" t="s">
        <v>83</v>
      </c>
      <c r="L193" s="7" t="s">
        <v>801</v>
      </c>
      <c r="M193" s="6" t="s">
        <v>796</v>
      </c>
      <c r="N193" s="6" t="s">
        <v>796</v>
      </c>
    </row>
    <row r="194" spans="1:14" x14ac:dyDescent="0.25">
      <c r="A194" s="2">
        <v>187</v>
      </c>
      <c r="B194" s="2" t="s">
        <v>1213</v>
      </c>
      <c r="C194" s="3" t="s">
        <v>112</v>
      </c>
      <c r="D194" s="3" t="s">
        <v>36</v>
      </c>
      <c r="E194" s="3" t="s">
        <v>47</v>
      </c>
      <c r="F194" s="3" t="s">
        <v>89</v>
      </c>
      <c r="G194" s="3" t="s">
        <v>1214</v>
      </c>
      <c r="H194" s="3" t="s">
        <v>828</v>
      </c>
      <c r="I194" s="3" t="s">
        <v>146</v>
      </c>
      <c r="J194" s="3" t="s">
        <v>819</v>
      </c>
      <c r="K194" s="3" t="s">
        <v>17</v>
      </c>
      <c r="L194" s="7" t="s">
        <v>801</v>
      </c>
      <c r="M194" s="6" t="s">
        <v>796</v>
      </c>
      <c r="N194" s="6" t="s">
        <v>796</v>
      </c>
    </row>
    <row r="195" spans="1:14" x14ac:dyDescent="0.25">
      <c r="A195" s="2">
        <v>188</v>
      </c>
      <c r="B195" s="2" t="s">
        <v>1215</v>
      </c>
      <c r="C195" s="3" t="s">
        <v>22</v>
      </c>
      <c r="D195" s="3" t="s">
        <v>42</v>
      </c>
      <c r="E195" s="3" t="s">
        <v>89</v>
      </c>
      <c r="F195" s="3" t="s">
        <v>88</v>
      </c>
      <c r="G195" s="3" t="s">
        <v>1216</v>
      </c>
      <c r="H195" s="3" t="s">
        <v>859</v>
      </c>
      <c r="I195" s="3" t="s">
        <v>146</v>
      </c>
      <c r="J195" s="3" t="s">
        <v>849</v>
      </c>
      <c r="K195" s="3" t="s">
        <v>110</v>
      </c>
      <c r="L195" s="6" t="s">
        <v>796</v>
      </c>
      <c r="M195" s="6" t="s">
        <v>796</v>
      </c>
      <c r="N195" s="6" t="s">
        <v>796</v>
      </c>
    </row>
    <row r="196" spans="1:14" x14ac:dyDescent="0.25">
      <c r="A196" s="2">
        <v>189</v>
      </c>
      <c r="B196" s="2" t="s">
        <v>1217</v>
      </c>
      <c r="C196" s="3" t="s">
        <v>75</v>
      </c>
      <c r="D196" s="3" t="s">
        <v>50</v>
      </c>
      <c r="E196" s="3" t="s">
        <v>21</v>
      </c>
      <c r="F196" s="3" t="s">
        <v>78</v>
      </c>
      <c r="G196" s="3" t="s">
        <v>996</v>
      </c>
      <c r="H196" s="3" t="s">
        <v>896</v>
      </c>
      <c r="I196" s="3" t="s">
        <v>135</v>
      </c>
      <c r="J196" s="3" t="s">
        <v>1083</v>
      </c>
      <c r="K196" s="3" t="s">
        <v>115</v>
      </c>
      <c r="L196" s="7" t="s">
        <v>801</v>
      </c>
      <c r="M196" s="6" t="s">
        <v>796</v>
      </c>
      <c r="N196" s="7" t="s">
        <v>801</v>
      </c>
    </row>
    <row r="197" spans="1:14" x14ac:dyDescent="0.25">
      <c r="A197" s="2">
        <v>190</v>
      </c>
      <c r="B197" s="2" t="s">
        <v>1218</v>
      </c>
      <c r="C197" s="3" t="s">
        <v>113</v>
      </c>
      <c r="D197" s="3" t="s">
        <v>92</v>
      </c>
      <c r="E197" s="3" t="s">
        <v>21</v>
      </c>
      <c r="F197" s="3" t="s">
        <v>91</v>
      </c>
      <c r="G197" s="3" t="s">
        <v>1219</v>
      </c>
      <c r="H197" s="3" t="s">
        <v>838</v>
      </c>
      <c r="I197" s="3" t="s">
        <v>143</v>
      </c>
      <c r="J197" s="3" t="s">
        <v>849</v>
      </c>
      <c r="K197" s="3" t="s">
        <v>63</v>
      </c>
      <c r="L197" s="7" t="s">
        <v>801</v>
      </c>
      <c r="M197" s="6" t="s">
        <v>796</v>
      </c>
      <c r="N197" s="7" t="s">
        <v>801</v>
      </c>
    </row>
    <row r="198" spans="1:14" x14ac:dyDescent="0.25">
      <c r="A198" s="2">
        <v>191</v>
      </c>
      <c r="B198" s="2" t="s">
        <v>1220</v>
      </c>
      <c r="C198" s="3" t="s">
        <v>84</v>
      </c>
      <c r="D198" s="3" t="s">
        <v>55</v>
      </c>
      <c r="E198" s="3" t="s">
        <v>21</v>
      </c>
      <c r="F198" s="3" t="s">
        <v>91</v>
      </c>
      <c r="G198" s="3" t="s">
        <v>1221</v>
      </c>
      <c r="H198" s="3" t="s">
        <v>828</v>
      </c>
      <c r="I198" s="3" t="s">
        <v>141</v>
      </c>
      <c r="J198" s="3" t="s">
        <v>930</v>
      </c>
      <c r="K198" s="3" t="s">
        <v>35</v>
      </c>
      <c r="L198" s="7" t="s">
        <v>801</v>
      </c>
      <c r="M198" s="6" t="s">
        <v>796</v>
      </c>
      <c r="N198" s="7" t="s">
        <v>801</v>
      </c>
    </row>
    <row r="199" spans="1:14" x14ac:dyDescent="0.25">
      <c r="A199" s="2">
        <v>192</v>
      </c>
      <c r="B199" s="2" t="s">
        <v>1222</v>
      </c>
      <c r="C199" s="3" t="s">
        <v>88</v>
      </c>
      <c r="D199" s="3" t="s">
        <v>69</v>
      </c>
      <c r="E199" s="3" t="s">
        <v>21</v>
      </c>
      <c r="F199" s="3" t="s">
        <v>108</v>
      </c>
      <c r="G199" s="3" t="s">
        <v>987</v>
      </c>
      <c r="H199" s="3" t="s">
        <v>859</v>
      </c>
      <c r="I199" s="3" t="s">
        <v>151</v>
      </c>
      <c r="J199" s="3" t="s">
        <v>1223</v>
      </c>
      <c r="K199" s="3" t="s">
        <v>79</v>
      </c>
      <c r="L199" s="7" t="s">
        <v>801</v>
      </c>
      <c r="M199" s="7" t="s">
        <v>801</v>
      </c>
      <c r="N199" s="7" t="s">
        <v>801</v>
      </c>
    </row>
    <row r="200" spans="1:14" x14ac:dyDescent="0.25">
      <c r="A200" s="2">
        <v>193</v>
      </c>
      <c r="B200" s="2" t="s">
        <v>1224</v>
      </c>
      <c r="C200" s="3" t="s">
        <v>82</v>
      </c>
      <c r="D200" s="3" t="s">
        <v>96</v>
      </c>
      <c r="E200" s="3" t="s">
        <v>65</v>
      </c>
      <c r="F200" s="3" t="s">
        <v>77</v>
      </c>
      <c r="G200" s="3" t="s">
        <v>1225</v>
      </c>
      <c r="H200" s="3" t="s">
        <v>852</v>
      </c>
      <c r="I200" s="3" t="s">
        <v>135</v>
      </c>
      <c r="J200" s="3" t="s">
        <v>853</v>
      </c>
      <c r="K200" s="3" t="s">
        <v>55</v>
      </c>
      <c r="L200" s="7" t="s">
        <v>801</v>
      </c>
      <c r="M200" s="7" t="s">
        <v>801</v>
      </c>
      <c r="N200" s="7" t="s">
        <v>801</v>
      </c>
    </row>
    <row r="201" spans="1:14" x14ac:dyDescent="0.25">
      <c r="A201" s="2">
        <v>194</v>
      </c>
      <c r="B201" s="2" t="s">
        <v>1226</v>
      </c>
      <c r="C201" s="3" t="s">
        <v>26</v>
      </c>
      <c r="D201" s="3" t="s">
        <v>29</v>
      </c>
      <c r="E201" s="3" t="s">
        <v>62</v>
      </c>
      <c r="F201" s="3" t="s">
        <v>93</v>
      </c>
      <c r="G201" s="3" t="s">
        <v>1227</v>
      </c>
      <c r="H201" s="3" t="s">
        <v>822</v>
      </c>
      <c r="I201" s="3" t="s">
        <v>170</v>
      </c>
      <c r="J201" s="3" t="s">
        <v>825</v>
      </c>
      <c r="K201" s="3" t="s">
        <v>106</v>
      </c>
      <c r="L201" s="7" t="s">
        <v>801</v>
      </c>
      <c r="M201" s="6" t="s">
        <v>796</v>
      </c>
      <c r="N201" s="7" t="s">
        <v>801</v>
      </c>
    </row>
    <row r="202" spans="1:14" x14ac:dyDescent="0.25">
      <c r="A202" s="2">
        <v>195</v>
      </c>
      <c r="B202" s="2" t="s">
        <v>1228</v>
      </c>
      <c r="C202" s="3" t="s">
        <v>25</v>
      </c>
      <c r="D202" s="3" t="s">
        <v>35</v>
      </c>
      <c r="E202" s="3" t="s">
        <v>34</v>
      </c>
      <c r="F202" s="3" t="s">
        <v>84</v>
      </c>
      <c r="G202" s="3" t="s">
        <v>923</v>
      </c>
      <c r="H202" s="3" t="s">
        <v>933</v>
      </c>
      <c r="I202" s="3" t="s">
        <v>170</v>
      </c>
      <c r="J202" s="3" t="s">
        <v>873</v>
      </c>
      <c r="K202" s="3" t="s">
        <v>54</v>
      </c>
      <c r="L202" s="7" t="s">
        <v>801</v>
      </c>
      <c r="M202" s="6" t="s">
        <v>796</v>
      </c>
      <c r="N202" s="6" t="s">
        <v>796</v>
      </c>
    </row>
    <row r="203" spans="1:14" x14ac:dyDescent="0.25">
      <c r="A203" s="2">
        <v>196</v>
      </c>
      <c r="B203" s="2" t="s">
        <v>1229</v>
      </c>
      <c r="C203" s="3" t="s">
        <v>97</v>
      </c>
      <c r="D203" s="3" t="s">
        <v>42</v>
      </c>
      <c r="E203" s="3" t="s">
        <v>73</v>
      </c>
      <c r="F203" s="3" t="s">
        <v>103</v>
      </c>
      <c r="G203" s="3" t="s">
        <v>1230</v>
      </c>
      <c r="H203" s="3" t="s">
        <v>896</v>
      </c>
      <c r="I203" s="3" t="s">
        <v>137</v>
      </c>
      <c r="J203" s="3" t="s">
        <v>897</v>
      </c>
      <c r="K203" s="3" t="s">
        <v>44</v>
      </c>
      <c r="L203" s="7" t="s">
        <v>801</v>
      </c>
      <c r="M203" s="7" t="s">
        <v>801</v>
      </c>
      <c r="N203" s="7" t="s">
        <v>801</v>
      </c>
    </row>
    <row r="204" spans="1:14" x14ac:dyDescent="0.25">
      <c r="A204" s="2">
        <v>197</v>
      </c>
      <c r="B204" s="2" t="s">
        <v>1231</v>
      </c>
      <c r="C204" s="3" t="s">
        <v>17</v>
      </c>
      <c r="D204" s="3" t="s">
        <v>60</v>
      </c>
      <c r="E204" s="3" t="s">
        <v>105</v>
      </c>
      <c r="F204" s="3" t="s">
        <v>79</v>
      </c>
      <c r="G204" s="3" t="s">
        <v>1232</v>
      </c>
      <c r="H204" s="3" t="s">
        <v>926</v>
      </c>
      <c r="I204" s="3" t="s">
        <v>138</v>
      </c>
      <c r="J204" s="3" t="s">
        <v>1083</v>
      </c>
      <c r="K204" s="3" t="s">
        <v>86</v>
      </c>
      <c r="L204" s="7" t="s">
        <v>801</v>
      </c>
      <c r="M204" s="6" t="s">
        <v>796</v>
      </c>
      <c r="N204" s="7" t="s">
        <v>801</v>
      </c>
    </row>
    <row r="205" spans="1:14" x14ac:dyDescent="0.25">
      <c r="A205" s="2">
        <v>198</v>
      </c>
      <c r="B205" s="2" t="s">
        <v>1233</v>
      </c>
      <c r="C205" s="3" t="s">
        <v>113</v>
      </c>
      <c r="D205" s="3" t="s">
        <v>110</v>
      </c>
      <c r="E205" s="3" t="s">
        <v>99</v>
      </c>
      <c r="F205" s="3" t="s">
        <v>25</v>
      </c>
      <c r="G205" s="3" t="s">
        <v>1192</v>
      </c>
      <c r="H205" s="3" t="s">
        <v>845</v>
      </c>
      <c r="I205" s="3" t="s">
        <v>170</v>
      </c>
      <c r="J205" s="3" t="s">
        <v>825</v>
      </c>
      <c r="K205" s="3" t="s">
        <v>70</v>
      </c>
      <c r="L205" s="7" t="s">
        <v>801</v>
      </c>
      <c r="M205" s="6" t="s">
        <v>796</v>
      </c>
      <c r="N205" s="7" t="s">
        <v>801</v>
      </c>
    </row>
    <row r="206" spans="1:14" x14ac:dyDescent="0.25">
      <c r="A206" s="2">
        <v>199</v>
      </c>
      <c r="B206" s="2" t="s">
        <v>1234</v>
      </c>
      <c r="C206" s="3" t="s">
        <v>28</v>
      </c>
      <c r="D206" s="3" t="s">
        <v>70</v>
      </c>
      <c r="E206" s="3" t="s">
        <v>21</v>
      </c>
      <c r="F206" s="3" t="s">
        <v>107</v>
      </c>
      <c r="G206" s="3" t="s">
        <v>1119</v>
      </c>
      <c r="H206" s="3" t="s">
        <v>886</v>
      </c>
      <c r="I206" s="3" t="s">
        <v>146</v>
      </c>
      <c r="J206" s="3" t="s">
        <v>887</v>
      </c>
      <c r="K206" s="3" t="s">
        <v>70</v>
      </c>
      <c r="L206" s="7" t="s">
        <v>801</v>
      </c>
      <c r="M206" s="6" t="s">
        <v>796</v>
      </c>
      <c r="N206" s="7" t="s">
        <v>801</v>
      </c>
    </row>
    <row r="207" spans="1:14" x14ac:dyDescent="0.25">
      <c r="A207" s="2">
        <v>200</v>
      </c>
      <c r="B207" s="2" t="s">
        <v>1235</v>
      </c>
      <c r="C207" s="3" t="s">
        <v>79</v>
      </c>
      <c r="D207" s="3" t="s">
        <v>91</v>
      </c>
      <c r="E207" s="3" t="s">
        <v>83</v>
      </c>
      <c r="F207" s="3" t="s">
        <v>115</v>
      </c>
      <c r="G207" s="3" t="s">
        <v>1236</v>
      </c>
      <c r="H207" s="3" t="s">
        <v>909</v>
      </c>
      <c r="I207" s="3" t="s">
        <v>137</v>
      </c>
      <c r="J207" s="3" t="s">
        <v>833</v>
      </c>
      <c r="K207" s="3" t="s">
        <v>54</v>
      </c>
      <c r="L207" s="7" t="s">
        <v>801</v>
      </c>
      <c r="M207" s="6" t="s">
        <v>796</v>
      </c>
      <c r="N207" s="6" t="s">
        <v>796</v>
      </c>
    </row>
    <row r="208" spans="1:14" x14ac:dyDescent="0.25">
      <c r="A208" s="2">
        <v>201</v>
      </c>
      <c r="B208" s="2" t="s">
        <v>1237</v>
      </c>
      <c r="C208" s="3" t="s">
        <v>40</v>
      </c>
      <c r="D208" s="3" t="s">
        <v>84</v>
      </c>
      <c r="E208" s="3" t="s">
        <v>101</v>
      </c>
      <c r="F208" s="3" t="s">
        <v>66</v>
      </c>
      <c r="G208" s="3" t="s">
        <v>1238</v>
      </c>
      <c r="H208" s="3" t="s">
        <v>859</v>
      </c>
      <c r="I208" s="3" t="s">
        <v>146</v>
      </c>
      <c r="J208" s="3" t="s">
        <v>974</v>
      </c>
      <c r="K208" s="3" t="s">
        <v>44</v>
      </c>
      <c r="L208" s="7" t="s">
        <v>801</v>
      </c>
      <c r="M208" s="6" t="s">
        <v>796</v>
      </c>
      <c r="N208" s="7" t="s">
        <v>801</v>
      </c>
    </row>
    <row r="209" spans="1:14" x14ac:dyDescent="0.25">
      <c r="A209" s="2">
        <v>202</v>
      </c>
      <c r="B209" s="2" t="s">
        <v>1239</v>
      </c>
      <c r="C209" s="3" t="s">
        <v>51</v>
      </c>
      <c r="D209" s="3" t="s">
        <v>82</v>
      </c>
      <c r="E209" s="3" t="s">
        <v>85</v>
      </c>
      <c r="F209" s="3" t="s">
        <v>18</v>
      </c>
      <c r="G209" s="3" t="s">
        <v>1240</v>
      </c>
      <c r="H209" s="3" t="s">
        <v>794</v>
      </c>
      <c r="I209" s="3" t="s">
        <v>137</v>
      </c>
      <c r="J209" s="3" t="s">
        <v>795</v>
      </c>
      <c r="K209" s="3" t="s">
        <v>32</v>
      </c>
      <c r="L209" s="7" t="s">
        <v>801</v>
      </c>
      <c r="M209" s="6" t="s">
        <v>796</v>
      </c>
      <c r="N209" s="7" t="s">
        <v>801</v>
      </c>
    </row>
    <row r="210" spans="1:14" x14ac:dyDescent="0.25">
      <c r="A210" s="2">
        <v>203</v>
      </c>
      <c r="B210" s="2" t="s">
        <v>1241</v>
      </c>
      <c r="C210" s="3" t="s">
        <v>48</v>
      </c>
      <c r="D210" s="3" t="s">
        <v>53</v>
      </c>
      <c r="E210" s="3" t="s">
        <v>41</v>
      </c>
      <c r="F210" s="3" t="s">
        <v>76</v>
      </c>
      <c r="G210" s="3" t="s">
        <v>1242</v>
      </c>
      <c r="H210" s="3" t="s">
        <v>804</v>
      </c>
      <c r="I210" s="3" t="s">
        <v>138</v>
      </c>
      <c r="J210" s="3" t="s">
        <v>795</v>
      </c>
      <c r="K210" s="3" t="s">
        <v>112</v>
      </c>
      <c r="L210" s="7" t="s">
        <v>801</v>
      </c>
      <c r="M210" s="6" t="s">
        <v>796</v>
      </c>
      <c r="N210" s="7" t="s">
        <v>801</v>
      </c>
    </row>
    <row r="211" spans="1:14" x14ac:dyDescent="0.25">
      <c r="A211" s="2">
        <v>204</v>
      </c>
      <c r="B211" s="2" t="s">
        <v>1243</v>
      </c>
      <c r="C211" s="3" t="s">
        <v>103</v>
      </c>
      <c r="D211" s="3" t="s">
        <v>45</v>
      </c>
      <c r="E211" s="3" t="s">
        <v>71</v>
      </c>
      <c r="F211" s="3" t="s">
        <v>68</v>
      </c>
      <c r="G211" s="3" t="s">
        <v>1244</v>
      </c>
      <c r="H211" s="3" t="s">
        <v>804</v>
      </c>
      <c r="I211" s="3" t="s">
        <v>133</v>
      </c>
      <c r="J211" s="3" t="s">
        <v>816</v>
      </c>
      <c r="K211" s="3" t="s">
        <v>16</v>
      </c>
      <c r="L211" s="6" t="s">
        <v>796</v>
      </c>
      <c r="M211" s="7" t="s">
        <v>801</v>
      </c>
      <c r="N211" s="6" t="s">
        <v>796</v>
      </c>
    </row>
    <row r="212" spans="1:14" x14ac:dyDescent="0.25">
      <c r="A212" s="2">
        <v>205</v>
      </c>
      <c r="B212" s="2" t="s">
        <v>1245</v>
      </c>
      <c r="C212" s="3" t="s">
        <v>24</v>
      </c>
      <c r="D212" s="3" t="s">
        <v>79</v>
      </c>
      <c r="E212" s="3" t="s">
        <v>72</v>
      </c>
      <c r="F212" s="3" t="s">
        <v>62</v>
      </c>
      <c r="G212" s="3" t="s">
        <v>911</v>
      </c>
      <c r="H212" s="3" t="s">
        <v>859</v>
      </c>
      <c r="I212" s="3" t="s">
        <v>142</v>
      </c>
      <c r="J212" s="3" t="s">
        <v>897</v>
      </c>
      <c r="K212" s="3" t="s">
        <v>99</v>
      </c>
      <c r="L212" s="7" t="s">
        <v>801</v>
      </c>
      <c r="M212" s="7" t="s">
        <v>801</v>
      </c>
      <c r="N212" s="7" t="s">
        <v>801</v>
      </c>
    </row>
    <row r="213" spans="1:14" x14ac:dyDescent="0.25">
      <c r="A213" s="2">
        <v>206</v>
      </c>
      <c r="B213" s="2" t="s">
        <v>1246</v>
      </c>
      <c r="C213" s="3" t="s">
        <v>91</v>
      </c>
      <c r="D213" s="3" t="s">
        <v>59</v>
      </c>
      <c r="E213" s="3" t="s">
        <v>64</v>
      </c>
      <c r="F213" s="3" t="s">
        <v>97</v>
      </c>
      <c r="G213" s="3" t="s">
        <v>1247</v>
      </c>
      <c r="H213" s="3" t="s">
        <v>808</v>
      </c>
      <c r="I213" s="3" t="s">
        <v>170</v>
      </c>
      <c r="J213" s="3" t="s">
        <v>853</v>
      </c>
      <c r="K213" s="3" t="s">
        <v>50</v>
      </c>
      <c r="L213" s="7" t="s">
        <v>801</v>
      </c>
      <c r="M213" s="6" t="s">
        <v>796</v>
      </c>
      <c r="N213" s="7" t="s">
        <v>801</v>
      </c>
    </row>
    <row r="214" spans="1:14" x14ac:dyDescent="0.25">
      <c r="A214" s="2">
        <v>207</v>
      </c>
      <c r="B214" s="2" t="s">
        <v>1248</v>
      </c>
      <c r="C214" s="3" t="s">
        <v>22</v>
      </c>
      <c r="D214" s="3" t="s">
        <v>98</v>
      </c>
      <c r="E214" s="3" t="s">
        <v>52</v>
      </c>
      <c r="F214" s="3" t="s">
        <v>106</v>
      </c>
      <c r="G214" s="3" t="s">
        <v>1249</v>
      </c>
      <c r="H214" s="3" t="s">
        <v>822</v>
      </c>
      <c r="I214" s="3" t="s">
        <v>133</v>
      </c>
      <c r="J214" s="3" t="s">
        <v>795</v>
      </c>
      <c r="K214" s="3" t="s">
        <v>26</v>
      </c>
      <c r="L214" s="7" t="s">
        <v>801</v>
      </c>
      <c r="M214" s="6" t="s">
        <v>796</v>
      </c>
      <c r="N214" s="7" t="s">
        <v>801</v>
      </c>
    </row>
    <row r="215" spans="1:14" x14ac:dyDescent="0.25">
      <c r="A215" s="2">
        <v>208</v>
      </c>
      <c r="B215" s="2" t="s">
        <v>1250</v>
      </c>
      <c r="C215" s="3" t="s">
        <v>31</v>
      </c>
      <c r="D215" s="3" t="s">
        <v>106</v>
      </c>
      <c r="E215" s="3" t="s">
        <v>20</v>
      </c>
      <c r="F215" s="3" t="s">
        <v>99</v>
      </c>
      <c r="G215" s="3" t="s">
        <v>1251</v>
      </c>
      <c r="H215" s="3" t="s">
        <v>799</v>
      </c>
      <c r="I215" s="3" t="s">
        <v>143</v>
      </c>
      <c r="J215" s="3" t="s">
        <v>1020</v>
      </c>
      <c r="K215" s="3" t="s">
        <v>39</v>
      </c>
      <c r="L215" s="7" t="s">
        <v>801</v>
      </c>
      <c r="M215" s="6" t="s">
        <v>796</v>
      </c>
      <c r="N215" s="6" t="s">
        <v>796</v>
      </c>
    </row>
    <row r="216" spans="1:14" x14ac:dyDescent="0.25">
      <c r="A216" s="2">
        <v>209</v>
      </c>
      <c r="B216" s="2" t="s">
        <v>1252</v>
      </c>
      <c r="C216" s="3" t="s">
        <v>72</v>
      </c>
      <c r="D216" s="3" t="s">
        <v>96</v>
      </c>
      <c r="E216" s="3" t="s">
        <v>68</v>
      </c>
      <c r="F216" s="3" t="s">
        <v>106</v>
      </c>
      <c r="G216" s="3" t="s">
        <v>1127</v>
      </c>
      <c r="H216" s="3" t="s">
        <v>926</v>
      </c>
      <c r="I216" s="3" t="s">
        <v>137</v>
      </c>
      <c r="J216" s="3" t="s">
        <v>1067</v>
      </c>
      <c r="K216" s="3" t="s">
        <v>25</v>
      </c>
      <c r="L216" s="7" t="s">
        <v>801</v>
      </c>
      <c r="M216" s="6" t="s">
        <v>796</v>
      </c>
      <c r="N216" s="7" t="s">
        <v>801</v>
      </c>
    </row>
    <row r="217" spans="1:14" x14ac:dyDescent="0.25">
      <c r="A217" s="2">
        <v>210</v>
      </c>
      <c r="B217" s="2" t="s">
        <v>1253</v>
      </c>
      <c r="C217" s="3" t="s">
        <v>68</v>
      </c>
      <c r="D217" s="3" t="s">
        <v>96</v>
      </c>
      <c r="E217" s="3" t="s">
        <v>107</v>
      </c>
      <c r="F217" s="3" t="s">
        <v>70</v>
      </c>
      <c r="G217" s="3" t="s">
        <v>1254</v>
      </c>
      <c r="H217" s="3" t="s">
        <v>896</v>
      </c>
      <c r="I217" s="3" t="s">
        <v>151</v>
      </c>
      <c r="J217" s="3" t="s">
        <v>1083</v>
      </c>
      <c r="K217" s="3" t="s">
        <v>63</v>
      </c>
      <c r="L217" s="7" t="s">
        <v>801</v>
      </c>
      <c r="M217" s="6" t="s">
        <v>796</v>
      </c>
      <c r="N217" s="6" t="s">
        <v>796</v>
      </c>
    </row>
    <row r="218" spans="1:14" x14ac:dyDescent="0.25">
      <c r="A218" s="2">
        <v>211</v>
      </c>
      <c r="B218" s="2" t="s">
        <v>1255</v>
      </c>
      <c r="C218" s="3" t="s">
        <v>20</v>
      </c>
      <c r="D218" s="3" t="s">
        <v>79</v>
      </c>
      <c r="E218" s="3" t="s">
        <v>45</v>
      </c>
      <c r="F218" s="3" t="s">
        <v>62</v>
      </c>
      <c r="G218" s="3" t="s">
        <v>862</v>
      </c>
      <c r="H218" s="3" t="s">
        <v>822</v>
      </c>
      <c r="I218" s="3" t="s">
        <v>142</v>
      </c>
      <c r="J218" s="3" t="s">
        <v>825</v>
      </c>
      <c r="K218" s="3" t="s">
        <v>41</v>
      </c>
      <c r="L218" s="7" t="s">
        <v>801</v>
      </c>
      <c r="M218" s="6" t="s">
        <v>796</v>
      </c>
      <c r="N218" s="6" t="s">
        <v>796</v>
      </c>
    </row>
    <row r="219" spans="1:14" x14ac:dyDescent="0.25">
      <c r="A219" s="2">
        <v>212</v>
      </c>
      <c r="B219" s="2" t="s">
        <v>1256</v>
      </c>
      <c r="C219" s="3" t="s">
        <v>94</v>
      </c>
      <c r="D219" s="3" t="s">
        <v>100</v>
      </c>
      <c r="E219" s="3" t="s">
        <v>60</v>
      </c>
      <c r="F219" s="3" t="s">
        <v>98</v>
      </c>
      <c r="G219" s="3" t="s">
        <v>1257</v>
      </c>
      <c r="H219" s="3" t="s">
        <v>794</v>
      </c>
      <c r="I219" s="3" t="s">
        <v>151</v>
      </c>
      <c r="J219" s="3" t="s">
        <v>1258</v>
      </c>
      <c r="K219" s="3" t="s">
        <v>76</v>
      </c>
      <c r="L219" s="6" t="s">
        <v>796</v>
      </c>
      <c r="M219" s="6" t="s">
        <v>796</v>
      </c>
      <c r="N219" s="6" t="s">
        <v>796</v>
      </c>
    </row>
    <row r="220" spans="1:14" x14ac:dyDescent="0.25">
      <c r="A220" s="2">
        <v>213</v>
      </c>
      <c r="B220" s="2" t="s">
        <v>1259</v>
      </c>
      <c r="C220" s="3" t="s">
        <v>91</v>
      </c>
      <c r="D220" s="3" t="s">
        <v>34</v>
      </c>
      <c r="E220" s="3" t="s">
        <v>111</v>
      </c>
      <c r="F220" s="3" t="s">
        <v>99</v>
      </c>
      <c r="G220" s="3" t="s">
        <v>971</v>
      </c>
      <c r="H220" s="3" t="s">
        <v>812</v>
      </c>
      <c r="I220" s="3" t="s">
        <v>133</v>
      </c>
      <c r="J220" s="3" t="s">
        <v>795</v>
      </c>
      <c r="K220" s="3" t="s">
        <v>83</v>
      </c>
      <c r="L220" s="7" t="s">
        <v>801</v>
      </c>
      <c r="M220" s="6" t="s">
        <v>796</v>
      </c>
      <c r="N220" s="6" t="s">
        <v>796</v>
      </c>
    </row>
    <row r="221" spans="1:14" x14ac:dyDescent="0.25">
      <c r="A221" s="2">
        <v>214</v>
      </c>
      <c r="B221" s="2" t="s">
        <v>1260</v>
      </c>
      <c r="C221" s="3" t="s">
        <v>51</v>
      </c>
      <c r="D221" s="3" t="s">
        <v>85</v>
      </c>
      <c r="E221" s="3" t="s">
        <v>111</v>
      </c>
      <c r="F221" s="3" t="s">
        <v>105</v>
      </c>
      <c r="G221" s="3" t="s">
        <v>1049</v>
      </c>
      <c r="H221" s="3" t="s">
        <v>896</v>
      </c>
      <c r="I221" s="3" t="s">
        <v>146</v>
      </c>
      <c r="J221" s="3" t="s">
        <v>983</v>
      </c>
      <c r="K221" s="3" t="s">
        <v>95</v>
      </c>
      <c r="L221" s="7" t="s">
        <v>801</v>
      </c>
      <c r="M221" s="6" t="s">
        <v>796</v>
      </c>
      <c r="N221" s="6" t="s">
        <v>796</v>
      </c>
    </row>
    <row r="222" spans="1:14" x14ac:dyDescent="0.25">
      <c r="A222" s="2">
        <v>215</v>
      </c>
      <c r="B222" s="2" t="s">
        <v>1261</v>
      </c>
      <c r="C222" s="3" t="s">
        <v>63</v>
      </c>
      <c r="D222" s="3" t="s">
        <v>97</v>
      </c>
      <c r="E222" s="3" t="s">
        <v>60</v>
      </c>
      <c r="F222" s="3" t="s">
        <v>96</v>
      </c>
      <c r="G222" s="3" t="s">
        <v>1262</v>
      </c>
      <c r="H222" s="3" t="s">
        <v>845</v>
      </c>
      <c r="I222" s="3" t="s">
        <v>143</v>
      </c>
      <c r="J222" s="3" t="s">
        <v>833</v>
      </c>
      <c r="K222" s="3" t="s">
        <v>38</v>
      </c>
      <c r="L222" s="6" t="s">
        <v>796</v>
      </c>
      <c r="M222" s="7" t="s">
        <v>801</v>
      </c>
      <c r="N222" s="6" t="s">
        <v>796</v>
      </c>
    </row>
    <row r="223" spans="1:14" x14ac:dyDescent="0.25">
      <c r="A223" s="2">
        <v>216</v>
      </c>
      <c r="B223" s="2" t="s">
        <v>1263</v>
      </c>
      <c r="C223" s="3" t="s">
        <v>106</v>
      </c>
      <c r="D223" s="3" t="s">
        <v>94</v>
      </c>
      <c r="E223" s="3" t="s">
        <v>96</v>
      </c>
      <c r="F223" s="3" t="s">
        <v>111</v>
      </c>
      <c r="G223" s="3" t="s">
        <v>1264</v>
      </c>
      <c r="H223" s="3" t="s">
        <v>886</v>
      </c>
      <c r="I223" s="3" t="s">
        <v>143</v>
      </c>
      <c r="J223" s="3" t="s">
        <v>816</v>
      </c>
      <c r="K223" s="3" t="s">
        <v>37</v>
      </c>
      <c r="L223" s="6" t="s">
        <v>796</v>
      </c>
      <c r="M223" s="6" t="s">
        <v>796</v>
      </c>
      <c r="N223" s="6" t="s">
        <v>796</v>
      </c>
    </row>
    <row r="224" spans="1:14" x14ac:dyDescent="0.25">
      <c r="A224" s="2">
        <v>217</v>
      </c>
      <c r="B224" s="2" t="s">
        <v>1265</v>
      </c>
      <c r="C224" s="3" t="s">
        <v>37</v>
      </c>
      <c r="D224" s="3" t="s">
        <v>93</v>
      </c>
      <c r="E224" s="3" t="s">
        <v>45</v>
      </c>
      <c r="F224" s="3" t="s">
        <v>113</v>
      </c>
      <c r="G224" s="3" t="s">
        <v>1266</v>
      </c>
      <c r="H224" s="3" t="s">
        <v>845</v>
      </c>
      <c r="I224" s="3" t="s">
        <v>151</v>
      </c>
      <c r="J224" s="3" t="s">
        <v>1122</v>
      </c>
      <c r="K224" s="3" t="s">
        <v>73</v>
      </c>
      <c r="L224" s="7" t="s">
        <v>801</v>
      </c>
      <c r="M224" s="6" t="s">
        <v>796</v>
      </c>
      <c r="N224" s="6" t="s">
        <v>796</v>
      </c>
    </row>
    <row r="225" spans="1:14" x14ac:dyDescent="0.25">
      <c r="A225" s="2">
        <v>218</v>
      </c>
      <c r="B225" s="2" t="s">
        <v>1267</v>
      </c>
      <c r="C225" s="3" t="s">
        <v>111</v>
      </c>
      <c r="D225" s="3" t="s">
        <v>18</v>
      </c>
      <c r="E225" s="3" t="s">
        <v>100</v>
      </c>
      <c r="F225" s="3" t="s">
        <v>22</v>
      </c>
      <c r="G225" s="3" t="s">
        <v>1268</v>
      </c>
      <c r="H225" s="3" t="s">
        <v>812</v>
      </c>
      <c r="I225" s="3" t="s">
        <v>137</v>
      </c>
      <c r="J225" s="3" t="s">
        <v>819</v>
      </c>
      <c r="K225" s="3" t="s">
        <v>107</v>
      </c>
      <c r="L225" s="7" t="s">
        <v>801</v>
      </c>
      <c r="M225" s="7" t="s">
        <v>801</v>
      </c>
      <c r="N225" s="6" t="s">
        <v>796</v>
      </c>
    </row>
    <row r="226" spans="1:14" x14ac:dyDescent="0.25">
      <c r="A226" s="2">
        <v>219</v>
      </c>
      <c r="B226" s="2" t="s">
        <v>1269</v>
      </c>
      <c r="C226" s="3" t="s">
        <v>38</v>
      </c>
      <c r="D226" s="3" t="s">
        <v>108</v>
      </c>
      <c r="E226" s="3" t="s">
        <v>56</v>
      </c>
      <c r="F226" s="3" t="s">
        <v>16</v>
      </c>
      <c r="G226" s="3" t="s">
        <v>1270</v>
      </c>
      <c r="H226" s="3" t="s">
        <v>822</v>
      </c>
      <c r="I226" s="3" t="s">
        <v>146</v>
      </c>
      <c r="J226" s="3" t="s">
        <v>980</v>
      </c>
      <c r="K226" s="3" t="s">
        <v>42</v>
      </c>
      <c r="L226" s="7" t="s">
        <v>801</v>
      </c>
      <c r="M226" s="6" t="s">
        <v>796</v>
      </c>
      <c r="N226" s="6" t="s">
        <v>796</v>
      </c>
    </row>
    <row r="227" spans="1:14" x14ac:dyDescent="0.25">
      <c r="A227" s="2">
        <v>220</v>
      </c>
      <c r="B227" s="2" t="s">
        <v>1271</v>
      </c>
      <c r="C227" s="3" t="s">
        <v>37</v>
      </c>
      <c r="D227" s="3" t="s">
        <v>113</v>
      </c>
      <c r="E227" s="3" t="s">
        <v>58</v>
      </c>
      <c r="F227" s="3" t="s">
        <v>16</v>
      </c>
      <c r="G227" s="3" t="s">
        <v>1272</v>
      </c>
      <c r="H227" s="3" t="s">
        <v>815</v>
      </c>
      <c r="I227" s="3" t="s">
        <v>146</v>
      </c>
      <c r="J227" s="3" t="s">
        <v>887</v>
      </c>
      <c r="K227" s="3" t="s">
        <v>60</v>
      </c>
      <c r="L227" s="7" t="s">
        <v>801</v>
      </c>
      <c r="M227" s="6" t="s">
        <v>796</v>
      </c>
      <c r="N227" s="7" t="s">
        <v>801</v>
      </c>
    </row>
    <row r="228" spans="1:14" x14ac:dyDescent="0.25">
      <c r="A228" s="2">
        <v>221</v>
      </c>
      <c r="B228" s="2" t="s">
        <v>1273</v>
      </c>
      <c r="C228" s="3" t="s">
        <v>30</v>
      </c>
      <c r="D228" s="3" t="s">
        <v>42</v>
      </c>
      <c r="E228" s="3" t="s">
        <v>35</v>
      </c>
      <c r="F228" s="3" t="s">
        <v>50</v>
      </c>
      <c r="G228" s="3" t="s">
        <v>1274</v>
      </c>
      <c r="H228" s="3" t="s">
        <v>794</v>
      </c>
      <c r="I228" s="3" t="s">
        <v>137</v>
      </c>
      <c r="J228" s="3" t="s">
        <v>856</v>
      </c>
      <c r="K228" s="3" t="s">
        <v>34</v>
      </c>
      <c r="L228" s="7" t="s">
        <v>801</v>
      </c>
      <c r="M228" s="6" t="s">
        <v>796</v>
      </c>
      <c r="N228" s="6" t="s">
        <v>796</v>
      </c>
    </row>
    <row r="229" spans="1:14" x14ac:dyDescent="0.25">
      <c r="A229" s="2">
        <v>222</v>
      </c>
      <c r="B229" s="2" t="s">
        <v>1275</v>
      </c>
      <c r="C229" s="3" t="s">
        <v>59</v>
      </c>
      <c r="D229" s="3" t="s">
        <v>70</v>
      </c>
      <c r="E229" s="3" t="s">
        <v>85</v>
      </c>
      <c r="F229" s="3" t="s">
        <v>80</v>
      </c>
      <c r="G229" s="3" t="s">
        <v>864</v>
      </c>
      <c r="H229" s="3" t="s">
        <v>828</v>
      </c>
      <c r="I229" s="3" t="s">
        <v>170</v>
      </c>
      <c r="J229" s="3" t="s">
        <v>816</v>
      </c>
      <c r="K229" s="3" t="s">
        <v>94</v>
      </c>
      <c r="L229" s="6" t="s">
        <v>796</v>
      </c>
      <c r="M229" s="6" t="s">
        <v>796</v>
      </c>
      <c r="N229" s="6" t="s">
        <v>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4"/>
  <sheetViews>
    <sheetView workbookViewId="0"/>
  </sheetViews>
  <sheetFormatPr defaultRowHeight="15" x14ac:dyDescent="0.25"/>
  <cols>
    <col min="1" max="1" width="17" customWidth="1"/>
    <col min="2" max="2" width="28" customWidth="1"/>
    <col min="3" max="3" width="30" customWidth="1"/>
    <col min="4" max="5" width="31" customWidth="1"/>
    <col min="6" max="6" width="12" customWidth="1"/>
    <col min="7" max="7" width="65" customWidth="1"/>
    <col min="8" max="8" width="19" customWidth="1"/>
  </cols>
  <sheetData>
    <row r="1" spans="1:8" x14ac:dyDescent="0.25">
      <c r="A1" s="1" t="s">
        <v>0</v>
      </c>
      <c r="B1" s="1" t="s">
        <v>116</v>
      </c>
      <c r="C1" s="1" t="s">
        <v>1276</v>
      </c>
      <c r="D1" s="1" t="s">
        <v>1277</v>
      </c>
      <c r="E1" s="1" t="s">
        <v>1278</v>
      </c>
      <c r="F1" s="1" t="s">
        <v>1279</v>
      </c>
      <c r="G1" s="1" t="s">
        <v>1280</v>
      </c>
      <c r="H1" s="1" t="s">
        <v>1281</v>
      </c>
    </row>
    <row r="2" spans="1:8" x14ac:dyDescent="0.25">
      <c r="A2" s="2" t="s">
        <v>1282</v>
      </c>
      <c r="B2" s="2" t="s">
        <v>1283</v>
      </c>
      <c r="C2" s="3" t="s">
        <v>1284</v>
      </c>
      <c r="D2" s="3" t="s">
        <v>1285</v>
      </c>
      <c r="E2" s="3" t="s">
        <v>1286</v>
      </c>
      <c r="F2" s="3"/>
      <c r="G2" s="3" t="s">
        <v>1287</v>
      </c>
      <c r="H2" s="3"/>
    </row>
    <row r="3" spans="1:8" ht="51" x14ac:dyDescent="0.25">
      <c r="A3" s="2">
        <v>222</v>
      </c>
      <c r="B3" s="2" t="s">
        <v>587</v>
      </c>
      <c r="C3" s="3" t="s">
        <v>588</v>
      </c>
      <c r="D3" s="3" t="s">
        <v>94</v>
      </c>
      <c r="E3" s="3" t="s">
        <v>1288</v>
      </c>
      <c r="F3" s="3" t="s">
        <v>1289</v>
      </c>
      <c r="G3" s="3" t="s">
        <v>1290</v>
      </c>
      <c r="H3" s="7" t="s">
        <v>1291</v>
      </c>
    </row>
    <row r="4" spans="1:8" ht="38.25" x14ac:dyDescent="0.25">
      <c r="A4" s="2">
        <v>221</v>
      </c>
      <c r="B4" s="2" t="s">
        <v>585</v>
      </c>
      <c r="C4" s="3" t="s">
        <v>586</v>
      </c>
      <c r="D4" s="3" t="s">
        <v>34</v>
      </c>
      <c r="E4" s="3" t="s">
        <v>1292</v>
      </c>
      <c r="F4" s="3" t="s">
        <v>1289</v>
      </c>
      <c r="G4" s="3" t="s">
        <v>1293</v>
      </c>
      <c r="H4" s="6" t="s">
        <v>1294</v>
      </c>
    </row>
    <row r="5" spans="1:8" ht="38.25" x14ac:dyDescent="0.25">
      <c r="A5" s="2">
        <v>220</v>
      </c>
      <c r="B5" s="2" t="s">
        <v>583</v>
      </c>
      <c r="C5" s="3" t="s">
        <v>584</v>
      </c>
      <c r="D5" s="3" t="s">
        <v>60</v>
      </c>
      <c r="E5" s="3" t="s">
        <v>1295</v>
      </c>
      <c r="F5" s="3" t="s">
        <v>1295</v>
      </c>
      <c r="G5" s="3" t="s">
        <v>1296</v>
      </c>
      <c r="H5" s="7" t="s">
        <v>1291</v>
      </c>
    </row>
    <row r="6" spans="1:8" ht="38.25" x14ac:dyDescent="0.25">
      <c r="A6" s="2">
        <v>219</v>
      </c>
      <c r="B6" s="2" t="s">
        <v>581</v>
      </c>
      <c r="C6" s="3" t="s">
        <v>582</v>
      </c>
      <c r="D6" s="3" t="s">
        <v>42</v>
      </c>
      <c r="E6" s="3" t="s">
        <v>1297</v>
      </c>
      <c r="F6" s="3" t="s">
        <v>1298</v>
      </c>
      <c r="G6" s="3" t="s">
        <v>1299</v>
      </c>
      <c r="H6" s="6" t="s">
        <v>1294</v>
      </c>
    </row>
    <row r="7" spans="1:8" ht="38.25" x14ac:dyDescent="0.25">
      <c r="A7" s="2">
        <v>218</v>
      </c>
      <c r="B7" s="2" t="s">
        <v>579</v>
      </c>
      <c r="C7" s="3" t="s">
        <v>580</v>
      </c>
      <c r="D7" s="3" t="s">
        <v>107</v>
      </c>
      <c r="E7" s="3" t="s">
        <v>1300</v>
      </c>
      <c r="F7" s="3" t="s">
        <v>1292</v>
      </c>
      <c r="G7" s="3" t="s">
        <v>1301</v>
      </c>
      <c r="H7" s="6" t="s">
        <v>1294</v>
      </c>
    </row>
    <row r="8" spans="1:8" ht="51" x14ac:dyDescent="0.25">
      <c r="A8" s="2">
        <v>217</v>
      </c>
      <c r="B8" s="2" t="s">
        <v>577</v>
      </c>
      <c r="C8" s="3" t="s">
        <v>578</v>
      </c>
      <c r="D8" s="3" t="s">
        <v>73</v>
      </c>
      <c r="E8" s="3" t="s">
        <v>1302</v>
      </c>
      <c r="F8" s="3" t="s">
        <v>1288</v>
      </c>
      <c r="G8" s="3" t="s">
        <v>1303</v>
      </c>
      <c r="H8" s="6" t="s">
        <v>1294</v>
      </c>
    </row>
    <row r="9" spans="1:8" ht="51" x14ac:dyDescent="0.25">
      <c r="A9" s="2">
        <v>216</v>
      </c>
      <c r="B9" s="2" t="s">
        <v>575</v>
      </c>
      <c r="C9" s="3" t="s">
        <v>576</v>
      </c>
      <c r="D9" s="3" t="s">
        <v>37</v>
      </c>
      <c r="E9" s="3" t="s">
        <v>1297</v>
      </c>
      <c r="F9" s="3" t="s">
        <v>1292</v>
      </c>
      <c r="G9" s="3" t="s">
        <v>1304</v>
      </c>
      <c r="H9" s="7" t="s">
        <v>1291</v>
      </c>
    </row>
    <row r="10" spans="1:8" ht="51" x14ac:dyDescent="0.25">
      <c r="A10" s="2">
        <v>215</v>
      </c>
      <c r="B10" s="2" t="s">
        <v>573</v>
      </c>
      <c r="C10" s="3" t="s">
        <v>574</v>
      </c>
      <c r="D10" s="3" t="s">
        <v>38</v>
      </c>
      <c r="E10" s="3" t="s">
        <v>1297</v>
      </c>
      <c r="F10" s="3" t="s">
        <v>1297</v>
      </c>
      <c r="G10" s="3" t="s">
        <v>1303</v>
      </c>
      <c r="H10" s="7" t="s">
        <v>1291</v>
      </c>
    </row>
    <row r="11" spans="1:8" ht="51" x14ac:dyDescent="0.25">
      <c r="A11" s="2">
        <v>214</v>
      </c>
      <c r="B11" s="2" t="s">
        <v>571</v>
      </c>
      <c r="C11" s="3" t="s">
        <v>572</v>
      </c>
      <c r="D11" s="3" t="s">
        <v>95</v>
      </c>
      <c r="E11" s="3" t="s">
        <v>1288</v>
      </c>
      <c r="F11" s="3" t="s">
        <v>1300</v>
      </c>
      <c r="G11" s="3" t="s">
        <v>1304</v>
      </c>
      <c r="H11" s="6" t="s">
        <v>1294</v>
      </c>
    </row>
    <row r="12" spans="1:8" ht="38.25" x14ac:dyDescent="0.25">
      <c r="A12" s="2">
        <v>213</v>
      </c>
      <c r="B12" s="2" t="s">
        <v>569</v>
      </c>
      <c r="C12" s="3" t="s">
        <v>570</v>
      </c>
      <c r="D12" s="3" t="s">
        <v>83</v>
      </c>
      <c r="E12" s="3" t="s">
        <v>1298</v>
      </c>
      <c r="F12" s="3" t="s">
        <v>1288</v>
      </c>
      <c r="G12" s="3" t="s">
        <v>1301</v>
      </c>
      <c r="H12" s="6" t="s">
        <v>1294</v>
      </c>
    </row>
    <row r="13" spans="1:8" ht="51" x14ac:dyDescent="0.25">
      <c r="A13" s="2">
        <v>212</v>
      </c>
      <c r="B13" s="2" t="s">
        <v>567</v>
      </c>
      <c r="C13" s="3" t="s">
        <v>568</v>
      </c>
      <c r="D13" s="3" t="s">
        <v>76</v>
      </c>
      <c r="E13" s="3" t="s">
        <v>1298</v>
      </c>
      <c r="F13" s="3" t="s">
        <v>1305</v>
      </c>
      <c r="G13" s="3" t="s">
        <v>1306</v>
      </c>
      <c r="H13" s="6" t="s">
        <v>1294</v>
      </c>
    </row>
    <row r="14" spans="1:8" ht="38.25" x14ac:dyDescent="0.25">
      <c r="A14" s="2">
        <v>211</v>
      </c>
      <c r="B14" s="2" t="s">
        <v>565</v>
      </c>
      <c r="C14" s="3" t="s">
        <v>566</v>
      </c>
      <c r="D14" s="3" t="s">
        <v>41</v>
      </c>
      <c r="E14" s="3" t="s">
        <v>1297</v>
      </c>
      <c r="F14" s="3" t="s">
        <v>1302</v>
      </c>
      <c r="G14" s="3" t="s">
        <v>1299</v>
      </c>
      <c r="H14" s="6" t="s">
        <v>1294</v>
      </c>
    </row>
    <row r="15" spans="1:8" ht="51" x14ac:dyDescent="0.25">
      <c r="A15" s="2">
        <v>210</v>
      </c>
      <c r="B15" s="2" t="s">
        <v>563</v>
      </c>
      <c r="C15" s="3" t="s">
        <v>564</v>
      </c>
      <c r="D15" s="3" t="s">
        <v>63</v>
      </c>
      <c r="E15" s="3" t="s">
        <v>1295</v>
      </c>
      <c r="F15" s="3" t="s">
        <v>1288</v>
      </c>
      <c r="G15" s="3" t="s">
        <v>1306</v>
      </c>
      <c r="H15" s="6" t="s">
        <v>1294</v>
      </c>
    </row>
    <row r="16" spans="1:8" ht="51" x14ac:dyDescent="0.25">
      <c r="A16" s="2">
        <v>209</v>
      </c>
      <c r="B16" s="2" t="s">
        <v>561</v>
      </c>
      <c r="C16" s="3" t="s">
        <v>562</v>
      </c>
      <c r="D16" s="3" t="s">
        <v>25</v>
      </c>
      <c r="E16" s="3" t="s">
        <v>1305</v>
      </c>
      <c r="F16" s="3" t="s">
        <v>1300</v>
      </c>
      <c r="G16" s="3" t="s">
        <v>1307</v>
      </c>
      <c r="H16" s="6" t="s">
        <v>1294</v>
      </c>
    </row>
    <row r="17" spans="1:8" ht="38.25" x14ac:dyDescent="0.25">
      <c r="A17" s="2">
        <v>208</v>
      </c>
      <c r="B17" s="2" t="s">
        <v>559</v>
      </c>
      <c r="C17" s="3" t="s">
        <v>560</v>
      </c>
      <c r="D17" s="3" t="s">
        <v>39</v>
      </c>
      <c r="E17" s="3" t="s">
        <v>1297</v>
      </c>
      <c r="F17" s="3" t="s">
        <v>1308</v>
      </c>
      <c r="G17" s="3" t="s">
        <v>1299</v>
      </c>
      <c r="H17" s="6" t="s">
        <v>1294</v>
      </c>
    </row>
    <row r="18" spans="1:8" ht="51" x14ac:dyDescent="0.25">
      <c r="A18" s="2">
        <v>207</v>
      </c>
      <c r="B18" s="2" t="s">
        <v>557</v>
      </c>
      <c r="C18" s="3" t="s">
        <v>558</v>
      </c>
      <c r="D18" s="3" t="s">
        <v>26</v>
      </c>
      <c r="E18" s="3" t="s">
        <v>1292</v>
      </c>
      <c r="F18" s="3" t="s">
        <v>1305</v>
      </c>
      <c r="G18" s="3" t="s">
        <v>1309</v>
      </c>
      <c r="H18" s="7" t="s">
        <v>1291</v>
      </c>
    </row>
    <row r="19" spans="1:8" x14ac:dyDescent="0.25">
      <c r="A19" s="2">
        <v>206</v>
      </c>
      <c r="B19" s="2" t="s">
        <v>555</v>
      </c>
      <c r="C19" s="3" t="s">
        <v>556</v>
      </c>
      <c r="D19" s="3" t="s">
        <v>50</v>
      </c>
      <c r="E19" s="3" t="s">
        <v>1308</v>
      </c>
      <c r="F19" s="3" t="s">
        <v>1295</v>
      </c>
      <c r="G19" s="3" t="s">
        <v>1310</v>
      </c>
      <c r="H19" s="7" t="s">
        <v>1291</v>
      </c>
    </row>
    <row r="20" spans="1:8" ht="51" x14ac:dyDescent="0.25">
      <c r="A20" s="2">
        <v>205</v>
      </c>
      <c r="B20" s="2" t="s">
        <v>553</v>
      </c>
      <c r="C20" s="3" t="s">
        <v>554</v>
      </c>
      <c r="D20" s="3" t="s">
        <v>99</v>
      </c>
      <c r="E20" s="3" t="s">
        <v>1289</v>
      </c>
      <c r="F20" s="3" t="s">
        <v>1308</v>
      </c>
      <c r="G20" s="3" t="s">
        <v>1303</v>
      </c>
      <c r="H20" s="7" t="s">
        <v>1291</v>
      </c>
    </row>
    <row r="21" spans="1:8" ht="38.25" x14ac:dyDescent="0.25">
      <c r="A21" s="2">
        <v>204</v>
      </c>
      <c r="B21" s="2" t="s">
        <v>551</v>
      </c>
      <c r="C21" s="3" t="s">
        <v>552</v>
      </c>
      <c r="D21" s="3" t="s">
        <v>16</v>
      </c>
      <c r="E21" s="3" t="s">
        <v>1305</v>
      </c>
      <c r="F21" s="3" t="s">
        <v>1305</v>
      </c>
      <c r="G21" s="3" t="s">
        <v>1311</v>
      </c>
      <c r="H21" s="7" t="s">
        <v>1291</v>
      </c>
    </row>
    <row r="22" spans="1:8" ht="38.25" x14ac:dyDescent="0.25">
      <c r="A22" s="2">
        <v>203</v>
      </c>
      <c r="B22" s="2" t="s">
        <v>549</v>
      </c>
      <c r="C22" s="3" t="s">
        <v>550</v>
      </c>
      <c r="D22" s="3" t="s">
        <v>112</v>
      </c>
      <c r="E22" s="3" t="s">
        <v>1300</v>
      </c>
      <c r="F22" s="3" t="s">
        <v>1298</v>
      </c>
      <c r="G22" s="3" t="s">
        <v>1312</v>
      </c>
      <c r="H22" s="7" t="s">
        <v>1291</v>
      </c>
    </row>
    <row r="23" spans="1:8" ht="51" x14ac:dyDescent="0.25">
      <c r="A23" s="2">
        <v>202</v>
      </c>
      <c r="B23" s="2" t="s">
        <v>547</v>
      </c>
      <c r="C23" s="3" t="s">
        <v>548</v>
      </c>
      <c r="D23" s="3" t="s">
        <v>32</v>
      </c>
      <c r="E23" s="3" t="s">
        <v>1292</v>
      </c>
      <c r="F23" s="3" t="s">
        <v>1298</v>
      </c>
      <c r="G23" s="3" t="s">
        <v>1306</v>
      </c>
      <c r="H23" s="7" t="s">
        <v>1291</v>
      </c>
    </row>
    <row r="24" spans="1:8" ht="51" x14ac:dyDescent="0.25">
      <c r="A24" s="2">
        <v>201</v>
      </c>
      <c r="B24" s="2" t="s">
        <v>545</v>
      </c>
      <c r="C24" s="3" t="s">
        <v>546</v>
      </c>
      <c r="D24" s="3" t="s">
        <v>44</v>
      </c>
      <c r="E24" s="3" t="s">
        <v>1297</v>
      </c>
      <c r="F24" s="3" t="s">
        <v>1289</v>
      </c>
      <c r="G24" s="3" t="s">
        <v>1303</v>
      </c>
      <c r="H24" s="6" t="s">
        <v>1294</v>
      </c>
    </row>
    <row r="25" spans="1:8" ht="51" x14ac:dyDescent="0.25">
      <c r="A25" s="2">
        <v>200</v>
      </c>
      <c r="B25" s="2" t="s">
        <v>543</v>
      </c>
      <c r="C25" s="3" t="s">
        <v>544</v>
      </c>
      <c r="D25" s="3" t="s">
        <v>54</v>
      </c>
      <c r="E25" s="3" t="s">
        <v>1308</v>
      </c>
      <c r="F25" s="3" t="s">
        <v>1289</v>
      </c>
      <c r="G25" s="3" t="s">
        <v>1313</v>
      </c>
      <c r="H25" s="6" t="s">
        <v>1294</v>
      </c>
    </row>
    <row r="26" spans="1:8" ht="51" x14ac:dyDescent="0.25">
      <c r="A26" s="2">
        <v>199</v>
      </c>
      <c r="B26" s="2" t="s">
        <v>541</v>
      </c>
      <c r="C26" s="3" t="s">
        <v>542</v>
      </c>
      <c r="D26" s="3" t="s">
        <v>70</v>
      </c>
      <c r="E26" s="3" t="s">
        <v>1302</v>
      </c>
      <c r="F26" s="3" t="s">
        <v>1295</v>
      </c>
      <c r="G26" s="3" t="s">
        <v>1304</v>
      </c>
      <c r="H26" s="7" t="s">
        <v>1291</v>
      </c>
    </row>
    <row r="27" spans="1:8" ht="38.25" x14ac:dyDescent="0.25">
      <c r="A27" s="2">
        <v>198</v>
      </c>
      <c r="B27" s="2" t="s">
        <v>539</v>
      </c>
      <c r="C27" s="3" t="s">
        <v>540</v>
      </c>
      <c r="D27" s="3" t="s">
        <v>70</v>
      </c>
      <c r="E27" s="3" t="s">
        <v>1302</v>
      </c>
      <c r="F27" s="3" t="s">
        <v>1295</v>
      </c>
      <c r="G27" s="3" t="s">
        <v>1296</v>
      </c>
      <c r="H27" s="6" t="s">
        <v>1294</v>
      </c>
    </row>
    <row r="28" spans="1:8" ht="51" x14ac:dyDescent="0.25">
      <c r="A28" s="2">
        <v>197</v>
      </c>
      <c r="B28" s="2" t="s">
        <v>537</v>
      </c>
      <c r="C28" s="3" t="s">
        <v>538</v>
      </c>
      <c r="D28" s="3" t="s">
        <v>86</v>
      </c>
      <c r="E28" s="3" t="s">
        <v>1288</v>
      </c>
      <c r="F28" s="3" t="s">
        <v>1305</v>
      </c>
      <c r="G28" s="3" t="s">
        <v>1307</v>
      </c>
      <c r="H28" s="7" t="s">
        <v>1291</v>
      </c>
    </row>
    <row r="29" spans="1:8" ht="51" x14ac:dyDescent="0.25">
      <c r="A29" s="2">
        <v>196</v>
      </c>
      <c r="B29" s="2" t="s">
        <v>535</v>
      </c>
      <c r="C29" s="3" t="s">
        <v>536</v>
      </c>
      <c r="D29" s="3" t="s">
        <v>44</v>
      </c>
      <c r="E29" s="3" t="s">
        <v>1297</v>
      </c>
      <c r="F29" s="3" t="s">
        <v>1289</v>
      </c>
      <c r="G29" s="3" t="s">
        <v>1313</v>
      </c>
      <c r="H29" s="6" t="s">
        <v>1294</v>
      </c>
    </row>
    <row r="30" spans="1:8" ht="38.25" x14ac:dyDescent="0.25">
      <c r="A30" s="2">
        <v>195</v>
      </c>
      <c r="B30" s="2" t="s">
        <v>533</v>
      </c>
      <c r="C30" s="3" t="s">
        <v>534</v>
      </c>
      <c r="D30" s="3" t="s">
        <v>54</v>
      </c>
      <c r="E30" s="3" t="s">
        <v>1308</v>
      </c>
      <c r="F30" s="3" t="s">
        <v>1289</v>
      </c>
      <c r="G30" s="3" t="s">
        <v>1314</v>
      </c>
      <c r="H30" s="6" t="s">
        <v>1294</v>
      </c>
    </row>
    <row r="31" spans="1:8" ht="51" x14ac:dyDescent="0.25">
      <c r="A31" s="2">
        <v>194</v>
      </c>
      <c r="B31" s="2" t="s">
        <v>531</v>
      </c>
      <c r="C31" s="3" t="s">
        <v>532</v>
      </c>
      <c r="D31" s="3" t="s">
        <v>106</v>
      </c>
      <c r="E31" s="3" t="s">
        <v>1300</v>
      </c>
      <c r="F31" s="3" t="s">
        <v>1305</v>
      </c>
      <c r="G31" s="3" t="s">
        <v>1309</v>
      </c>
      <c r="H31" s="7" t="s">
        <v>1291</v>
      </c>
    </row>
    <row r="32" spans="1:8" ht="38.25" x14ac:dyDescent="0.25">
      <c r="A32" s="2">
        <v>193</v>
      </c>
      <c r="B32" s="2" t="s">
        <v>529</v>
      </c>
      <c r="C32" s="3" t="s">
        <v>530</v>
      </c>
      <c r="D32" s="3" t="s">
        <v>55</v>
      </c>
      <c r="E32" s="3" t="s">
        <v>1308</v>
      </c>
      <c r="F32" s="3" t="s">
        <v>1300</v>
      </c>
      <c r="G32" s="3" t="s">
        <v>1315</v>
      </c>
      <c r="H32" s="7" t="s">
        <v>1291</v>
      </c>
    </row>
    <row r="33" spans="1:8" ht="51" x14ac:dyDescent="0.25">
      <c r="A33" s="2">
        <v>192</v>
      </c>
      <c r="B33" s="2" t="s">
        <v>527</v>
      </c>
      <c r="C33" s="3" t="s">
        <v>528</v>
      </c>
      <c r="D33" s="3" t="s">
        <v>79</v>
      </c>
      <c r="E33" s="3" t="s">
        <v>1298</v>
      </c>
      <c r="F33" s="3" t="s">
        <v>1308</v>
      </c>
      <c r="G33" s="3" t="s">
        <v>1304</v>
      </c>
      <c r="H33" s="7" t="s">
        <v>1291</v>
      </c>
    </row>
    <row r="34" spans="1:8" ht="51" x14ac:dyDescent="0.25">
      <c r="A34" s="2">
        <v>191</v>
      </c>
      <c r="B34" s="2" t="s">
        <v>525</v>
      </c>
      <c r="C34" s="3" t="s">
        <v>526</v>
      </c>
      <c r="D34" s="3" t="s">
        <v>35</v>
      </c>
      <c r="E34" s="3" t="s">
        <v>1292</v>
      </c>
      <c r="F34" s="3" t="s">
        <v>1300</v>
      </c>
      <c r="G34" s="3" t="s">
        <v>1290</v>
      </c>
      <c r="H34" s="7" t="s">
        <v>1291</v>
      </c>
    </row>
    <row r="35" spans="1:8" ht="51" x14ac:dyDescent="0.25">
      <c r="A35" s="2">
        <v>190</v>
      </c>
      <c r="B35" s="2" t="s">
        <v>523</v>
      </c>
      <c r="C35" s="3" t="s">
        <v>524</v>
      </c>
      <c r="D35" s="3" t="s">
        <v>63</v>
      </c>
      <c r="E35" s="3" t="s">
        <v>1295</v>
      </c>
      <c r="F35" s="3" t="s">
        <v>1288</v>
      </c>
      <c r="G35" s="3" t="s">
        <v>1316</v>
      </c>
      <c r="H35" s="7" t="s">
        <v>1291</v>
      </c>
    </row>
    <row r="36" spans="1:8" ht="51" x14ac:dyDescent="0.25">
      <c r="A36" s="2">
        <v>189</v>
      </c>
      <c r="B36" s="2" t="s">
        <v>521</v>
      </c>
      <c r="C36" s="3" t="s">
        <v>522</v>
      </c>
      <c r="D36" s="3" t="s">
        <v>115</v>
      </c>
      <c r="E36" s="3" t="s">
        <v>1300</v>
      </c>
      <c r="F36" s="3" t="s">
        <v>1300</v>
      </c>
      <c r="G36" s="3" t="s">
        <v>1290</v>
      </c>
      <c r="H36" s="6" t="s">
        <v>1294</v>
      </c>
    </row>
    <row r="37" spans="1:8" ht="51" x14ac:dyDescent="0.25">
      <c r="A37" s="2">
        <v>188</v>
      </c>
      <c r="B37" s="2" t="s">
        <v>519</v>
      </c>
      <c r="C37" s="3" t="s">
        <v>520</v>
      </c>
      <c r="D37" s="3" t="s">
        <v>110</v>
      </c>
      <c r="E37" s="3" t="s">
        <v>1300</v>
      </c>
      <c r="F37" s="3" t="s">
        <v>1295</v>
      </c>
      <c r="G37" s="3" t="s">
        <v>1316</v>
      </c>
      <c r="H37" s="7" t="s">
        <v>1291</v>
      </c>
    </row>
    <row r="38" spans="1:8" ht="51" x14ac:dyDescent="0.25">
      <c r="A38" s="2">
        <v>187</v>
      </c>
      <c r="B38" s="2" t="s">
        <v>517</v>
      </c>
      <c r="C38" s="3" t="s">
        <v>518</v>
      </c>
      <c r="D38" s="3" t="s">
        <v>17</v>
      </c>
      <c r="E38" s="3" t="s">
        <v>1305</v>
      </c>
      <c r="F38" s="3" t="s">
        <v>1292</v>
      </c>
      <c r="G38" s="3" t="s">
        <v>1290</v>
      </c>
      <c r="H38" s="6" t="s">
        <v>1294</v>
      </c>
    </row>
    <row r="39" spans="1:8" ht="38.25" x14ac:dyDescent="0.25">
      <c r="A39" s="2">
        <v>186</v>
      </c>
      <c r="B39" s="2" t="s">
        <v>515</v>
      </c>
      <c r="C39" s="3" t="s">
        <v>516</v>
      </c>
      <c r="D39" s="3" t="s">
        <v>83</v>
      </c>
      <c r="E39" s="3" t="s">
        <v>1298</v>
      </c>
      <c r="F39" s="3" t="s">
        <v>1288</v>
      </c>
      <c r="G39" s="3" t="s">
        <v>1314</v>
      </c>
      <c r="H39" s="6" t="s">
        <v>1294</v>
      </c>
    </row>
    <row r="40" spans="1:8" ht="51" x14ac:dyDescent="0.25">
      <c r="A40" s="2">
        <v>185</v>
      </c>
      <c r="B40" s="2" t="s">
        <v>513</v>
      </c>
      <c r="C40" s="3" t="s">
        <v>514</v>
      </c>
      <c r="D40" s="3" t="s">
        <v>101</v>
      </c>
      <c r="E40" s="3" t="s">
        <v>1289</v>
      </c>
      <c r="F40" s="3" t="s">
        <v>1302</v>
      </c>
      <c r="G40" s="3" t="s">
        <v>1317</v>
      </c>
      <c r="H40" s="6" t="s">
        <v>1294</v>
      </c>
    </row>
    <row r="41" spans="1:8" ht="38.25" x14ac:dyDescent="0.25">
      <c r="A41" s="2">
        <v>184</v>
      </c>
      <c r="B41" s="2" t="s">
        <v>511</v>
      </c>
      <c r="C41" s="3" t="s">
        <v>512</v>
      </c>
      <c r="D41" s="3" t="s">
        <v>105</v>
      </c>
      <c r="E41" s="3" t="s">
        <v>1289</v>
      </c>
      <c r="F41" s="3" t="s">
        <v>1300</v>
      </c>
      <c r="G41" s="3" t="s">
        <v>1318</v>
      </c>
      <c r="H41" s="6" t="s">
        <v>1294</v>
      </c>
    </row>
    <row r="42" spans="1:8" ht="51" x14ac:dyDescent="0.25">
      <c r="A42" s="2">
        <v>183</v>
      </c>
      <c r="B42" s="2" t="s">
        <v>509</v>
      </c>
      <c r="C42" s="3" t="s">
        <v>510</v>
      </c>
      <c r="D42" s="3" t="s">
        <v>95</v>
      </c>
      <c r="E42" s="3" t="s">
        <v>1288</v>
      </c>
      <c r="F42" s="3" t="s">
        <v>1300</v>
      </c>
      <c r="G42" s="3" t="s">
        <v>1306</v>
      </c>
      <c r="H42" s="6" t="s">
        <v>1294</v>
      </c>
    </row>
    <row r="43" spans="1:8" x14ac:dyDescent="0.25">
      <c r="A43" s="2">
        <v>182</v>
      </c>
      <c r="B43" s="2" t="s">
        <v>507</v>
      </c>
      <c r="C43" s="3" t="s">
        <v>508</v>
      </c>
      <c r="D43" s="3" t="s">
        <v>113</v>
      </c>
      <c r="E43" s="3" t="s">
        <v>1300</v>
      </c>
      <c r="F43" s="3" t="s">
        <v>1288</v>
      </c>
      <c r="G43" s="3" t="s">
        <v>1319</v>
      </c>
      <c r="H43" s="6" t="s">
        <v>1294</v>
      </c>
    </row>
    <row r="44" spans="1:8" ht="38.25" x14ac:dyDescent="0.25">
      <c r="A44" s="2">
        <v>181</v>
      </c>
      <c r="B44" s="2" t="s">
        <v>505</v>
      </c>
      <c r="C44" s="3" t="s">
        <v>506</v>
      </c>
      <c r="D44" s="3" t="s">
        <v>87</v>
      </c>
      <c r="E44" s="3" t="s">
        <v>1288</v>
      </c>
      <c r="F44" s="3" t="s">
        <v>1292</v>
      </c>
      <c r="G44" s="3" t="s">
        <v>1314</v>
      </c>
      <c r="H44" s="6" t="s">
        <v>1294</v>
      </c>
    </row>
    <row r="45" spans="1:8" ht="38.25" x14ac:dyDescent="0.25">
      <c r="A45" s="2">
        <v>180</v>
      </c>
      <c r="B45" s="2" t="s">
        <v>503</v>
      </c>
      <c r="C45" s="3" t="s">
        <v>504</v>
      </c>
      <c r="D45" s="3" t="s">
        <v>103</v>
      </c>
      <c r="E45" s="3" t="s">
        <v>1289</v>
      </c>
      <c r="F45" s="3" t="s">
        <v>1288</v>
      </c>
      <c r="G45" s="3" t="s">
        <v>1299</v>
      </c>
      <c r="H45" s="6" t="s">
        <v>1294</v>
      </c>
    </row>
    <row r="46" spans="1:8" ht="51" x14ac:dyDescent="0.25">
      <c r="A46" s="2">
        <v>179</v>
      </c>
      <c r="B46" s="2" t="s">
        <v>501</v>
      </c>
      <c r="C46" s="3" t="s">
        <v>502</v>
      </c>
      <c r="D46" s="3" t="s">
        <v>81</v>
      </c>
      <c r="E46" s="3" t="s">
        <v>1298</v>
      </c>
      <c r="F46" s="3" t="s">
        <v>1302</v>
      </c>
      <c r="G46" s="3" t="s">
        <v>1309</v>
      </c>
      <c r="H46" s="7" t="s">
        <v>1291</v>
      </c>
    </row>
    <row r="47" spans="1:8" ht="51" x14ac:dyDescent="0.25">
      <c r="A47" s="2">
        <v>178</v>
      </c>
      <c r="B47" s="2" t="s">
        <v>499</v>
      </c>
      <c r="C47" s="3" t="s">
        <v>500</v>
      </c>
      <c r="D47" s="3" t="s">
        <v>55</v>
      </c>
      <c r="E47" s="3" t="s">
        <v>1308</v>
      </c>
      <c r="F47" s="3" t="s">
        <v>1300</v>
      </c>
      <c r="G47" s="3" t="s">
        <v>1306</v>
      </c>
      <c r="H47" s="7" t="s">
        <v>1291</v>
      </c>
    </row>
    <row r="48" spans="1:8" ht="38.25" x14ac:dyDescent="0.25">
      <c r="A48" s="2">
        <v>177</v>
      </c>
      <c r="B48" s="2" t="s">
        <v>497</v>
      </c>
      <c r="C48" s="3" t="s">
        <v>498</v>
      </c>
      <c r="D48" s="3" t="s">
        <v>70</v>
      </c>
      <c r="E48" s="3" t="s">
        <v>1302</v>
      </c>
      <c r="F48" s="3" t="s">
        <v>1295</v>
      </c>
      <c r="G48" s="3" t="s">
        <v>1299</v>
      </c>
      <c r="H48" s="7" t="s">
        <v>1291</v>
      </c>
    </row>
    <row r="49" spans="1:8" ht="38.25" x14ac:dyDescent="0.25">
      <c r="A49" s="2">
        <v>176</v>
      </c>
      <c r="B49" s="2" t="s">
        <v>495</v>
      </c>
      <c r="C49" s="3" t="s">
        <v>496</v>
      </c>
      <c r="D49" s="3" t="s">
        <v>84</v>
      </c>
      <c r="E49" s="3" t="s">
        <v>1298</v>
      </c>
      <c r="F49" s="3" t="s">
        <v>1289</v>
      </c>
      <c r="G49" s="3" t="s">
        <v>1315</v>
      </c>
      <c r="H49" s="6" t="s">
        <v>1294</v>
      </c>
    </row>
    <row r="50" spans="1:8" ht="38.25" x14ac:dyDescent="0.25">
      <c r="A50" s="2">
        <v>175</v>
      </c>
      <c r="B50" s="2" t="s">
        <v>493</v>
      </c>
      <c r="C50" s="3" t="s">
        <v>494</v>
      </c>
      <c r="D50" s="3" t="s">
        <v>58</v>
      </c>
      <c r="E50" s="3" t="s">
        <v>1295</v>
      </c>
      <c r="F50" s="3" t="s">
        <v>1297</v>
      </c>
      <c r="G50" s="3" t="s">
        <v>1293</v>
      </c>
      <c r="H50" s="6" t="s">
        <v>1294</v>
      </c>
    </row>
    <row r="51" spans="1:8" ht="51" x14ac:dyDescent="0.25">
      <c r="A51" s="2">
        <v>174</v>
      </c>
      <c r="B51" s="2" t="s">
        <v>491</v>
      </c>
      <c r="C51" s="3" t="s">
        <v>492</v>
      </c>
      <c r="D51" s="3" t="s">
        <v>68</v>
      </c>
      <c r="E51" s="3" t="s">
        <v>1302</v>
      </c>
      <c r="F51" s="3" t="s">
        <v>1297</v>
      </c>
      <c r="G51" s="3" t="s">
        <v>1290</v>
      </c>
      <c r="H51" s="7" t="s">
        <v>1291</v>
      </c>
    </row>
    <row r="52" spans="1:8" ht="38.25" x14ac:dyDescent="0.25">
      <c r="A52" s="2">
        <v>173</v>
      </c>
      <c r="B52" s="2" t="s">
        <v>489</v>
      </c>
      <c r="C52" s="3" t="s">
        <v>490</v>
      </c>
      <c r="D52" s="3" t="s">
        <v>69</v>
      </c>
      <c r="E52" s="3" t="s">
        <v>1302</v>
      </c>
      <c r="F52" s="3" t="s">
        <v>1308</v>
      </c>
      <c r="G52" s="3" t="s">
        <v>1312</v>
      </c>
      <c r="H52" s="6" t="s">
        <v>1294</v>
      </c>
    </row>
    <row r="53" spans="1:8" ht="51" x14ac:dyDescent="0.25">
      <c r="A53" s="2">
        <v>172</v>
      </c>
      <c r="B53" s="2" t="s">
        <v>487</v>
      </c>
      <c r="C53" s="3" t="s">
        <v>488</v>
      </c>
      <c r="D53" s="3" t="s">
        <v>20</v>
      </c>
      <c r="E53" s="3" t="s">
        <v>1305</v>
      </c>
      <c r="F53" s="3" t="s">
        <v>1295</v>
      </c>
      <c r="G53" s="3" t="s">
        <v>1303</v>
      </c>
      <c r="H53" s="7" t="s">
        <v>1291</v>
      </c>
    </row>
    <row r="54" spans="1:8" ht="38.25" x14ac:dyDescent="0.25">
      <c r="A54" s="2">
        <v>171</v>
      </c>
      <c r="B54" s="2" t="s">
        <v>485</v>
      </c>
      <c r="C54" s="3" t="s">
        <v>486</v>
      </c>
      <c r="D54" s="3" t="s">
        <v>32</v>
      </c>
      <c r="E54" s="3" t="s">
        <v>1292</v>
      </c>
      <c r="F54" s="3" t="s">
        <v>1298</v>
      </c>
      <c r="G54" s="3" t="s">
        <v>1301</v>
      </c>
      <c r="H54" s="7" t="s">
        <v>1291</v>
      </c>
    </row>
    <row r="55" spans="1:8" ht="38.25" x14ac:dyDescent="0.25">
      <c r="A55" s="2">
        <v>170</v>
      </c>
      <c r="B55" s="2" t="s">
        <v>483</v>
      </c>
      <c r="C55" s="3" t="s">
        <v>484</v>
      </c>
      <c r="D55" s="3" t="s">
        <v>67</v>
      </c>
      <c r="E55" s="3" t="s">
        <v>1302</v>
      </c>
      <c r="F55" s="3" t="s">
        <v>1292</v>
      </c>
      <c r="G55" s="3" t="s">
        <v>1320</v>
      </c>
      <c r="H55" s="7" t="s">
        <v>1291</v>
      </c>
    </row>
    <row r="56" spans="1:8" ht="51" x14ac:dyDescent="0.25">
      <c r="A56" s="2">
        <v>169</v>
      </c>
      <c r="B56" s="2" t="s">
        <v>481</v>
      </c>
      <c r="C56" s="3" t="s">
        <v>482</v>
      </c>
      <c r="D56" s="3" t="s">
        <v>53</v>
      </c>
      <c r="E56" s="3" t="s">
        <v>1308</v>
      </c>
      <c r="F56" s="3" t="s">
        <v>1288</v>
      </c>
      <c r="G56" s="3" t="s">
        <v>1309</v>
      </c>
      <c r="H56" s="7" t="s">
        <v>1291</v>
      </c>
    </row>
    <row r="57" spans="1:8" ht="51" x14ac:dyDescent="0.25">
      <c r="A57" s="2">
        <v>168</v>
      </c>
      <c r="B57" s="2" t="s">
        <v>479</v>
      </c>
      <c r="C57" s="3" t="s">
        <v>480</v>
      </c>
      <c r="D57" s="3" t="s">
        <v>52</v>
      </c>
      <c r="E57" s="3" t="s">
        <v>1308</v>
      </c>
      <c r="F57" s="3" t="s">
        <v>1298</v>
      </c>
      <c r="G57" s="3" t="s">
        <v>1307</v>
      </c>
      <c r="H57" s="6" t="s">
        <v>1294</v>
      </c>
    </row>
    <row r="58" spans="1:8" ht="38.25" x14ac:dyDescent="0.25">
      <c r="A58" s="2">
        <v>167</v>
      </c>
      <c r="B58" s="2" t="s">
        <v>477</v>
      </c>
      <c r="C58" s="3" t="s">
        <v>478</v>
      </c>
      <c r="D58" s="3" t="s">
        <v>99</v>
      </c>
      <c r="E58" s="3" t="s">
        <v>1289</v>
      </c>
      <c r="F58" s="3" t="s">
        <v>1308</v>
      </c>
      <c r="G58" s="3" t="s">
        <v>1293</v>
      </c>
      <c r="H58" s="6" t="s">
        <v>1294</v>
      </c>
    </row>
    <row r="59" spans="1:8" ht="38.25" x14ac:dyDescent="0.25">
      <c r="A59" s="2">
        <v>166</v>
      </c>
      <c r="B59" s="2" t="s">
        <v>475</v>
      </c>
      <c r="C59" s="3" t="s">
        <v>476</v>
      </c>
      <c r="D59" s="3" t="s">
        <v>76</v>
      </c>
      <c r="E59" s="3" t="s">
        <v>1298</v>
      </c>
      <c r="F59" s="3" t="s">
        <v>1305</v>
      </c>
      <c r="G59" s="3" t="s">
        <v>1293</v>
      </c>
      <c r="H59" s="6" t="s">
        <v>1294</v>
      </c>
    </row>
    <row r="60" spans="1:8" ht="51" x14ac:dyDescent="0.25">
      <c r="A60" s="2">
        <v>165</v>
      </c>
      <c r="B60" s="2" t="s">
        <v>473</v>
      </c>
      <c r="C60" s="3" t="s">
        <v>474</v>
      </c>
      <c r="D60" s="3" t="s">
        <v>71</v>
      </c>
      <c r="E60" s="3" t="s">
        <v>1302</v>
      </c>
      <c r="F60" s="3" t="s">
        <v>1302</v>
      </c>
      <c r="G60" s="3" t="s">
        <v>1316</v>
      </c>
      <c r="H60" s="7" t="s">
        <v>1291</v>
      </c>
    </row>
    <row r="61" spans="1:8" ht="38.25" x14ac:dyDescent="0.25">
      <c r="A61" s="2">
        <v>164</v>
      </c>
      <c r="B61" s="2" t="s">
        <v>471</v>
      </c>
      <c r="C61" s="3" t="s">
        <v>472</v>
      </c>
      <c r="D61" s="3" t="s">
        <v>48</v>
      </c>
      <c r="E61" s="3" t="s">
        <v>1308</v>
      </c>
      <c r="F61" s="3" t="s">
        <v>1297</v>
      </c>
      <c r="G61" s="3" t="s">
        <v>1315</v>
      </c>
      <c r="H61" s="6" t="s">
        <v>1294</v>
      </c>
    </row>
    <row r="62" spans="1:8" ht="51" x14ac:dyDescent="0.25">
      <c r="A62" s="2">
        <v>163</v>
      </c>
      <c r="B62" s="2" t="s">
        <v>469</v>
      </c>
      <c r="C62" s="3" t="s">
        <v>470</v>
      </c>
      <c r="D62" s="3" t="s">
        <v>19</v>
      </c>
      <c r="E62" s="3" t="s">
        <v>1305</v>
      </c>
      <c r="F62" s="3" t="s">
        <v>1308</v>
      </c>
      <c r="G62" s="3" t="s">
        <v>1290</v>
      </c>
      <c r="H62" s="6" t="s">
        <v>1294</v>
      </c>
    </row>
    <row r="63" spans="1:8" ht="38.25" x14ac:dyDescent="0.25">
      <c r="A63" s="2">
        <v>162</v>
      </c>
      <c r="B63" s="2" t="s">
        <v>467</v>
      </c>
      <c r="C63" s="3" t="s">
        <v>468</v>
      </c>
      <c r="D63" s="3" t="s">
        <v>100</v>
      </c>
      <c r="E63" s="3" t="s">
        <v>1289</v>
      </c>
      <c r="F63" s="3" t="s">
        <v>1295</v>
      </c>
      <c r="G63" s="3" t="s">
        <v>1318</v>
      </c>
      <c r="H63" s="6" t="s">
        <v>1294</v>
      </c>
    </row>
    <row r="64" spans="1:8" ht="51" x14ac:dyDescent="0.25">
      <c r="A64" s="2">
        <v>161</v>
      </c>
      <c r="B64" s="2" t="s">
        <v>465</v>
      </c>
      <c r="C64" s="3" t="s">
        <v>466</v>
      </c>
      <c r="D64" s="3" t="s">
        <v>96</v>
      </c>
      <c r="E64" s="3" t="s">
        <v>1289</v>
      </c>
      <c r="F64" s="3" t="s">
        <v>1305</v>
      </c>
      <c r="G64" s="3" t="s">
        <v>1306</v>
      </c>
      <c r="H64" s="7" t="s">
        <v>1291</v>
      </c>
    </row>
    <row r="65" spans="1:8" ht="51" x14ac:dyDescent="0.25">
      <c r="A65" s="2">
        <v>160</v>
      </c>
      <c r="B65" s="2" t="s">
        <v>463</v>
      </c>
      <c r="C65" s="3" t="s">
        <v>464</v>
      </c>
      <c r="D65" s="3" t="s">
        <v>16</v>
      </c>
      <c r="E65" s="3" t="s">
        <v>1305</v>
      </c>
      <c r="F65" s="3" t="s">
        <v>1305</v>
      </c>
      <c r="G65" s="3" t="s">
        <v>1307</v>
      </c>
      <c r="H65" s="6" t="s">
        <v>1294</v>
      </c>
    </row>
    <row r="66" spans="1:8" ht="38.25" x14ac:dyDescent="0.25">
      <c r="A66" s="2">
        <v>159</v>
      </c>
      <c r="B66" s="2" t="s">
        <v>461</v>
      </c>
      <c r="C66" s="3" t="s">
        <v>462</v>
      </c>
      <c r="D66" s="3" t="s">
        <v>30</v>
      </c>
      <c r="E66" s="3" t="s">
        <v>1292</v>
      </c>
      <c r="F66" s="3" t="s">
        <v>1295</v>
      </c>
      <c r="G66" s="3" t="s">
        <v>1315</v>
      </c>
      <c r="H66" s="6" t="s">
        <v>1294</v>
      </c>
    </row>
    <row r="67" spans="1:8" ht="51" x14ac:dyDescent="0.25">
      <c r="A67" s="2">
        <v>158</v>
      </c>
      <c r="B67" s="2" t="s">
        <v>459</v>
      </c>
      <c r="C67" s="3" t="s">
        <v>460</v>
      </c>
      <c r="D67" s="3" t="s">
        <v>105</v>
      </c>
      <c r="E67" s="3" t="s">
        <v>1289</v>
      </c>
      <c r="F67" s="3" t="s">
        <v>1300</v>
      </c>
      <c r="G67" s="3" t="s">
        <v>1317</v>
      </c>
      <c r="H67" s="7" t="s">
        <v>1291</v>
      </c>
    </row>
    <row r="68" spans="1:8" ht="51" x14ac:dyDescent="0.25">
      <c r="A68" s="2">
        <v>157</v>
      </c>
      <c r="B68" s="2" t="s">
        <v>457</v>
      </c>
      <c r="C68" s="3" t="s">
        <v>458</v>
      </c>
      <c r="D68" s="3" t="s">
        <v>99</v>
      </c>
      <c r="E68" s="3" t="s">
        <v>1289</v>
      </c>
      <c r="F68" s="3" t="s">
        <v>1308</v>
      </c>
      <c r="G68" s="3" t="s">
        <v>1290</v>
      </c>
      <c r="H68" s="6" t="s">
        <v>1294</v>
      </c>
    </row>
    <row r="69" spans="1:8" ht="38.25" x14ac:dyDescent="0.25">
      <c r="A69" s="2">
        <v>156</v>
      </c>
      <c r="B69" s="2" t="s">
        <v>455</v>
      </c>
      <c r="C69" s="3" t="s">
        <v>456</v>
      </c>
      <c r="D69" s="3" t="s">
        <v>24</v>
      </c>
      <c r="E69" s="3" t="s">
        <v>1305</v>
      </c>
      <c r="F69" s="3" t="s">
        <v>1289</v>
      </c>
      <c r="G69" s="3" t="s">
        <v>1299</v>
      </c>
      <c r="H69" s="6" t="s">
        <v>1294</v>
      </c>
    </row>
    <row r="70" spans="1:8" ht="51" x14ac:dyDescent="0.25">
      <c r="A70" s="2">
        <v>155</v>
      </c>
      <c r="B70" s="2" t="s">
        <v>453</v>
      </c>
      <c r="C70" s="3" t="s">
        <v>454</v>
      </c>
      <c r="D70" s="3" t="s">
        <v>67</v>
      </c>
      <c r="E70" s="3" t="s">
        <v>1302</v>
      </c>
      <c r="F70" s="3" t="s">
        <v>1292</v>
      </c>
      <c r="G70" s="3" t="s">
        <v>1313</v>
      </c>
      <c r="H70" s="6" t="s">
        <v>1294</v>
      </c>
    </row>
    <row r="71" spans="1:8" ht="51" x14ac:dyDescent="0.25">
      <c r="A71" s="2">
        <v>154</v>
      </c>
      <c r="B71" s="2" t="s">
        <v>451</v>
      </c>
      <c r="C71" s="3" t="s">
        <v>452</v>
      </c>
      <c r="D71" s="3" t="s">
        <v>21</v>
      </c>
      <c r="E71" s="3" t="s">
        <v>1305</v>
      </c>
      <c r="F71" s="3" t="s">
        <v>1302</v>
      </c>
      <c r="G71" s="3" t="s">
        <v>1290</v>
      </c>
      <c r="H71" s="7" t="s">
        <v>1291</v>
      </c>
    </row>
    <row r="72" spans="1:8" ht="38.25" x14ac:dyDescent="0.25">
      <c r="A72" s="2">
        <v>153</v>
      </c>
      <c r="B72" s="2" t="s">
        <v>449</v>
      </c>
      <c r="C72" s="3" t="s">
        <v>450</v>
      </c>
      <c r="D72" s="3" t="s">
        <v>109</v>
      </c>
      <c r="E72" s="3" t="s">
        <v>1300</v>
      </c>
      <c r="F72" s="3" t="s">
        <v>1308</v>
      </c>
      <c r="G72" s="3" t="s">
        <v>1293</v>
      </c>
      <c r="H72" s="6" t="s">
        <v>1294</v>
      </c>
    </row>
    <row r="73" spans="1:8" ht="38.25" x14ac:dyDescent="0.25">
      <c r="A73" s="2">
        <v>152</v>
      </c>
      <c r="B73" s="2" t="s">
        <v>447</v>
      </c>
      <c r="C73" s="3" t="s">
        <v>448</v>
      </c>
      <c r="D73" s="3" t="s">
        <v>81</v>
      </c>
      <c r="E73" s="3" t="s">
        <v>1298</v>
      </c>
      <c r="F73" s="3" t="s">
        <v>1302</v>
      </c>
      <c r="G73" s="3" t="s">
        <v>1315</v>
      </c>
      <c r="H73" s="6" t="s">
        <v>1294</v>
      </c>
    </row>
    <row r="74" spans="1:8" ht="51" x14ac:dyDescent="0.25">
      <c r="A74" s="2">
        <v>151</v>
      </c>
      <c r="B74" s="2" t="s">
        <v>445</v>
      </c>
      <c r="C74" s="3" t="s">
        <v>446</v>
      </c>
      <c r="D74" s="3" t="s">
        <v>94</v>
      </c>
      <c r="E74" s="3" t="s">
        <v>1288</v>
      </c>
      <c r="F74" s="3" t="s">
        <v>1289</v>
      </c>
      <c r="G74" s="3" t="s">
        <v>1307</v>
      </c>
      <c r="H74" s="6" t="s">
        <v>1294</v>
      </c>
    </row>
    <row r="75" spans="1:8" ht="38.25" x14ac:dyDescent="0.25">
      <c r="A75" s="2">
        <v>150</v>
      </c>
      <c r="B75" s="2" t="s">
        <v>443</v>
      </c>
      <c r="C75" s="3" t="s">
        <v>444</v>
      </c>
      <c r="D75" s="3" t="s">
        <v>99</v>
      </c>
      <c r="E75" s="3" t="s">
        <v>1289</v>
      </c>
      <c r="F75" s="3" t="s">
        <v>1308</v>
      </c>
      <c r="G75" s="3" t="s">
        <v>1301</v>
      </c>
      <c r="H75" s="6" t="s">
        <v>1294</v>
      </c>
    </row>
    <row r="76" spans="1:8" ht="51" x14ac:dyDescent="0.25">
      <c r="A76" s="2">
        <v>149</v>
      </c>
      <c r="B76" s="2" t="s">
        <v>441</v>
      </c>
      <c r="C76" s="3" t="s">
        <v>442</v>
      </c>
      <c r="D76" s="3" t="s">
        <v>52</v>
      </c>
      <c r="E76" s="3" t="s">
        <v>1308</v>
      </c>
      <c r="F76" s="3" t="s">
        <v>1298</v>
      </c>
      <c r="G76" s="3" t="s">
        <v>1309</v>
      </c>
      <c r="H76" s="7" t="s">
        <v>1291</v>
      </c>
    </row>
    <row r="77" spans="1:8" ht="51" x14ac:dyDescent="0.25">
      <c r="A77" s="2">
        <v>148</v>
      </c>
      <c r="B77" s="2" t="s">
        <v>439</v>
      </c>
      <c r="C77" s="3" t="s">
        <v>440</v>
      </c>
      <c r="D77" s="3" t="s">
        <v>39</v>
      </c>
      <c r="E77" s="3" t="s">
        <v>1297</v>
      </c>
      <c r="F77" s="3" t="s">
        <v>1308</v>
      </c>
      <c r="G77" s="3" t="s">
        <v>1307</v>
      </c>
      <c r="H77" s="6" t="s">
        <v>1294</v>
      </c>
    </row>
    <row r="78" spans="1:8" ht="51" x14ac:dyDescent="0.25">
      <c r="A78" s="2">
        <v>147</v>
      </c>
      <c r="B78" s="2" t="s">
        <v>437</v>
      </c>
      <c r="C78" s="3" t="s">
        <v>438</v>
      </c>
      <c r="D78" s="3" t="s">
        <v>69</v>
      </c>
      <c r="E78" s="3" t="s">
        <v>1302</v>
      </c>
      <c r="F78" s="3" t="s">
        <v>1308</v>
      </c>
      <c r="G78" s="3" t="s">
        <v>1290</v>
      </c>
      <c r="H78" s="6" t="s">
        <v>1294</v>
      </c>
    </row>
    <row r="79" spans="1:8" ht="38.25" x14ac:dyDescent="0.25">
      <c r="A79" s="2">
        <v>146</v>
      </c>
      <c r="B79" s="2" t="s">
        <v>435</v>
      </c>
      <c r="C79" s="3" t="s">
        <v>436</v>
      </c>
      <c r="D79" s="3" t="s">
        <v>58</v>
      </c>
      <c r="E79" s="3" t="s">
        <v>1295</v>
      </c>
      <c r="F79" s="3" t="s">
        <v>1297</v>
      </c>
      <c r="G79" s="3" t="s">
        <v>1311</v>
      </c>
      <c r="H79" s="7" t="s">
        <v>1291</v>
      </c>
    </row>
    <row r="80" spans="1:8" ht="38.25" x14ac:dyDescent="0.25">
      <c r="A80" s="2">
        <v>145</v>
      </c>
      <c r="B80" s="2" t="s">
        <v>433</v>
      </c>
      <c r="C80" s="3" t="s">
        <v>434</v>
      </c>
      <c r="D80" s="3" t="s">
        <v>59</v>
      </c>
      <c r="E80" s="3" t="s">
        <v>1295</v>
      </c>
      <c r="F80" s="3" t="s">
        <v>1308</v>
      </c>
      <c r="G80" s="3" t="s">
        <v>1315</v>
      </c>
      <c r="H80" s="7" t="s">
        <v>1291</v>
      </c>
    </row>
    <row r="81" spans="1:8" ht="51" x14ac:dyDescent="0.25">
      <c r="A81" s="2">
        <v>144</v>
      </c>
      <c r="B81" s="2" t="s">
        <v>431</v>
      </c>
      <c r="C81" s="3" t="s">
        <v>432</v>
      </c>
      <c r="D81" s="3" t="s">
        <v>70</v>
      </c>
      <c r="E81" s="3" t="s">
        <v>1302</v>
      </c>
      <c r="F81" s="3" t="s">
        <v>1295</v>
      </c>
      <c r="G81" s="3" t="s">
        <v>1321</v>
      </c>
      <c r="H81" s="6" t="s">
        <v>1294</v>
      </c>
    </row>
    <row r="82" spans="1:8" ht="38.25" x14ac:dyDescent="0.25">
      <c r="A82" s="2">
        <v>143</v>
      </c>
      <c r="B82" s="2" t="s">
        <v>429</v>
      </c>
      <c r="C82" s="3" t="s">
        <v>430</v>
      </c>
      <c r="D82" s="3" t="s">
        <v>66</v>
      </c>
      <c r="E82" s="3" t="s">
        <v>1302</v>
      </c>
      <c r="F82" s="3" t="s">
        <v>1305</v>
      </c>
      <c r="G82" s="3" t="s">
        <v>1301</v>
      </c>
      <c r="H82" s="6" t="s">
        <v>1294</v>
      </c>
    </row>
    <row r="83" spans="1:8" ht="51" x14ac:dyDescent="0.25">
      <c r="A83" s="2">
        <v>142</v>
      </c>
      <c r="B83" s="2" t="s">
        <v>427</v>
      </c>
      <c r="C83" s="3" t="s">
        <v>428</v>
      </c>
      <c r="D83" s="3" t="s">
        <v>29</v>
      </c>
      <c r="E83" s="3" t="s">
        <v>1292</v>
      </c>
      <c r="F83" s="3" t="s">
        <v>1308</v>
      </c>
      <c r="G83" s="3" t="s">
        <v>1321</v>
      </c>
      <c r="H83" s="6" t="s">
        <v>1294</v>
      </c>
    </row>
    <row r="84" spans="1:8" ht="51" x14ac:dyDescent="0.25">
      <c r="A84" s="2">
        <v>141</v>
      </c>
      <c r="B84" s="2" t="s">
        <v>425</v>
      </c>
      <c r="C84" s="3" t="s">
        <v>426</v>
      </c>
      <c r="D84" s="3" t="s">
        <v>27</v>
      </c>
      <c r="E84" s="3" t="s">
        <v>1292</v>
      </c>
      <c r="F84" s="3" t="s">
        <v>1292</v>
      </c>
      <c r="G84" s="3" t="s">
        <v>1317</v>
      </c>
      <c r="H84" s="7" t="s">
        <v>1291</v>
      </c>
    </row>
    <row r="85" spans="1:8" ht="38.25" x14ac:dyDescent="0.25">
      <c r="A85" s="2">
        <v>140</v>
      </c>
      <c r="B85" s="2" t="s">
        <v>423</v>
      </c>
      <c r="C85" s="3" t="s">
        <v>424</v>
      </c>
      <c r="D85" s="3" t="s">
        <v>97</v>
      </c>
      <c r="E85" s="3" t="s">
        <v>1289</v>
      </c>
      <c r="F85" s="3" t="s">
        <v>1292</v>
      </c>
      <c r="G85" s="3" t="s">
        <v>1296</v>
      </c>
      <c r="H85" s="6" t="s">
        <v>1294</v>
      </c>
    </row>
    <row r="86" spans="1:8" ht="51" x14ac:dyDescent="0.25">
      <c r="A86" s="2">
        <v>139</v>
      </c>
      <c r="B86" s="2" t="s">
        <v>421</v>
      </c>
      <c r="C86" s="3" t="s">
        <v>422</v>
      </c>
      <c r="D86" s="3" t="s">
        <v>20</v>
      </c>
      <c r="E86" s="3" t="s">
        <v>1305</v>
      </c>
      <c r="F86" s="3" t="s">
        <v>1295</v>
      </c>
      <c r="G86" s="3" t="s">
        <v>1313</v>
      </c>
      <c r="H86" s="7" t="s">
        <v>1291</v>
      </c>
    </row>
    <row r="87" spans="1:8" ht="51" x14ac:dyDescent="0.25">
      <c r="A87" s="2">
        <v>138</v>
      </c>
      <c r="B87" s="2" t="s">
        <v>419</v>
      </c>
      <c r="C87" s="3" t="s">
        <v>420</v>
      </c>
      <c r="D87" s="3" t="s">
        <v>37</v>
      </c>
      <c r="E87" s="3" t="s">
        <v>1297</v>
      </c>
      <c r="F87" s="3" t="s">
        <v>1292</v>
      </c>
      <c r="G87" s="3" t="s">
        <v>1306</v>
      </c>
      <c r="H87" s="7" t="s">
        <v>1291</v>
      </c>
    </row>
    <row r="88" spans="1:8" ht="38.25" x14ac:dyDescent="0.25">
      <c r="A88" s="2">
        <v>137</v>
      </c>
      <c r="B88" s="2" t="s">
        <v>417</v>
      </c>
      <c r="C88" s="3" t="s">
        <v>418</v>
      </c>
      <c r="D88" s="3" t="s">
        <v>55</v>
      </c>
      <c r="E88" s="3" t="s">
        <v>1308</v>
      </c>
      <c r="F88" s="3" t="s">
        <v>1300</v>
      </c>
      <c r="G88" s="3" t="s">
        <v>1299</v>
      </c>
      <c r="H88" s="6" t="s">
        <v>1294</v>
      </c>
    </row>
    <row r="89" spans="1:8" ht="51" x14ac:dyDescent="0.25">
      <c r="A89" s="2">
        <v>136</v>
      </c>
      <c r="B89" s="2" t="s">
        <v>415</v>
      </c>
      <c r="C89" s="3" t="s">
        <v>416</v>
      </c>
      <c r="D89" s="3" t="s">
        <v>101</v>
      </c>
      <c r="E89" s="3" t="s">
        <v>1289</v>
      </c>
      <c r="F89" s="3" t="s">
        <v>1302</v>
      </c>
      <c r="G89" s="3" t="s">
        <v>1307</v>
      </c>
      <c r="H89" s="7" t="s">
        <v>1291</v>
      </c>
    </row>
    <row r="90" spans="1:8" ht="38.25" x14ac:dyDescent="0.25">
      <c r="A90" s="2">
        <v>135</v>
      </c>
      <c r="B90" s="2" t="s">
        <v>413</v>
      </c>
      <c r="C90" s="3" t="s">
        <v>414</v>
      </c>
      <c r="D90" s="3" t="s">
        <v>84</v>
      </c>
      <c r="E90" s="3" t="s">
        <v>1298</v>
      </c>
      <c r="F90" s="3" t="s">
        <v>1289</v>
      </c>
      <c r="G90" s="3" t="s">
        <v>1318</v>
      </c>
      <c r="H90" s="7" t="s">
        <v>1291</v>
      </c>
    </row>
    <row r="91" spans="1:8" ht="38.25" x14ac:dyDescent="0.25">
      <c r="A91" s="2">
        <v>134</v>
      </c>
      <c r="B91" s="2" t="s">
        <v>411</v>
      </c>
      <c r="C91" s="3" t="s">
        <v>412</v>
      </c>
      <c r="D91" s="3" t="s">
        <v>70</v>
      </c>
      <c r="E91" s="3" t="s">
        <v>1302</v>
      </c>
      <c r="F91" s="3" t="s">
        <v>1295</v>
      </c>
      <c r="G91" s="3" t="s">
        <v>1315</v>
      </c>
      <c r="H91" s="6" t="s">
        <v>1294</v>
      </c>
    </row>
    <row r="92" spans="1:8" ht="38.25" x14ac:dyDescent="0.25">
      <c r="A92" s="2">
        <v>133</v>
      </c>
      <c r="B92" s="2" t="s">
        <v>409</v>
      </c>
      <c r="C92" s="3" t="s">
        <v>410</v>
      </c>
      <c r="D92" s="3" t="s">
        <v>77</v>
      </c>
      <c r="E92" s="3" t="s">
        <v>1298</v>
      </c>
      <c r="F92" s="3" t="s">
        <v>1292</v>
      </c>
      <c r="G92" s="3" t="s">
        <v>1299</v>
      </c>
      <c r="H92" s="6" t="s">
        <v>1294</v>
      </c>
    </row>
    <row r="93" spans="1:8" ht="51" x14ac:dyDescent="0.25">
      <c r="A93" s="2">
        <v>132</v>
      </c>
      <c r="B93" s="2" t="s">
        <v>407</v>
      </c>
      <c r="C93" s="3" t="s">
        <v>408</v>
      </c>
      <c r="D93" s="3" t="s">
        <v>100</v>
      </c>
      <c r="E93" s="3" t="s">
        <v>1289</v>
      </c>
      <c r="F93" s="3" t="s">
        <v>1295</v>
      </c>
      <c r="G93" s="3" t="s">
        <v>1317</v>
      </c>
      <c r="H93" s="7" t="s">
        <v>1291</v>
      </c>
    </row>
    <row r="94" spans="1:8" ht="51" x14ac:dyDescent="0.25">
      <c r="A94" s="2">
        <v>131</v>
      </c>
      <c r="B94" s="2" t="s">
        <v>405</v>
      </c>
      <c r="C94" s="3" t="s">
        <v>406</v>
      </c>
      <c r="D94" s="3" t="s">
        <v>20</v>
      </c>
      <c r="E94" s="3" t="s">
        <v>1305</v>
      </c>
      <c r="F94" s="3" t="s">
        <v>1295</v>
      </c>
      <c r="G94" s="3" t="s">
        <v>1303</v>
      </c>
      <c r="H94" s="7" t="s">
        <v>1291</v>
      </c>
    </row>
    <row r="95" spans="1:8" ht="51" x14ac:dyDescent="0.25">
      <c r="A95" s="2">
        <v>130</v>
      </c>
      <c r="B95" s="2" t="s">
        <v>403</v>
      </c>
      <c r="C95" s="3" t="s">
        <v>404</v>
      </c>
      <c r="D95" s="3" t="s">
        <v>110</v>
      </c>
      <c r="E95" s="3" t="s">
        <v>1300</v>
      </c>
      <c r="F95" s="3" t="s">
        <v>1295</v>
      </c>
      <c r="G95" s="3" t="s">
        <v>1313</v>
      </c>
      <c r="H95" s="7" t="s">
        <v>1291</v>
      </c>
    </row>
    <row r="96" spans="1:8" ht="51" x14ac:dyDescent="0.25">
      <c r="A96" s="2">
        <v>129</v>
      </c>
      <c r="B96" s="2" t="s">
        <v>401</v>
      </c>
      <c r="C96" s="3" t="s">
        <v>402</v>
      </c>
      <c r="D96" s="3" t="s">
        <v>85</v>
      </c>
      <c r="E96" s="3" t="s">
        <v>1298</v>
      </c>
      <c r="F96" s="3" t="s">
        <v>1300</v>
      </c>
      <c r="G96" s="3" t="s">
        <v>1303</v>
      </c>
      <c r="H96" s="6" t="s">
        <v>1294</v>
      </c>
    </row>
    <row r="97" spans="1:8" ht="38.25" x14ac:dyDescent="0.25">
      <c r="A97" s="2">
        <v>128</v>
      </c>
      <c r="B97" s="2" t="s">
        <v>399</v>
      </c>
      <c r="C97" s="3" t="s">
        <v>400</v>
      </c>
      <c r="D97" s="3" t="s">
        <v>54</v>
      </c>
      <c r="E97" s="3" t="s">
        <v>1308</v>
      </c>
      <c r="F97" s="3" t="s">
        <v>1289</v>
      </c>
      <c r="G97" s="3" t="s">
        <v>1314</v>
      </c>
      <c r="H97" s="6" t="s">
        <v>1294</v>
      </c>
    </row>
    <row r="98" spans="1:8" ht="38.25" x14ac:dyDescent="0.25">
      <c r="A98" s="2">
        <v>127</v>
      </c>
      <c r="B98" s="2" t="s">
        <v>397</v>
      </c>
      <c r="C98" s="3" t="s">
        <v>398</v>
      </c>
      <c r="D98" s="3" t="s">
        <v>49</v>
      </c>
      <c r="E98" s="3" t="s">
        <v>1308</v>
      </c>
      <c r="F98" s="3" t="s">
        <v>1308</v>
      </c>
      <c r="G98" s="3" t="s">
        <v>1318</v>
      </c>
      <c r="H98" s="6" t="s">
        <v>1294</v>
      </c>
    </row>
    <row r="99" spans="1:8" ht="38.25" x14ac:dyDescent="0.25">
      <c r="A99" s="2">
        <v>126</v>
      </c>
      <c r="B99" s="2" t="s">
        <v>395</v>
      </c>
      <c r="C99" s="3" t="s">
        <v>396</v>
      </c>
      <c r="D99" s="3" t="s">
        <v>33</v>
      </c>
      <c r="E99" s="3" t="s">
        <v>1292</v>
      </c>
      <c r="F99" s="3" t="s">
        <v>1288</v>
      </c>
      <c r="G99" s="3" t="s">
        <v>1296</v>
      </c>
      <c r="H99" s="7" t="s">
        <v>1291</v>
      </c>
    </row>
    <row r="100" spans="1:8" ht="38.25" x14ac:dyDescent="0.25">
      <c r="A100" s="2">
        <v>125</v>
      </c>
      <c r="B100" s="2" t="s">
        <v>393</v>
      </c>
      <c r="C100" s="3" t="s">
        <v>394</v>
      </c>
      <c r="D100" s="3" t="s">
        <v>39</v>
      </c>
      <c r="E100" s="3" t="s">
        <v>1297</v>
      </c>
      <c r="F100" s="3" t="s">
        <v>1308</v>
      </c>
      <c r="G100" s="3" t="s">
        <v>1314</v>
      </c>
      <c r="H100" s="7" t="s">
        <v>1291</v>
      </c>
    </row>
    <row r="101" spans="1:8" ht="51" x14ac:dyDescent="0.25">
      <c r="A101" s="2">
        <v>124</v>
      </c>
      <c r="B101" s="2" t="s">
        <v>391</v>
      </c>
      <c r="C101" s="3" t="s">
        <v>392</v>
      </c>
      <c r="D101" s="3" t="s">
        <v>108</v>
      </c>
      <c r="E101" s="3" t="s">
        <v>1300</v>
      </c>
      <c r="F101" s="3" t="s">
        <v>1297</v>
      </c>
      <c r="G101" s="3" t="s">
        <v>1307</v>
      </c>
      <c r="H101" s="7" t="s">
        <v>1291</v>
      </c>
    </row>
    <row r="102" spans="1:8" ht="38.25" x14ac:dyDescent="0.25">
      <c r="A102" s="2">
        <v>123</v>
      </c>
      <c r="B102" s="2" t="s">
        <v>389</v>
      </c>
      <c r="C102" s="3" t="s">
        <v>390</v>
      </c>
      <c r="D102" s="3" t="s">
        <v>63</v>
      </c>
      <c r="E102" s="3" t="s">
        <v>1295</v>
      </c>
      <c r="F102" s="3" t="s">
        <v>1288</v>
      </c>
      <c r="G102" s="3" t="s">
        <v>1299</v>
      </c>
      <c r="H102" s="7" t="s">
        <v>1291</v>
      </c>
    </row>
    <row r="103" spans="1:8" ht="51" x14ac:dyDescent="0.25">
      <c r="A103" s="2">
        <v>122</v>
      </c>
      <c r="B103" s="2" t="s">
        <v>387</v>
      </c>
      <c r="C103" s="3" t="s">
        <v>388</v>
      </c>
      <c r="D103" s="3" t="s">
        <v>56</v>
      </c>
      <c r="E103" s="3" t="s">
        <v>1295</v>
      </c>
      <c r="F103" s="3" t="s">
        <v>1305</v>
      </c>
      <c r="G103" s="3" t="s">
        <v>1309</v>
      </c>
      <c r="H103" s="7" t="s">
        <v>1291</v>
      </c>
    </row>
    <row r="104" spans="1:8" ht="51" x14ac:dyDescent="0.25">
      <c r="A104" s="2">
        <v>121</v>
      </c>
      <c r="B104" s="2" t="s">
        <v>385</v>
      </c>
      <c r="C104" s="3" t="s">
        <v>386</v>
      </c>
      <c r="D104" s="3" t="s">
        <v>57</v>
      </c>
      <c r="E104" s="3" t="s">
        <v>1295</v>
      </c>
      <c r="F104" s="3" t="s">
        <v>1292</v>
      </c>
      <c r="G104" s="3" t="s">
        <v>1304</v>
      </c>
      <c r="H104" s="7" t="s">
        <v>1291</v>
      </c>
    </row>
    <row r="105" spans="1:8" ht="51" x14ac:dyDescent="0.25">
      <c r="A105" s="2">
        <v>120</v>
      </c>
      <c r="B105" s="2" t="s">
        <v>383</v>
      </c>
      <c r="C105" s="3" t="s">
        <v>384</v>
      </c>
      <c r="D105" s="3" t="s">
        <v>28</v>
      </c>
      <c r="E105" s="3" t="s">
        <v>1292</v>
      </c>
      <c r="F105" s="3" t="s">
        <v>1297</v>
      </c>
      <c r="G105" s="3" t="s">
        <v>1309</v>
      </c>
      <c r="H105" s="6" t="s">
        <v>1294</v>
      </c>
    </row>
    <row r="106" spans="1:8" ht="38.25" x14ac:dyDescent="0.25">
      <c r="A106" s="2">
        <v>119</v>
      </c>
      <c r="B106" s="2" t="s">
        <v>381</v>
      </c>
      <c r="C106" s="3" t="s">
        <v>382</v>
      </c>
      <c r="D106" s="3" t="s">
        <v>67</v>
      </c>
      <c r="E106" s="3" t="s">
        <v>1302</v>
      </c>
      <c r="F106" s="3" t="s">
        <v>1292</v>
      </c>
      <c r="G106" s="3" t="s">
        <v>1299</v>
      </c>
      <c r="H106" s="7" t="s">
        <v>1291</v>
      </c>
    </row>
    <row r="107" spans="1:8" ht="38.25" x14ac:dyDescent="0.25">
      <c r="A107" s="2">
        <v>118</v>
      </c>
      <c r="B107" s="2" t="s">
        <v>379</v>
      </c>
      <c r="C107" s="3" t="s">
        <v>380</v>
      </c>
      <c r="D107" s="3" t="s">
        <v>80</v>
      </c>
      <c r="E107" s="3" t="s">
        <v>1298</v>
      </c>
      <c r="F107" s="3" t="s">
        <v>1295</v>
      </c>
      <c r="G107" s="3" t="s">
        <v>1293</v>
      </c>
      <c r="H107" s="7" t="s">
        <v>1291</v>
      </c>
    </row>
    <row r="108" spans="1:8" ht="38.25" x14ac:dyDescent="0.25">
      <c r="A108" s="2">
        <v>117</v>
      </c>
      <c r="B108" s="2" t="s">
        <v>377</v>
      </c>
      <c r="C108" s="3" t="s">
        <v>378</v>
      </c>
      <c r="D108" s="3" t="s">
        <v>48</v>
      </c>
      <c r="E108" s="3" t="s">
        <v>1308</v>
      </c>
      <c r="F108" s="3" t="s">
        <v>1297</v>
      </c>
      <c r="G108" s="3" t="s">
        <v>1320</v>
      </c>
      <c r="H108" s="6" t="s">
        <v>1294</v>
      </c>
    </row>
    <row r="109" spans="1:8" ht="51" x14ac:dyDescent="0.25">
      <c r="A109" s="2">
        <v>116</v>
      </c>
      <c r="B109" s="2" t="s">
        <v>375</v>
      </c>
      <c r="C109" s="3" t="s">
        <v>376</v>
      </c>
      <c r="D109" s="3" t="s">
        <v>53</v>
      </c>
      <c r="E109" s="3" t="s">
        <v>1308</v>
      </c>
      <c r="F109" s="3" t="s">
        <v>1288</v>
      </c>
      <c r="G109" s="3" t="s">
        <v>1306</v>
      </c>
      <c r="H109" s="7" t="s">
        <v>1291</v>
      </c>
    </row>
    <row r="110" spans="1:8" ht="38.25" x14ac:dyDescent="0.25">
      <c r="A110" s="2">
        <v>115</v>
      </c>
      <c r="B110" s="2" t="s">
        <v>373</v>
      </c>
      <c r="C110" s="3" t="s">
        <v>374</v>
      </c>
      <c r="D110" s="3" t="s">
        <v>91</v>
      </c>
      <c r="E110" s="3" t="s">
        <v>1288</v>
      </c>
      <c r="F110" s="3" t="s">
        <v>1302</v>
      </c>
      <c r="G110" s="3" t="s">
        <v>1314</v>
      </c>
      <c r="H110" s="6" t="s">
        <v>1294</v>
      </c>
    </row>
    <row r="111" spans="1:8" ht="38.25" x14ac:dyDescent="0.25">
      <c r="A111" s="2">
        <v>114</v>
      </c>
      <c r="B111" s="2" t="s">
        <v>371</v>
      </c>
      <c r="C111" s="3" t="s">
        <v>372</v>
      </c>
      <c r="D111" s="3" t="s">
        <v>85</v>
      </c>
      <c r="E111" s="3" t="s">
        <v>1298</v>
      </c>
      <c r="F111" s="3" t="s">
        <v>1300</v>
      </c>
      <c r="G111" s="3" t="s">
        <v>1314</v>
      </c>
      <c r="H111" s="7" t="s">
        <v>1291</v>
      </c>
    </row>
    <row r="112" spans="1:8" ht="38.25" x14ac:dyDescent="0.25">
      <c r="A112" s="2">
        <v>113</v>
      </c>
      <c r="B112" s="2" t="s">
        <v>369</v>
      </c>
      <c r="C112" s="3" t="s">
        <v>370</v>
      </c>
      <c r="D112" s="3" t="s">
        <v>70</v>
      </c>
      <c r="E112" s="3" t="s">
        <v>1302</v>
      </c>
      <c r="F112" s="3" t="s">
        <v>1295</v>
      </c>
      <c r="G112" s="3" t="s">
        <v>1312</v>
      </c>
      <c r="H112" s="6" t="s">
        <v>1294</v>
      </c>
    </row>
    <row r="113" spans="1:8" ht="51" x14ac:dyDescent="0.25">
      <c r="A113" s="2">
        <v>112</v>
      </c>
      <c r="B113" s="2" t="s">
        <v>367</v>
      </c>
      <c r="C113" s="3" t="s">
        <v>368</v>
      </c>
      <c r="D113" s="3" t="s">
        <v>75</v>
      </c>
      <c r="E113" s="3" t="s">
        <v>1302</v>
      </c>
      <c r="F113" s="3" t="s">
        <v>1300</v>
      </c>
      <c r="G113" s="3" t="s">
        <v>1304</v>
      </c>
      <c r="H113" s="7" t="s">
        <v>1291</v>
      </c>
    </row>
    <row r="114" spans="1:8" ht="51" x14ac:dyDescent="0.25">
      <c r="A114" s="2">
        <v>111</v>
      </c>
      <c r="B114" s="2" t="s">
        <v>365</v>
      </c>
      <c r="C114" s="3" t="s">
        <v>366</v>
      </c>
      <c r="D114" s="3" t="s">
        <v>44</v>
      </c>
      <c r="E114" s="3" t="s">
        <v>1297</v>
      </c>
      <c r="F114" s="3" t="s">
        <v>1289</v>
      </c>
      <c r="G114" s="3" t="s">
        <v>1313</v>
      </c>
      <c r="H114" s="6" t="s">
        <v>1294</v>
      </c>
    </row>
    <row r="115" spans="1:8" ht="38.25" x14ac:dyDescent="0.25">
      <c r="A115" s="2">
        <v>110</v>
      </c>
      <c r="B115" s="2" t="s">
        <v>363</v>
      </c>
      <c r="C115" s="3" t="s">
        <v>364</v>
      </c>
      <c r="D115" s="3" t="s">
        <v>33</v>
      </c>
      <c r="E115" s="3" t="s">
        <v>1292</v>
      </c>
      <c r="F115" s="3" t="s">
        <v>1288</v>
      </c>
      <c r="G115" s="3" t="s">
        <v>1312</v>
      </c>
      <c r="H115" s="6" t="s">
        <v>1294</v>
      </c>
    </row>
    <row r="116" spans="1:8" ht="38.25" x14ac:dyDescent="0.25">
      <c r="A116" s="2">
        <v>109</v>
      </c>
      <c r="B116" s="2" t="s">
        <v>361</v>
      </c>
      <c r="C116" s="3" t="s">
        <v>362</v>
      </c>
      <c r="D116" s="3" t="s">
        <v>92</v>
      </c>
      <c r="E116" s="3" t="s">
        <v>1288</v>
      </c>
      <c r="F116" s="3" t="s">
        <v>1298</v>
      </c>
      <c r="G116" s="3" t="s">
        <v>1318</v>
      </c>
      <c r="H116" s="7" t="s">
        <v>1291</v>
      </c>
    </row>
    <row r="117" spans="1:8" ht="51" x14ac:dyDescent="0.25">
      <c r="A117" s="2">
        <v>108</v>
      </c>
      <c r="B117" s="2" t="s">
        <v>359</v>
      </c>
      <c r="C117" s="3" t="s">
        <v>360</v>
      </c>
      <c r="D117" s="3" t="s">
        <v>55</v>
      </c>
      <c r="E117" s="3" t="s">
        <v>1308</v>
      </c>
      <c r="F117" s="3" t="s">
        <v>1300</v>
      </c>
      <c r="G117" s="3" t="s">
        <v>1290</v>
      </c>
      <c r="H117" s="7" t="s">
        <v>1291</v>
      </c>
    </row>
    <row r="118" spans="1:8" x14ac:dyDescent="0.25">
      <c r="A118" s="2">
        <v>107</v>
      </c>
      <c r="B118" s="2" t="s">
        <v>357</v>
      </c>
      <c r="C118" s="3" t="s">
        <v>358</v>
      </c>
      <c r="D118" s="3" t="s">
        <v>64</v>
      </c>
      <c r="E118" s="3" t="s">
        <v>1295</v>
      </c>
      <c r="F118" s="3" t="s">
        <v>1289</v>
      </c>
      <c r="G118" s="3" t="s">
        <v>1322</v>
      </c>
      <c r="H118" s="6" t="s">
        <v>1294</v>
      </c>
    </row>
    <row r="119" spans="1:8" ht="38.25" x14ac:dyDescent="0.25">
      <c r="A119" s="2">
        <v>106</v>
      </c>
      <c r="B119" s="2" t="s">
        <v>355</v>
      </c>
      <c r="C119" s="3" t="s">
        <v>356</v>
      </c>
      <c r="D119" s="3" t="s">
        <v>92</v>
      </c>
      <c r="E119" s="3" t="s">
        <v>1288</v>
      </c>
      <c r="F119" s="3" t="s">
        <v>1298</v>
      </c>
      <c r="G119" s="3" t="s">
        <v>1320</v>
      </c>
      <c r="H119" s="6" t="s">
        <v>1294</v>
      </c>
    </row>
    <row r="120" spans="1:8" ht="38.25" x14ac:dyDescent="0.25">
      <c r="A120" s="2">
        <v>105</v>
      </c>
      <c r="B120" s="2" t="s">
        <v>353</v>
      </c>
      <c r="C120" s="3" t="s">
        <v>354</v>
      </c>
      <c r="D120" s="3" t="s">
        <v>113</v>
      </c>
      <c r="E120" s="3" t="s">
        <v>1300</v>
      </c>
      <c r="F120" s="3" t="s">
        <v>1288</v>
      </c>
      <c r="G120" s="3" t="s">
        <v>1293</v>
      </c>
      <c r="H120" s="6" t="s">
        <v>1294</v>
      </c>
    </row>
    <row r="121" spans="1:8" ht="38.25" x14ac:dyDescent="0.25">
      <c r="A121" s="2">
        <v>104</v>
      </c>
      <c r="B121" s="2" t="s">
        <v>351</v>
      </c>
      <c r="C121" s="3" t="s">
        <v>352</v>
      </c>
      <c r="D121" s="3" t="s">
        <v>41</v>
      </c>
      <c r="E121" s="3" t="s">
        <v>1297</v>
      </c>
      <c r="F121" s="3" t="s">
        <v>1302</v>
      </c>
      <c r="G121" s="3" t="s">
        <v>1299</v>
      </c>
      <c r="H121" s="6" t="s">
        <v>1294</v>
      </c>
    </row>
    <row r="122" spans="1:8" ht="38.25" x14ac:dyDescent="0.25">
      <c r="A122" s="2">
        <v>103</v>
      </c>
      <c r="B122" s="2" t="s">
        <v>349</v>
      </c>
      <c r="C122" s="3" t="s">
        <v>350</v>
      </c>
      <c r="D122" s="3" t="s">
        <v>59</v>
      </c>
      <c r="E122" s="3" t="s">
        <v>1295</v>
      </c>
      <c r="F122" s="3" t="s">
        <v>1308</v>
      </c>
      <c r="G122" s="3" t="s">
        <v>1318</v>
      </c>
      <c r="H122" s="6" t="s">
        <v>1294</v>
      </c>
    </row>
    <row r="123" spans="1:8" ht="51" x14ac:dyDescent="0.25">
      <c r="A123" s="2">
        <v>102</v>
      </c>
      <c r="B123" s="2" t="s">
        <v>347</v>
      </c>
      <c r="C123" s="3" t="s">
        <v>348</v>
      </c>
      <c r="D123" s="3" t="s">
        <v>71</v>
      </c>
      <c r="E123" s="3" t="s">
        <v>1302</v>
      </c>
      <c r="F123" s="3" t="s">
        <v>1302</v>
      </c>
      <c r="G123" s="3" t="s">
        <v>1309</v>
      </c>
      <c r="H123" s="7" t="s">
        <v>1291</v>
      </c>
    </row>
    <row r="124" spans="1:8" ht="38.25" x14ac:dyDescent="0.25">
      <c r="A124" s="2">
        <v>101</v>
      </c>
      <c r="B124" s="2" t="s">
        <v>345</v>
      </c>
      <c r="C124" s="3" t="s">
        <v>346</v>
      </c>
      <c r="D124" s="3" t="s">
        <v>51</v>
      </c>
      <c r="E124" s="3" t="s">
        <v>1308</v>
      </c>
      <c r="F124" s="3" t="s">
        <v>1302</v>
      </c>
      <c r="G124" s="3" t="s">
        <v>1299</v>
      </c>
      <c r="H124" s="6" t="s">
        <v>1294</v>
      </c>
    </row>
    <row r="125" spans="1:8" ht="51" x14ac:dyDescent="0.25">
      <c r="A125" s="2">
        <v>100</v>
      </c>
      <c r="B125" s="2" t="s">
        <v>343</v>
      </c>
      <c r="C125" s="3" t="s">
        <v>344</v>
      </c>
      <c r="D125" s="3" t="s">
        <v>30</v>
      </c>
      <c r="E125" s="3" t="s">
        <v>1292</v>
      </c>
      <c r="F125" s="3" t="s">
        <v>1295</v>
      </c>
      <c r="G125" s="3" t="s">
        <v>1313</v>
      </c>
      <c r="H125" s="6" t="s">
        <v>1294</v>
      </c>
    </row>
    <row r="126" spans="1:8" ht="51" x14ac:dyDescent="0.25">
      <c r="A126" s="2">
        <v>99</v>
      </c>
      <c r="B126" s="2" t="s">
        <v>341</v>
      </c>
      <c r="C126" s="3" t="s">
        <v>342</v>
      </c>
      <c r="D126" s="3" t="s">
        <v>79</v>
      </c>
      <c r="E126" s="3" t="s">
        <v>1298</v>
      </c>
      <c r="F126" s="3" t="s">
        <v>1308</v>
      </c>
      <c r="G126" s="3" t="s">
        <v>1321</v>
      </c>
      <c r="H126" s="6" t="s">
        <v>1294</v>
      </c>
    </row>
    <row r="127" spans="1:8" x14ac:dyDescent="0.25">
      <c r="A127" s="2">
        <v>98</v>
      </c>
      <c r="B127" s="2" t="s">
        <v>339</v>
      </c>
      <c r="C127" s="3" t="s">
        <v>340</v>
      </c>
      <c r="D127" s="3" t="s">
        <v>54</v>
      </c>
      <c r="E127" s="3" t="s">
        <v>1308</v>
      </c>
      <c r="F127" s="3" t="s">
        <v>1289</v>
      </c>
      <c r="G127" s="3" t="s">
        <v>1322</v>
      </c>
      <c r="H127" s="6" t="s">
        <v>1294</v>
      </c>
    </row>
    <row r="128" spans="1:8" ht="38.25" x14ac:dyDescent="0.25">
      <c r="A128" s="2">
        <v>97</v>
      </c>
      <c r="B128" s="2" t="s">
        <v>337</v>
      </c>
      <c r="C128" s="3" t="s">
        <v>338</v>
      </c>
      <c r="D128" s="3" t="s">
        <v>16</v>
      </c>
      <c r="E128" s="3" t="s">
        <v>1305</v>
      </c>
      <c r="F128" s="3" t="s">
        <v>1305</v>
      </c>
      <c r="G128" s="3" t="s">
        <v>1315</v>
      </c>
      <c r="H128" s="6" t="s">
        <v>1294</v>
      </c>
    </row>
    <row r="129" spans="1:8" ht="51" x14ac:dyDescent="0.25">
      <c r="A129" s="2">
        <v>96</v>
      </c>
      <c r="B129" s="2" t="s">
        <v>335</v>
      </c>
      <c r="C129" s="3" t="s">
        <v>336</v>
      </c>
      <c r="D129" s="3" t="s">
        <v>20</v>
      </c>
      <c r="E129" s="3" t="s">
        <v>1305</v>
      </c>
      <c r="F129" s="3" t="s">
        <v>1295</v>
      </c>
      <c r="G129" s="3" t="s">
        <v>1321</v>
      </c>
      <c r="H129" s="6" t="s">
        <v>1294</v>
      </c>
    </row>
    <row r="130" spans="1:8" ht="38.25" x14ac:dyDescent="0.25">
      <c r="A130" s="2">
        <v>95</v>
      </c>
      <c r="B130" s="2" t="s">
        <v>333</v>
      </c>
      <c r="C130" s="3" t="s">
        <v>334</v>
      </c>
      <c r="D130" s="3" t="s">
        <v>36</v>
      </c>
      <c r="E130" s="3" t="s">
        <v>1297</v>
      </c>
      <c r="F130" s="3" t="s">
        <v>1305</v>
      </c>
      <c r="G130" s="3" t="s">
        <v>1314</v>
      </c>
      <c r="H130" s="6" t="s">
        <v>1294</v>
      </c>
    </row>
    <row r="131" spans="1:8" ht="51" x14ac:dyDescent="0.25">
      <c r="A131" s="2">
        <v>94</v>
      </c>
      <c r="B131" s="2" t="s">
        <v>331</v>
      </c>
      <c r="C131" s="3" t="s">
        <v>332</v>
      </c>
      <c r="D131" s="3" t="s">
        <v>41</v>
      </c>
      <c r="E131" s="3" t="s">
        <v>1297</v>
      </c>
      <c r="F131" s="3" t="s">
        <v>1302</v>
      </c>
      <c r="G131" s="3" t="s">
        <v>1316</v>
      </c>
      <c r="H131" s="6" t="s">
        <v>1294</v>
      </c>
    </row>
    <row r="132" spans="1:8" ht="51" x14ac:dyDescent="0.25">
      <c r="A132" s="2">
        <v>93</v>
      </c>
      <c r="B132" s="2" t="s">
        <v>329</v>
      </c>
      <c r="C132" s="3" t="s">
        <v>330</v>
      </c>
      <c r="D132" s="3" t="s">
        <v>66</v>
      </c>
      <c r="E132" s="3" t="s">
        <v>1302</v>
      </c>
      <c r="F132" s="3" t="s">
        <v>1305</v>
      </c>
      <c r="G132" s="3" t="s">
        <v>1303</v>
      </c>
      <c r="H132" s="6" t="s">
        <v>1294</v>
      </c>
    </row>
    <row r="133" spans="1:8" ht="38.25" x14ac:dyDescent="0.25">
      <c r="A133" s="2">
        <v>92</v>
      </c>
      <c r="B133" s="2" t="s">
        <v>327</v>
      </c>
      <c r="C133" s="3" t="s">
        <v>328</v>
      </c>
      <c r="D133" s="3" t="s">
        <v>98</v>
      </c>
      <c r="E133" s="3" t="s">
        <v>1289</v>
      </c>
      <c r="F133" s="3" t="s">
        <v>1297</v>
      </c>
      <c r="G133" s="3" t="s">
        <v>1311</v>
      </c>
      <c r="H133" s="7" t="s">
        <v>1291</v>
      </c>
    </row>
    <row r="134" spans="1:8" ht="38.25" x14ac:dyDescent="0.25">
      <c r="A134" s="2">
        <v>91</v>
      </c>
      <c r="B134" s="2" t="s">
        <v>325</v>
      </c>
      <c r="C134" s="3" t="s">
        <v>326</v>
      </c>
      <c r="D134" s="3" t="s">
        <v>22</v>
      </c>
      <c r="E134" s="3" t="s">
        <v>1305</v>
      </c>
      <c r="F134" s="3" t="s">
        <v>1298</v>
      </c>
      <c r="G134" s="3" t="s">
        <v>1312</v>
      </c>
      <c r="H134" s="6" t="s">
        <v>1294</v>
      </c>
    </row>
    <row r="135" spans="1:8" ht="38.25" x14ac:dyDescent="0.25">
      <c r="A135" s="2">
        <v>90</v>
      </c>
      <c r="B135" s="2" t="s">
        <v>323</v>
      </c>
      <c r="C135" s="3" t="s">
        <v>324</v>
      </c>
      <c r="D135" s="3" t="s">
        <v>71</v>
      </c>
      <c r="E135" s="3" t="s">
        <v>1302</v>
      </c>
      <c r="F135" s="3" t="s">
        <v>1302</v>
      </c>
      <c r="G135" s="3" t="s">
        <v>1301</v>
      </c>
      <c r="H135" s="6" t="s">
        <v>1294</v>
      </c>
    </row>
    <row r="136" spans="1:8" ht="38.25" x14ac:dyDescent="0.25">
      <c r="A136" s="2">
        <v>89</v>
      </c>
      <c r="B136" s="2" t="s">
        <v>321</v>
      </c>
      <c r="C136" s="3" t="s">
        <v>322</v>
      </c>
      <c r="D136" s="3" t="s">
        <v>53</v>
      </c>
      <c r="E136" s="3" t="s">
        <v>1308</v>
      </c>
      <c r="F136" s="3" t="s">
        <v>1288</v>
      </c>
      <c r="G136" s="3" t="s">
        <v>1299</v>
      </c>
      <c r="H136" s="6" t="s">
        <v>1294</v>
      </c>
    </row>
    <row r="137" spans="1:8" ht="38.25" x14ac:dyDescent="0.25">
      <c r="A137" s="2">
        <v>88</v>
      </c>
      <c r="B137" s="2" t="s">
        <v>319</v>
      </c>
      <c r="C137" s="3" t="s">
        <v>320</v>
      </c>
      <c r="D137" s="3" t="s">
        <v>60</v>
      </c>
      <c r="E137" s="3" t="s">
        <v>1295</v>
      </c>
      <c r="F137" s="3" t="s">
        <v>1295</v>
      </c>
      <c r="G137" s="3" t="s">
        <v>1301</v>
      </c>
      <c r="H137" s="6" t="s">
        <v>1294</v>
      </c>
    </row>
    <row r="138" spans="1:8" ht="38.25" x14ac:dyDescent="0.25">
      <c r="A138" s="2">
        <v>87</v>
      </c>
      <c r="B138" s="2" t="s">
        <v>317</v>
      </c>
      <c r="C138" s="3" t="s">
        <v>318</v>
      </c>
      <c r="D138" s="3" t="s">
        <v>83</v>
      </c>
      <c r="E138" s="3" t="s">
        <v>1298</v>
      </c>
      <c r="F138" s="3" t="s">
        <v>1288</v>
      </c>
      <c r="G138" s="3" t="s">
        <v>1312</v>
      </c>
      <c r="H138" s="6" t="s">
        <v>1294</v>
      </c>
    </row>
    <row r="139" spans="1:8" ht="51" x14ac:dyDescent="0.25">
      <c r="A139" s="2">
        <v>86</v>
      </c>
      <c r="B139" s="2" t="s">
        <v>315</v>
      </c>
      <c r="C139" s="3" t="s">
        <v>316</v>
      </c>
      <c r="D139" s="3" t="s">
        <v>82</v>
      </c>
      <c r="E139" s="3" t="s">
        <v>1298</v>
      </c>
      <c r="F139" s="3" t="s">
        <v>1298</v>
      </c>
      <c r="G139" s="3" t="s">
        <v>1290</v>
      </c>
      <c r="H139" s="7" t="s">
        <v>1291</v>
      </c>
    </row>
    <row r="140" spans="1:8" x14ac:dyDescent="0.25">
      <c r="A140" s="2">
        <v>85</v>
      </c>
      <c r="B140" s="2" t="s">
        <v>313</v>
      </c>
      <c r="C140" s="3" t="s">
        <v>314</v>
      </c>
      <c r="D140" s="3" t="s">
        <v>107</v>
      </c>
      <c r="E140" s="3" t="s">
        <v>1300</v>
      </c>
      <c r="F140" s="3" t="s">
        <v>1292</v>
      </c>
      <c r="G140" s="3" t="s">
        <v>1310</v>
      </c>
      <c r="H140" s="6" t="s">
        <v>1294</v>
      </c>
    </row>
    <row r="141" spans="1:8" ht="38.25" x14ac:dyDescent="0.25">
      <c r="A141" s="2">
        <v>84</v>
      </c>
      <c r="B141" s="2" t="s">
        <v>311</v>
      </c>
      <c r="C141" s="3" t="s">
        <v>312</v>
      </c>
      <c r="D141" s="3" t="s">
        <v>80</v>
      </c>
      <c r="E141" s="3" t="s">
        <v>1298</v>
      </c>
      <c r="F141" s="3" t="s">
        <v>1295</v>
      </c>
      <c r="G141" s="3" t="s">
        <v>1299</v>
      </c>
      <c r="H141" s="6" t="s">
        <v>1294</v>
      </c>
    </row>
    <row r="142" spans="1:8" ht="51" x14ac:dyDescent="0.25">
      <c r="A142" s="2">
        <v>83</v>
      </c>
      <c r="B142" s="2" t="s">
        <v>309</v>
      </c>
      <c r="C142" s="3" t="s">
        <v>310</v>
      </c>
      <c r="D142" s="3" t="s">
        <v>104</v>
      </c>
      <c r="E142" s="3" t="s">
        <v>1289</v>
      </c>
      <c r="F142" s="3" t="s">
        <v>1289</v>
      </c>
      <c r="G142" s="3" t="s">
        <v>1313</v>
      </c>
      <c r="H142" s="6" t="s">
        <v>1294</v>
      </c>
    </row>
    <row r="143" spans="1:8" ht="51" x14ac:dyDescent="0.25">
      <c r="A143" s="2">
        <v>82</v>
      </c>
      <c r="B143" s="2" t="s">
        <v>307</v>
      </c>
      <c r="C143" s="3" t="s">
        <v>308</v>
      </c>
      <c r="D143" s="3" t="s">
        <v>38</v>
      </c>
      <c r="E143" s="3" t="s">
        <v>1297</v>
      </c>
      <c r="F143" s="3" t="s">
        <v>1297</v>
      </c>
      <c r="G143" s="3" t="s">
        <v>1317</v>
      </c>
      <c r="H143" s="7" t="s">
        <v>1291</v>
      </c>
    </row>
    <row r="144" spans="1:8" ht="51" x14ac:dyDescent="0.25">
      <c r="A144" s="2">
        <v>81</v>
      </c>
      <c r="B144" s="2" t="s">
        <v>305</v>
      </c>
      <c r="C144" s="3" t="s">
        <v>306</v>
      </c>
      <c r="D144" s="3" t="s">
        <v>48</v>
      </c>
      <c r="E144" s="3" t="s">
        <v>1308</v>
      </c>
      <c r="F144" s="3" t="s">
        <v>1297</v>
      </c>
      <c r="G144" s="3" t="s">
        <v>1290</v>
      </c>
      <c r="H144" s="7" t="s">
        <v>1291</v>
      </c>
    </row>
    <row r="145" spans="1:8" ht="38.25" x14ac:dyDescent="0.25">
      <c r="A145" s="2">
        <v>80</v>
      </c>
      <c r="B145" s="2" t="s">
        <v>303</v>
      </c>
      <c r="C145" s="3" t="s">
        <v>304</v>
      </c>
      <c r="D145" s="3" t="s">
        <v>109</v>
      </c>
      <c r="E145" s="3" t="s">
        <v>1300</v>
      </c>
      <c r="F145" s="3" t="s">
        <v>1308</v>
      </c>
      <c r="G145" s="3" t="s">
        <v>1311</v>
      </c>
      <c r="H145" s="6" t="s">
        <v>1294</v>
      </c>
    </row>
    <row r="146" spans="1:8" ht="51" x14ac:dyDescent="0.25">
      <c r="A146" s="2">
        <v>79</v>
      </c>
      <c r="B146" s="2" t="s">
        <v>301</v>
      </c>
      <c r="C146" s="3" t="s">
        <v>302</v>
      </c>
      <c r="D146" s="3" t="s">
        <v>104</v>
      </c>
      <c r="E146" s="3" t="s">
        <v>1289</v>
      </c>
      <c r="F146" s="3" t="s">
        <v>1289</v>
      </c>
      <c r="G146" s="3" t="s">
        <v>1321</v>
      </c>
      <c r="H146" s="7" t="s">
        <v>1291</v>
      </c>
    </row>
    <row r="147" spans="1:8" ht="51" x14ac:dyDescent="0.25">
      <c r="A147" s="2">
        <v>78</v>
      </c>
      <c r="B147" s="2" t="s">
        <v>299</v>
      </c>
      <c r="C147" s="3" t="s">
        <v>300</v>
      </c>
      <c r="D147" s="3" t="s">
        <v>45</v>
      </c>
      <c r="E147" s="3" t="s">
        <v>1297</v>
      </c>
      <c r="F147" s="3" t="s">
        <v>1300</v>
      </c>
      <c r="G147" s="3" t="s">
        <v>1307</v>
      </c>
      <c r="H147" s="7" t="s">
        <v>1291</v>
      </c>
    </row>
    <row r="148" spans="1:8" ht="51" x14ac:dyDescent="0.25">
      <c r="A148" s="2">
        <v>77</v>
      </c>
      <c r="B148" s="2" t="s">
        <v>297</v>
      </c>
      <c r="C148" s="3" t="s">
        <v>298</v>
      </c>
      <c r="D148" s="3" t="s">
        <v>30</v>
      </c>
      <c r="E148" s="3" t="s">
        <v>1292</v>
      </c>
      <c r="F148" s="3" t="s">
        <v>1295</v>
      </c>
      <c r="G148" s="3" t="s">
        <v>1307</v>
      </c>
      <c r="H148" s="6" t="s">
        <v>1294</v>
      </c>
    </row>
    <row r="149" spans="1:8" ht="51" x14ac:dyDescent="0.25">
      <c r="A149" s="2">
        <v>76</v>
      </c>
      <c r="B149" s="2" t="s">
        <v>295</v>
      </c>
      <c r="C149" s="3" t="s">
        <v>296</v>
      </c>
      <c r="D149" s="3" t="s">
        <v>62</v>
      </c>
      <c r="E149" s="3" t="s">
        <v>1295</v>
      </c>
      <c r="F149" s="3" t="s">
        <v>1298</v>
      </c>
      <c r="G149" s="3" t="s">
        <v>1307</v>
      </c>
      <c r="H149" s="6" t="s">
        <v>1294</v>
      </c>
    </row>
    <row r="150" spans="1:8" ht="38.25" x14ac:dyDescent="0.25">
      <c r="A150" s="2">
        <v>75</v>
      </c>
      <c r="B150" s="2" t="s">
        <v>293</v>
      </c>
      <c r="C150" s="3" t="s">
        <v>294</v>
      </c>
      <c r="D150" s="3" t="s">
        <v>110</v>
      </c>
      <c r="E150" s="3" t="s">
        <v>1300</v>
      </c>
      <c r="F150" s="3" t="s">
        <v>1295</v>
      </c>
      <c r="G150" s="3" t="s">
        <v>1315</v>
      </c>
      <c r="H150" s="7" t="s">
        <v>1291</v>
      </c>
    </row>
    <row r="151" spans="1:8" ht="38.25" x14ac:dyDescent="0.25">
      <c r="A151" s="2">
        <v>74</v>
      </c>
      <c r="B151" s="2" t="s">
        <v>291</v>
      </c>
      <c r="C151" s="3" t="s">
        <v>292</v>
      </c>
      <c r="D151" s="3" t="s">
        <v>40</v>
      </c>
      <c r="E151" s="3" t="s">
        <v>1297</v>
      </c>
      <c r="F151" s="3" t="s">
        <v>1295</v>
      </c>
      <c r="G151" s="3" t="s">
        <v>1320</v>
      </c>
      <c r="H151" s="7" t="s">
        <v>1291</v>
      </c>
    </row>
    <row r="152" spans="1:8" ht="38.25" x14ac:dyDescent="0.25">
      <c r="A152" s="2">
        <v>73</v>
      </c>
      <c r="B152" s="2" t="s">
        <v>289</v>
      </c>
      <c r="C152" s="3" t="s">
        <v>290</v>
      </c>
      <c r="D152" s="3" t="s">
        <v>111</v>
      </c>
      <c r="E152" s="3" t="s">
        <v>1300</v>
      </c>
      <c r="F152" s="3" t="s">
        <v>1302</v>
      </c>
      <c r="G152" s="3" t="s">
        <v>1315</v>
      </c>
      <c r="H152" s="6" t="s">
        <v>1294</v>
      </c>
    </row>
    <row r="153" spans="1:8" ht="38.25" x14ac:dyDescent="0.25">
      <c r="A153" s="2">
        <v>72</v>
      </c>
      <c r="B153" s="2" t="s">
        <v>287</v>
      </c>
      <c r="C153" s="3" t="s">
        <v>288</v>
      </c>
      <c r="D153" s="3" t="s">
        <v>103</v>
      </c>
      <c r="E153" s="3" t="s">
        <v>1289</v>
      </c>
      <c r="F153" s="3" t="s">
        <v>1288</v>
      </c>
      <c r="G153" s="3" t="s">
        <v>1301</v>
      </c>
      <c r="H153" s="6" t="s">
        <v>1294</v>
      </c>
    </row>
    <row r="154" spans="1:8" ht="51" x14ac:dyDescent="0.25">
      <c r="A154" s="2">
        <v>71</v>
      </c>
      <c r="B154" s="2" t="s">
        <v>285</v>
      </c>
      <c r="C154" s="3" t="s">
        <v>286</v>
      </c>
      <c r="D154" s="3" t="s">
        <v>85</v>
      </c>
      <c r="E154" s="3" t="s">
        <v>1298</v>
      </c>
      <c r="F154" s="3" t="s">
        <v>1300</v>
      </c>
      <c r="G154" s="3" t="s">
        <v>1321</v>
      </c>
      <c r="H154" s="7" t="s">
        <v>1291</v>
      </c>
    </row>
    <row r="155" spans="1:8" ht="51" x14ac:dyDescent="0.25">
      <c r="A155" s="2">
        <v>70</v>
      </c>
      <c r="B155" s="2" t="s">
        <v>283</v>
      </c>
      <c r="C155" s="3" t="s">
        <v>284</v>
      </c>
      <c r="D155" s="3" t="s">
        <v>68</v>
      </c>
      <c r="E155" s="3" t="s">
        <v>1302</v>
      </c>
      <c r="F155" s="3" t="s">
        <v>1297</v>
      </c>
      <c r="G155" s="3" t="s">
        <v>1317</v>
      </c>
      <c r="H155" s="7" t="s">
        <v>1291</v>
      </c>
    </row>
    <row r="156" spans="1:8" ht="51" x14ac:dyDescent="0.25">
      <c r="A156" s="2">
        <v>69</v>
      </c>
      <c r="B156" s="2" t="s">
        <v>281</v>
      </c>
      <c r="C156" s="3" t="s">
        <v>282</v>
      </c>
      <c r="D156" s="3" t="s">
        <v>86</v>
      </c>
      <c r="E156" s="3" t="s">
        <v>1288</v>
      </c>
      <c r="F156" s="3" t="s">
        <v>1305</v>
      </c>
      <c r="G156" s="3" t="s">
        <v>1321</v>
      </c>
      <c r="H156" s="7" t="s">
        <v>1291</v>
      </c>
    </row>
    <row r="157" spans="1:8" ht="38.25" x14ac:dyDescent="0.25">
      <c r="A157" s="2">
        <v>68</v>
      </c>
      <c r="B157" s="2" t="s">
        <v>279</v>
      </c>
      <c r="C157" s="3" t="s">
        <v>280</v>
      </c>
      <c r="D157" s="3" t="s">
        <v>64</v>
      </c>
      <c r="E157" s="3" t="s">
        <v>1295</v>
      </c>
      <c r="F157" s="3" t="s">
        <v>1289</v>
      </c>
      <c r="G157" s="3" t="s">
        <v>1299</v>
      </c>
      <c r="H157" s="6" t="s">
        <v>1294</v>
      </c>
    </row>
    <row r="158" spans="1:8" ht="51" x14ac:dyDescent="0.25">
      <c r="A158" s="2">
        <v>67</v>
      </c>
      <c r="B158" s="2" t="s">
        <v>277</v>
      </c>
      <c r="C158" s="3" t="s">
        <v>278</v>
      </c>
      <c r="D158" s="3" t="s">
        <v>75</v>
      </c>
      <c r="E158" s="3" t="s">
        <v>1302</v>
      </c>
      <c r="F158" s="3" t="s">
        <v>1300</v>
      </c>
      <c r="G158" s="3" t="s">
        <v>1304</v>
      </c>
      <c r="H158" s="7" t="s">
        <v>1291</v>
      </c>
    </row>
    <row r="159" spans="1:8" ht="51" x14ac:dyDescent="0.25">
      <c r="A159" s="2">
        <v>66</v>
      </c>
      <c r="B159" s="2" t="s">
        <v>275</v>
      </c>
      <c r="C159" s="3" t="s">
        <v>276</v>
      </c>
      <c r="D159" s="3" t="s">
        <v>40</v>
      </c>
      <c r="E159" s="3" t="s">
        <v>1297</v>
      </c>
      <c r="F159" s="3" t="s">
        <v>1295</v>
      </c>
      <c r="G159" s="3" t="s">
        <v>1303</v>
      </c>
      <c r="H159" s="7" t="s">
        <v>1291</v>
      </c>
    </row>
    <row r="160" spans="1:8" ht="38.25" x14ac:dyDescent="0.25">
      <c r="A160" s="2">
        <v>65</v>
      </c>
      <c r="B160" s="2" t="s">
        <v>273</v>
      </c>
      <c r="C160" s="3" t="s">
        <v>274</v>
      </c>
      <c r="D160" s="3" t="s">
        <v>84</v>
      </c>
      <c r="E160" s="3" t="s">
        <v>1298</v>
      </c>
      <c r="F160" s="3" t="s">
        <v>1289</v>
      </c>
      <c r="G160" s="3" t="s">
        <v>1314</v>
      </c>
      <c r="H160" s="7" t="s">
        <v>1291</v>
      </c>
    </row>
    <row r="161" spans="1:8" ht="38.25" x14ac:dyDescent="0.25">
      <c r="A161" s="2">
        <v>64</v>
      </c>
      <c r="B161" s="2" t="s">
        <v>271</v>
      </c>
      <c r="C161" s="3" t="s">
        <v>272</v>
      </c>
      <c r="D161" s="3" t="s">
        <v>58</v>
      </c>
      <c r="E161" s="3" t="s">
        <v>1295</v>
      </c>
      <c r="F161" s="3" t="s">
        <v>1297</v>
      </c>
      <c r="G161" s="3" t="s">
        <v>1296</v>
      </c>
      <c r="H161" s="7" t="s">
        <v>1291</v>
      </c>
    </row>
    <row r="162" spans="1:8" ht="38.25" x14ac:dyDescent="0.25">
      <c r="A162" s="2">
        <v>63</v>
      </c>
      <c r="B162" s="2" t="s">
        <v>269</v>
      </c>
      <c r="C162" s="3" t="s">
        <v>270</v>
      </c>
      <c r="D162" s="3" t="s">
        <v>96</v>
      </c>
      <c r="E162" s="3" t="s">
        <v>1289</v>
      </c>
      <c r="F162" s="3" t="s">
        <v>1305</v>
      </c>
      <c r="G162" s="3" t="s">
        <v>1299</v>
      </c>
      <c r="H162" s="6" t="s">
        <v>1294</v>
      </c>
    </row>
    <row r="163" spans="1:8" ht="51" x14ac:dyDescent="0.25">
      <c r="A163" s="2">
        <v>62</v>
      </c>
      <c r="B163" s="2" t="s">
        <v>267</v>
      </c>
      <c r="C163" s="3" t="s">
        <v>268</v>
      </c>
      <c r="D163" s="3" t="s">
        <v>52</v>
      </c>
      <c r="E163" s="3" t="s">
        <v>1308</v>
      </c>
      <c r="F163" s="3" t="s">
        <v>1298</v>
      </c>
      <c r="G163" s="3" t="s">
        <v>1306</v>
      </c>
      <c r="H163" s="6" t="s">
        <v>1294</v>
      </c>
    </row>
    <row r="164" spans="1:8" ht="38.25" x14ac:dyDescent="0.25">
      <c r="A164" s="2">
        <v>61</v>
      </c>
      <c r="B164" s="2" t="s">
        <v>265</v>
      </c>
      <c r="C164" s="3" t="s">
        <v>266</v>
      </c>
      <c r="D164" s="3" t="s">
        <v>67</v>
      </c>
      <c r="E164" s="3" t="s">
        <v>1302</v>
      </c>
      <c r="F164" s="3" t="s">
        <v>1292</v>
      </c>
      <c r="G164" s="3" t="s">
        <v>1293</v>
      </c>
      <c r="H164" s="6" t="s">
        <v>1294</v>
      </c>
    </row>
    <row r="165" spans="1:8" ht="51" x14ac:dyDescent="0.25">
      <c r="A165" s="2">
        <v>60</v>
      </c>
      <c r="B165" s="2" t="s">
        <v>263</v>
      </c>
      <c r="C165" s="3" t="s">
        <v>264</v>
      </c>
      <c r="D165" s="3" t="s">
        <v>65</v>
      </c>
      <c r="E165" s="3" t="s">
        <v>1295</v>
      </c>
      <c r="F165" s="3" t="s">
        <v>1300</v>
      </c>
      <c r="G165" s="3" t="s">
        <v>1304</v>
      </c>
      <c r="H165" s="7" t="s">
        <v>1291</v>
      </c>
    </row>
    <row r="166" spans="1:8" ht="38.25" x14ac:dyDescent="0.25">
      <c r="A166" s="2">
        <v>59</v>
      </c>
      <c r="B166" s="2" t="s">
        <v>261</v>
      </c>
      <c r="C166" s="3" t="s">
        <v>262</v>
      </c>
      <c r="D166" s="3" t="s">
        <v>75</v>
      </c>
      <c r="E166" s="3" t="s">
        <v>1302</v>
      </c>
      <c r="F166" s="3" t="s">
        <v>1300</v>
      </c>
      <c r="G166" s="3" t="s">
        <v>1293</v>
      </c>
      <c r="H166" s="6" t="s">
        <v>1294</v>
      </c>
    </row>
    <row r="167" spans="1:8" ht="38.25" x14ac:dyDescent="0.25">
      <c r="A167" s="2">
        <v>58</v>
      </c>
      <c r="B167" s="2" t="s">
        <v>259</v>
      </c>
      <c r="C167" s="3" t="s">
        <v>260</v>
      </c>
      <c r="D167" s="3" t="s">
        <v>35</v>
      </c>
      <c r="E167" s="3" t="s">
        <v>1292</v>
      </c>
      <c r="F167" s="3" t="s">
        <v>1300</v>
      </c>
      <c r="G167" s="3" t="s">
        <v>1318</v>
      </c>
      <c r="H167" s="6" t="s">
        <v>1294</v>
      </c>
    </row>
    <row r="168" spans="1:8" ht="38.25" x14ac:dyDescent="0.25">
      <c r="A168" s="2">
        <v>57</v>
      </c>
      <c r="B168" s="2" t="s">
        <v>257</v>
      </c>
      <c r="C168" s="3" t="s">
        <v>258</v>
      </c>
      <c r="D168" s="3" t="s">
        <v>94</v>
      </c>
      <c r="E168" s="3" t="s">
        <v>1288</v>
      </c>
      <c r="F168" s="3" t="s">
        <v>1289</v>
      </c>
      <c r="G168" s="3" t="s">
        <v>1301</v>
      </c>
      <c r="H168" s="6" t="s">
        <v>1294</v>
      </c>
    </row>
    <row r="169" spans="1:8" ht="38.25" x14ac:dyDescent="0.25">
      <c r="A169" s="2">
        <v>56</v>
      </c>
      <c r="B169" s="2" t="s">
        <v>255</v>
      </c>
      <c r="C169" s="3" t="s">
        <v>256</v>
      </c>
      <c r="D169" s="3" t="s">
        <v>73</v>
      </c>
      <c r="E169" s="3" t="s">
        <v>1302</v>
      </c>
      <c r="F169" s="3" t="s">
        <v>1288</v>
      </c>
      <c r="G169" s="3" t="s">
        <v>1311</v>
      </c>
      <c r="H169" s="6" t="s">
        <v>1294</v>
      </c>
    </row>
    <row r="170" spans="1:8" ht="38.25" x14ac:dyDescent="0.25">
      <c r="A170" s="2">
        <v>55</v>
      </c>
      <c r="B170" s="2" t="s">
        <v>253</v>
      </c>
      <c r="C170" s="3" t="s">
        <v>254</v>
      </c>
      <c r="D170" s="3" t="s">
        <v>64</v>
      </c>
      <c r="E170" s="3" t="s">
        <v>1295</v>
      </c>
      <c r="F170" s="3" t="s">
        <v>1289</v>
      </c>
      <c r="G170" s="3" t="s">
        <v>1311</v>
      </c>
      <c r="H170" s="6" t="s">
        <v>1294</v>
      </c>
    </row>
    <row r="171" spans="1:8" ht="38.25" x14ac:dyDescent="0.25">
      <c r="A171" s="2">
        <v>54</v>
      </c>
      <c r="B171" s="2" t="s">
        <v>251</v>
      </c>
      <c r="C171" s="3" t="s">
        <v>252</v>
      </c>
      <c r="D171" s="3" t="s">
        <v>107</v>
      </c>
      <c r="E171" s="3" t="s">
        <v>1300</v>
      </c>
      <c r="F171" s="3" t="s">
        <v>1292</v>
      </c>
      <c r="G171" s="3" t="s">
        <v>1320</v>
      </c>
      <c r="H171" s="6" t="s">
        <v>1294</v>
      </c>
    </row>
    <row r="172" spans="1:8" ht="38.25" x14ac:dyDescent="0.25">
      <c r="A172" s="2">
        <v>53</v>
      </c>
      <c r="B172" s="2" t="s">
        <v>249</v>
      </c>
      <c r="C172" s="3" t="s">
        <v>250</v>
      </c>
      <c r="D172" s="3" t="s">
        <v>99</v>
      </c>
      <c r="E172" s="3" t="s">
        <v>1289</v>
      </c>
      <c r="F172" s="3" t="s">
        <v>1308</v>
      </c>
      <c r="G172" s="3" t="s">
        <v>1311</v>
      </c>
      <c r="H172" s="7" t="s">
        <v>1291</v>
      </c>
    </row>
    <row r="173" spans="1:8" ht="51" x14ac:dyDescent="0.25">
      <c r="A173" s="2">
        <v>52</v>
      </c>
      <c r="B173" s="2" t="s">
        <v>247</v>
      </c>
      <c r="C173" s="3" t="s">
        <v>248</v>
      </c>
      <c r="D173" s="3" t="s">
        <v>24</v>
      </c>
      <c r="E173" s="3" t="s">
        <v>1305</v>
      </c>
      <c r="F173" s="3" t="s">
        <v>1289</v>
      </c>
      <c r="G173" s="3" t="s">
        <v>1313</v>
      </c>
      <c r="H173" s="7" t="s">
        <v>1291</v>
      </c>
    </row>
    <row r="174" spans="1:8" ht="38.25" x14ac:dyDescent="0.25">
      <c r="A174" s="2">
        <v>51</v>
      </c>
      <c r="B174" s="2" t="s">
        <v>245</v>
      </c>
      <c r="C174" s="3" t="s">
        <v>246</v>
      </c>
      <c r="D174" s="3" t="s">
        <v>69</v>
      </c>
      <c r="E174" s="3" t="s">
        <v>1302</v>
      </c>
      <c r="F174" s="3" t="s">
        <v>1308</v>
      </c>
      <c r="G174" s="3" t="s">
        <v>1314</v>
      </c>
      <c r="H174" s="6" t="s">
        <v>1294</v>
      </c>
    </row>
    <row r="175" spans="1:8" ht="51" x14ac:dyDescent="0.25">
      <c r="A175" s="2">
        <v>50</v>
      </c>
      <c r="B175" s="2" t="s">
        <v>243</v>
      </c>
      <c r="C175" s="3" t="s">
        <v>244</v>
      </c>
      <c r="D175" s="3" t="s">
        <v>53</v>
      </c>
      <c r="E175" s="3" t="s">
        <v>1308</v>
      </c>
      <c r="F175" s="3" t="s">
        <v>1288</v>
      </c>
      <c r="G175" s="3" t="s">
        <v>1290</v>
      </c>
      <c r="H175" s="7" t="s">
        <v>1291</v>
      </c>
    </row>
    <row r="176" spans="1:8" ht="51" x14ac:dyDescent="0.25">
      <c r="A176" s="2">
        <v>49</v>
      </c>
      <c r="B176" s="2" t="s">
        <v>241</v>
      </c>
      <c r="C176" s="3" t="s">
        <v>242</v>
      </c>
      <c r="D176" s="3" t="s">
        <v>71</v>
      </c>
      <c r="E176" s="3" t="s">
        <v>1302</v>
      </c>
      <c r="F176" s="3" t="s">
        <v>1302</v>
      </c>
      <c r="G176" s="3" t="s">
        <v>1303</v>
      </c>
      <c r="H176" s="6" t="s">
        <v>1294</v>
      </c>
    </row>
    <row r="177" spans="1:8" x14ac:dyDescent="0.25">
      <c r="A177" s="2">
        <v>48</v>
      </c>
      <c r="B177" s="2" t="s">
        <v>239</v>
      </c>
      <c r="C177" s="3" t="s">
        <v>240</v>
      </c>
      <c r="D177" s="3" t="s">
        <v>28</v>
      </c>
      <c r="E177" s="3" t="s">
        <v>1292</v>
      </c>
      <c r="F177" s="3" t="s">
        <v>1297</v>
      </c>
      <c r="G177" s="3" t="s">
        <v>1323</v>
      </c>
      <c r="H177" s="6" t="s">
        <v>1294</v>
      </c>
    </row>
    <row r="178" spans="1:8" ht="51" x14ac:dyDescent="0.25">
      <c r="A178" s="2">
        <v>47</v>
      </c>
      <c r="B178" s="2" t="s">
        <v>237</v>
      </c>
      <c r="C178" s="3" t="s">
        <v>238</v>
      </c>
      <c r="D178" s="3" t="s">
        <v>29</v>
      </c>
      <c r="E178" s="3" t="s">
        <v>1292</v>
      </c>
      <c r="F178" s="3" t="s">
        <v>1308</v>
      </c>
      <c r="G178" s="3" t="s">
        <v>1317</v>
      </c>
      <c r="H178" s="7" t="s">
        <v>1291</v>
      </c>
    </row>
    <row r="179" spans="1:8" ht="51" x14ac:dyDescent="0.25">
      <c r="A179" s="2">
        <v>46</v>
      </c>
      <c r="B179" s="2" t="s">
        <v>235</v>
      </c>
      <c r="C179" s="3" t="s">
        <v>236</v>
      </c>
      <c r="D179" s="3" t="s">
        <v>97</v>
      </c>
      <c r="E179" s="3" t="s">
        <v>1289</v>
      </c>
      <c r="F179" s="3" t="s">
        <v>1292</v>
      </c>
      <c r="G179" s="3" t="s">
        <v>1307</v>
      </c>
      <c r="H179" s="6" t="s">
        <v>1294</v>
      </c>
    </row>
    <row r="180" spans="1:8" ht="38.25" x14ac:dyDescent="0.25">
      <c r="A180" s="2">
        <v>45</v>
      </c>
      <c r="B180" s="2" t="s">
        <v>233</v>
      </c>
      <c r="C180" s="3" t="s">
        <v>234</v>
      </c>
      <c r="D180" s="3" t="s">
        <v>17</v>
      </c>
      <c r="E180" s="3" t="s">
        <v>1305</v>
      </c>
      <c r="F180" s="3" t="s">
        <v>1292</v>
      </c>
      <c r="G180" s="3" t="s">
        <v>1299</v>
      </c>
      <c r="H180" s="7" t="s">
        <v>1291</v>
      </c>
    </row>
    <row r="181" spans="1:8" ht="51" x14ac:dyDescent="0.25">
      <c r="A181" s="2">
        <v>44</v>
      </c>
      <c r="B181" s="2" t="s">
        <v>231</v>
      </c>
      <c r="C181" s="3" t="s">
        <v>232</v>
      </c>
      <c r="D181" s="3" t="s">
        <v>46</v>
      </c>
      <c r="E181" s="3" t="s">
        <v>1308</v>
      </c>
      <c r="F181" s="3" t="s">
        <v>1305</v>
      </c>
      <c r="G181" s="3" t="s">
        <v>1309</v>
      </c>
      <c r="H181" s="6" t="s">
        <v>1294</v>
      </c>
    </row>
    <row r="182" spans="1:8" ht="51" x14ac:dyDescent="0.25">
      <c r="A182" s="2">
        <v>43</v>
      </c>
      <c r="B182" s="2" t="s">
        <v>229</v>
      </c>
      <c r="C182" s="3" t="s">
        <v>230</v>
      </c>
      <c r="D182" s="3" t="s">
        <v>93</v>
      </c>
      <c r="E182" s="3" t="s">
        <v>1288</v>
      </c>
      <c r="F182" s="3" t="s">
        <v>1288</v>
      </c>
      <c r="G182" s="3" t="s">
        <v>1290</v>
      </c>
      <c r="H182" s="7" t="s">
        <v>1291</v>
      </c>
    </row>
    <row r="183" spans="1:8" ht="51" x14ac:dyDescent="0.25">
      <c r="A183" s="2">
        <v>42</v>
      </c>
      <c r="B183" s="2" t="s">
        <v>227</v>
      </c>
      <c r="C183" s="3" t="s">
        <v>228</v>
      </c>
      <c r="D183" s="3" t="s">
        <v>91</v>
      </c>
      <c r="E183" s="3" t="s">
        <v>1288</v>
      </c>
      <c r="F183" s="3" t="s">
        <v>1302</v>
      </c>
      <c r="G183" s="3" t="s">
        <v>1321</v>
      </c>
      <c r="H183" s="7" t="s">
        <v>1291</v>
      </c>
    </row>
    <row r="184" spans="1:8" ht="38.25" x14ac:dyDescent="0.25">
      <c r="A184" s="2">
        <v>41</v>
      </c>
      <c r="B184" s="2" t="s">
        <v>225</v>
      </c>
      <c r="C184" s="3" t="s">
        <v>226</v>
      </c>
      <c r="D184" s="3" t="s">
        <v>108</v>
      </c>
      <c r="E184" s="3" t="s">
        <v>1300</v>
      </c>
      <c r="F184" s="3" t="s">
        <v>1297</v>
      </c>
      <c r="G184" s="3" t="s">
        <v>1314</v>
      </c>
      <c r="H184" s="6" t="s">
        <v>1294</v>
      </c>
    </row>
    <row r="185" spans="1:8" ht="51" x14ac:dyDescent="0.25">
      <c r="A185" s="2">
        <v>40</v>
      </c>
      <c r="B185" s="2" t="s">
        <v>223</v>
      </c>
      <c r="C185" s="3" t="s">
        <v>224</v>
      </c>
      <c r="D185" s="3" t="s">
        <v>106</v>
      </c>
      <c r="E185" s="3" t="s">
        <v>1300</v>
      </c>
      <c r="F185" s="3" t="s">
        <v>1305</v>
      </c>
      <c r="G185" s="3" t="s">
        <v>1306</v>
      </c>
      <c r="H185" s="6" t="s">
        <v>1294</v>
      </c>
    </row>
    <row r="186" spans="1:8" ht="51" x14ac:dyDescent="0.25">
      <c r="A186" s="2">
        <v>39</v>
      </c>
      <c r="B186" s="2" t="s">
        <v>221</v>
      </c>
      <c r="C186" s="3" t="s">
        <v>222</v>
      </c>
      <c r="D186" s="3" t="s">
        <v>17</v>
      </c>
      <c r="E186" s="3" t="s">
        <v>1305</v>
      </c>
      <c r="F186" s="3" t="s">
        <v>1292</v>
      </c>
      <c r="G186" s="3" t="s">
        <v>1303</v>
      </c>
      <c r="H186" s="7" t="s">
        <v>1291</v>
      </c>
    </row>
    <row r="187" spans="1:8" ht="38.25" x14ac:dyDescent="0.25">
      <c r="A187" s="2">
        <v>38</v>
      </c>
      <c r="B187" s="2" t="s">
        <v>219</v>
      </c>
      <c r="C187" s="3" t="s">
        <v>220</v>
      </c>
      <c r="D187" s="3" t="s">
        <v>93</v>
      </c>
      <c r="E187" s="3" t="s">
        <v>1288</v>
      </c>
      <c r="F187" s="3" t="s">
        <v>1288</v>
      </c>
      <c r="G187" s="3" t="s">
        <v>1318</v>
      </c>
      <c r="H187" s="7" t="s">
        <v>1291</v>
      </c>
    </row>
    <row r="188" spans="1:8" ht="51" x14ac:dyDescent="0.25">
      <c r="A188" s="2">
        <v>37</v>
      </c>
      <c r="B188" s="2" t="s">
        <v>217</v>
      </c>
      <c r="C188" s="3" t="s">
        <v>218</v>
      </c>
      <c r="D188" s="3" t="s">
        <v>101</v>
      </c>
      <c r="E188" s="3" t="s">
        <v>1289</v>
      </c>
      <c r="F188" s="3" t="s">
        <v>1302</v>
      </c>
      <c r="G188" s="3" t="s">
        <v>1290</v>
      </c>
      <c r="H188" s="6" t="s">
        <v>1294</v>
      </c>
    </row>
    <row r="189" spans="1:8" ht="51" x14ac:dyDescent="0.25">
      <c r="A189" s="2">
        <v>36</v>
      </c>
      <c r="B189" s="2" t="s">
        <v>215</v>
      </c>
      <c r="C189" s="3" t="s">
        <v>216</v>
      </c>
      <c r="D189" s="3" t="s">
        <v>49</v>
      </c>
      <c r="E189" s="3" t="s">
        <v>1308</v>
      </c>
      <c r="F189" s="3" t="s">
        <v>1308</v>
      </c>
      <c r="G189" s="3" t="s">
        <v>1316</v>
      </c>
      <c r="H189" s="7" t="s">
        <v>1291</v>
      </c>
    </row>
    <row r="190" spans="1:8" ht="38.25" x14ac:dyDescent="0.25">
      <c r="A190" s="2">
        <v>35</v>
      </c>
      <c r="B190" s="2" t="s">
        <v>213</v>
      </c>
      <c r="C190" s="3" t="s">
        <v>214</v>
      </c>
      <c r="D190" s="3" t="s">
        <v>84</v>
      </c>
      <c r="E190" s="3" t="s">
        <v>1298</v>
      </c>
      <c r="F190" s="3" t="s">
        <v>1289</v>
      </c>
      <c r="G190" s="3" t="s">
        <v>1296</v>
      </c>
      <c r="H190" s="6" t="s">
        <v>1294</v>
      </c>
    </row>
    <row r="191" spans="1:8" ht="51" x14ac:dyDescent="0.25">
      <c r="A191" s="2">
        <v>34</v>
      </c>
      <c r="B191" s="2" t="s">
        <v>211</v>
      </c>
      <c r="C191" s="3" t="s">
        <v>212</v>
      </c>
      <c r="D191" s="3" t="s">
        <v>33</v>
      </c>
      <c r="E191" s="3" t="s">
        <v>1292</v>
      </c>
      <c r="F191" s="3" t="s">
        <v>1288</v>
      </c>
      <c r="G191" s="3" t="s">
        <v>1306</v>
      </c>
      <c r="H191" s="7" t="s">
        <v>1291</v>
      </c>
    </row>
    <row r="192" spans="1:8" ht="51" x14ac:dyDescent="0.25">
      <c r="A192" s="2">
        <v>33</v>
      </c>
      <c r="B192" s="2" t="s">
        <v>209</v>
      </c>
      <c r="C192" s="3" t="s">
        <v>210</v>
      </c>
      <c r="D192" s="3" t="s">
        <v>64</v>
      </c>
      <c r="E192" s="3" t="s">
        <v>1295</v>
      </c>
      <c r="F192" s="3" t="s">
        <v>1289</v>
      </c>
      <c r="G192" s="3" t="s">
        <v>1321</v>
      </c>
      <c r="H192" s="7" t="s">
        <v>1291</v>
      </c>
    </row>
    <row r="193" spans="1:8" ht="38.25" x14ac:dyDescent="0.25">
      <c r="A193" s="2">
        <v>32</v>
      </c>
      <c r="B193" s="2" t="s">
        <v>207</v>
      </c>
      <c r="C193" s="3" t="s">
        <v>208</v>
      </c>
      <c r="D193" s="3" t="s">
        <v>77</v>
      </c>
      <c r="E193" s="3" t="s">
        <v>1298</v>
      </c>
      <c r="F193" s="3" t="s">
        <v>1292</v>
      </c>
      <c r="G193" s="3" t="s">
        <v>1296</v>
      </c>
      <c r="H193" s="6" t="s">
        <v>1294</v>
      </c>
    </row>
    <row r="194" spans="1:8" ht="51" x14ac:dyDescent="0.25">
      <c r="A194" s="2">
        <v>31</v>
      </c>
      <c r="B194" s="2" t="s">
        <v>205</v>
      </c>
      <c r="C194" s="3" t="s">
        <v>206</v>
      </c>
      <c r="D194" s="3" t="s">
        <v>93</v>
      </c>
      <c r="E194" s="3" t="s">
        <v>1288</v>
      </c>
      <c r="F194" s="3" t="s">
        <v>1288</v>
      </c>
      <c r="G194" s="3" t="s">
        <v>1303</v>
      </c>
      <c r="H194" s="7" t="s">
        <v>1291</v>
      </c>
    </row>
    <row r="195" spans="1:8" ht="38.25" x14ac:dyDescent="0.25">
      <c r="A195" s="2">
        <v>30</v>
      </c>
      <c r="B195" s="2" t="s">
        <v>203</v>
      </c>
      <c r="C195" s="3" t="s">
        <v>204</v>
      </c>
      <c r="D195" s="3" t="s">
        <v>70</v>
      </c>
      <c r="E195" s="3" t="s">
        <v>1302</v>
      </c>
      <c r="F195" s="3" t="s">
        <v>1295</v>
      </c>
      <c r="G195" s="3" t="s">
        <v>1293</v>
      </c>
      <c r="H195" s="6" t="s">
        <v>1294</v>
      </c>
    </row>
    <row r="196" spans="1:8" ht="51" x14ac:dyDescent="0.25">
      <c r="A196" s="2">
        <v>29</v>
      </c>
      <c r="B196" s="2" t="s">
        <v>201</v>
      </c>
      <c r="C196" s="3" t="s">
        <v>202</v>
      </c>
      <c r="D196" s="3" t="s">
        <v>61</v>
      </c>
      <c r="E196" s="3" t="s">
        <v>1295</v>
      </c>
      <c r="F196" s="3" t="s">
        <v>1302</v>
      </c>
      <c r="G196" s="3" t="s">
        <v>1309</v>
      </c>
      <c r="H196" s="7" t="s">
        <v>1291</v>
      </c>
    </row>
    <row r="197" spans="1:8" ht="38.25" x14ac:dyDescent="0.25">
      <c r="A197" s="2">
        <v>28</v>
      </c>
      <c r="B197" s="2" t="s">
        <v>199</v>
      </c>
      <c r="C197" s="3" t="s">
        <v>200</v>
      </c>
      <c r="D197" s="3" t="s">
        <v>30</v>
      </c>
      <c r="E197" s="3" t="s">
        <v>1292</v>
      </c>
      <c r="F197" s="3" t="s">
        <v>1295</v>
      </c>
      <c r="G197" s="3" t="s">
        <v>1296</v>
      </c>
      <c r="H197" s="6" t="s">
        <v>1294</v>
      </c>
    </row>
    <row r="198" spans="1:8" ht="38.25" x14ac:dyDescent="0.25">
      <c r="A198" s="2">
        <v>27</v>
      </c>
      <c r="B198" s="2" t="s">
        <v>197</v>
      </c>
      <c r="C198" s="3" t="s">
        <v>198</v>
      </c>
      <c r="D198" s="3" t="s">
        <v>37</v>
      </c>
      <c r="E198" s="3" t="s">
        <v>1297</v>
      </c>
      <c r="F198" s="3" t="s">
        <v>1292</v>
      </c>
      <c r="G198" s="3" t="s">
        <v>1301</v>
      </c>
      <c r="H198" s="6" t="s">
        <v>1294</v>
      </c>
    </row>
    <row r="199" spans="1:8" ht="38.25" x14ac:dyDescent="0.25">
      <c r="A199" s="2">
        <v>26</v>
      </c>
      <c r="B199" s="2" t="s">
        <v>195</v>
      </c>
      <c r="C199" s="3" t="s">
        <v>196</v>
      </c>
      <c r="D199" s="3" t="s">
        <v>96</v>
      </c>
      <c r="E199" s="3" t="s">
        <v>1289</v>
      </c>
      <c r="F199" s="3" t="s">
        <v>1305</v>
      </c>
      <c r="G199" s="3" t="s">
        <v>1296</v>
      </c>
      <c r="H199" s="7" t="s">
        <v>1291</v>
      </c>
    </row>
    <row r="200" spans="1:8" ht="38.25" x14ac:dyDescent="0.25">
      <c r="A200" s="2">
        <v>25</v>
      </c>
      <c r="B200" s="2" t="s">
        <v>193</v>
      </c>
      <c r="C200" s="3" t="s">
        <v>194</v>
      </c>
      <c r="D200" s="3" t="s">
        <v>90</v>
      </c>
      <c r="E200" s="3" t="s">
        <v>1288</v>
      </c>
      <c r="F200" s="3" t="s">
        <v>1295</v>
      </c>
      <c r="G200" s="3" t="s">
        <v>1299</v>
      </c>
      <c r="H200" s="7" t="s">
        <v>1291</v>
      </c>
    </row>
    <row r="201" spans="1:8" ht="38.25" x14ac:dyDescent="0.25">
      <c r="A201" s="2">
        <v>24</v>
      </c>
      <c r="B201" s="2" t="s">
        <v>191</v>
      </c>
      <c r="C201" s="3" t="s">
        <v>192</v>
      </c>
      <c r="D201" s="3" t="s">
        <v>46</v>
      </c>
      <c r="E201" s="3" t="s">
        <v>1308</v>
      </c>
      <c r="F201" s="3" t="s">
        <v>1305</v>
      </c>
      <c r="G201" s="3" t="s">
        <v>1320</v>
      </c>
      <c r="H201" s="6" t="s">
        <v>1294</v>
      </c>
    </row>
    <row r="202" spans="1:8" ht="38.25" x14ac:dyDescent="0.25">
      <c r="A202" s="2">
        <v>23</v>
      </c>
      <c r="B202" s="2" t="s">
        <v>189</v>
      </c>
      <c r="C202" s="3" t="s">
        <v>190</v>
      </c>
      <c r="D202" s="3" t="s">
        <v>78</v>
      </c>
      <c r="E202" s="3" t="s">
        <v>1298</v>
      </c>
      <c r="F202" s="3" t="s">
        <v>1297</v>
      </c>
      <c r="G202" s="3" t="s">
        <v>1314</v>
      </c>
      <c r="H202" s="6" t="s">
        <v>1294</v>
      </c>
    </row>
    <row r="203" spans="1:8" ht="51" x14ac:dyDescent="0.25">
      <c r="A203" s="2">
        <v>22</v>
      </c>
      <c r="B203" s="2" t="s">
        <v>187</v>
      </c>
      <c r="C203" s="3" t="s">
        <v>188</v>
      </c>
      <c r="D203" s="3" t="s">
        <v>38</v>
      </c>
      <c r="E203" s="3" t="s">
        <v>1297</v>
      </c>
      <c r="F203" s="3" t="s">
        <v>1297</v>
      </c>
      <c r="G203" s="3" t="s">
        <v>1306</v>
      </c>
      <c r="H203" s="6" t="s">
        <v>1294</v>
      </c>
    </row>
    <row r="204" spans="1:8" ht="51" x14ac:dyDescent="0.25">
      <c r="A204" s="2">
        <v>21</v>
      </c>
      <c r="B204" s="2" t="s">
        <v>185</v>
      </c>
      <c r="C204" s="3" t="s">
        <v>186</v>
      </c>
      <c r="D204" s="3" t="s">
        <v>79</v>
      </c>
      <c r="E204" s="3" t="s">
        <v>1298</v>
      </c>
      <c r="F204" s="3" t="s">
        <v>1308</v>
      </c>
      <c r="G204" s="3" t="s">
        <v>1316</v>
      </c>
      <c r="H204" s="6" t="s">
        <v>1294</v>
      </c>
    </row>
    <row r="205" spans="1:8" ht="51" x14ac:dyDescent="0.25">
      <c r="A205" s="2">
        <v>20</v>
      </c>
      <c r="B205" s="2" t="s">
        <v>183</v>
      </c>
      <c r="C205" s="3" t="s">
        <v>184</v>
      </c>
      <c r="D205" s="3" t="s">
        <v>102</v>
      </c>
      <c r="E205" s="3" t="s">
        <v>1289</v>
      </c>
      <c r="F205" s="3" t="s">
        <v>1298</v>
      </c>
      <c r="G205" s="3" t="s">
        <v>1304</v>
      </c>
      <c r="H205" s="7" t="s">
        <v>1291</v>
      </c>
    </row>
    <row r="206" spans="1:8" ht="38.25" x14ac:dyDescent="0.25">
      <c r="A206" s="2">
        <v>19</v>
      </c>
      <c r="B206" s="2" t="s">
        <v>181</v>
      </c>
      <c r="C206" s="3" t="s">
        <v>182</v>
      </c>
      <c r="D206" s="3" t="s">
        <v>94</v>
      </c>
      <c r="E206" s="3" t="s">
        <v>1288</v>
      </c>
      <c r="F206" s="3" t="s">
        <v>1289</v>
      </c>
      <c r="G206" s="3" t="s">
        <v>1311</v>
      </c>
      <c r="H206" s="7" t="s">
        <v>1291</v>
      </c>
    </row>
    <row r="207" spans="1:8" ht="38.25" x14ac:dyDescent="0.25">
      <c r="A207" s="2">
        <v>18</v>
      </c>
      <c r="B207" s="2" t="s">
        <v>179</v>
      </c>
      <c r="C207" s="3" t="s">
        <v>180</v>
      </c>
      <c r="D207" s="3" t="s">
        <v>102</v>
      </c>
      <c r="E207" s="3" t="s">
        <v>1289</v>
      </c>
      <c r="F207" s="3" t="s">
        <v>1298</v>
      </c>
      <c r="G207" s="3" t="s">
        <v>1315</v>
      </c>
      <c r="H207" s="6" t="s">
        <v>1294</v>
      </c>
    </row>
    <row r="208" spans="1:8" ht="51" x14ac:dyDescent="0.25">
      <c r="A208" s="2">
        <v>17</v>
      </c>
      <c r="B208" s="2" t="s">
        <v>177</v>
      </c>
      <c r="C208" s="3" t="s">
        <v>178</v>
      </c>
      <c r="D208" s="3" t="s">
        <v>67</v>
      </c>
      <c r="E208" s="3" t="s">
        <v>1302</v>
      </c>
      <c r="F208" s="3" t="s">
        <v>1292</v>
      </c>
      <c r="G208" s="3" t="s">
        <v>1317</v>
      </c>
      <c r="H208" s="7" t="s">
        <v>1291</v>
      </c>
    </row>
    <row r="209" spans="1:8" ht="38.25" x14ac:dyDescent="0.25">
      <c r="A209" s="2">
        <v>16</v>
      </c>
      <c r="B209" s="2" t="s">
        <v>175</v>
      </c>
      <c r="C209" s="3" t="s">
        <v>176</v>
      </c>
      <c r="D209" s="3" t="s">
        <v>40</v>
      </c>
      <c r="E209" s="3" t="s">
        <v>1297</v>
      </c>
      <c r="F209" s="3" t="s">
        <v>1295</v>
      </c>
      <c r="G209" s="3" t="s">
        <v>1296</v>
      </c>
      <c r="H209" s="7" t="s">
        <v>1291</v>
      </c>
    </row>
    <row r="210" spans="1:8" ht="38.25" x14ac:dyDescent="0.25">
      <c r="A210" s="2">
        <v>15</v>
      </c>
      <c r="B210" s="2" t="s">
        <v>173</v>
      </c>
      <c r="C210" s="3" t="s">
        <v>174</v>
      </c>
      <c r="D210" s="3" t="s">
        <v>44</v>
      </c>
      <c r="E210" s="3" t="s">
        <v>1297</v>
      </c>
      <c r="F210" s="3" t="s">
        <v>1289</v>
      </c>
      <c r="G210" s="3" t="s">
        <v>1293</v>
      </c>
      <c r="H210" s="7" t="s">
        <v>1291</v>
      </c>
    </row>
    <row r="211" spans="1:8" ht="51" x14ac:dyDescent="0.25">
      <c r="A211" s="2">
        <v>14</v>
      </c>
      <c r="B211" s="2" t="s">
        <v>171</v>
      </c>
      <c r="C211" s="3" t="s">
        <v>172</v>
      </c>
      <c r="D211" s="3" t="s">
        <v>38</v>
      </c>
      <c r="E211" s="3" t="s">
        <v>1297</v>
      </c>
      <c r="F211" s="3" t="s">
        <v>1297</v>
      </c>
      <c r="G211" s="3" t="s">
        <v>1307</v>
      </c>
      <c r="H211" s="6" t="s">
        <v>1294</v>
      </c>
    </row>
    <row r="212" spans="1:8" ht="51" x14ac:dyDescent="0.25">
      <c r="A212" s="2">
        <v>13</v>
      </c>
      <c r="B212" s="2" t="s">
        <v>168</v>
      </c>
      <c r="C212" s="3" t="s">
        <v>169</v>
      </c>
      <c r="D212" s="3" t="s">
        <v>33</v>
      </c>
      <c r="E212" s="3" t="s">
        <v>1292</v>
      </c>
      <c r="F212" s="3" t="s">
        <v>1288</v>
      </c>
      <c r="G212" s="3" t="s">
        <v>1321</v>
      </c>
      <c r="H212" s="6" t="s">
        <v>1294</v>
      </c>
    </row>
    <row r="213" spans="1:8" ht="38.25" x14ac:dyDescent="0.25">
      <c r="A213" s="2">
        <v>12</v>
      </c>
      <c r="B213" s="2" t="s">
        <v>166</v>
      </c>
      <c r="C213" s="3" t="s">
        <v>167</v>
      </c>
      <c r="D213" s="3" t="s">
        <v>43</v>
      </c>
      <c r="E213" s="3" t="s">
        <v>1297</v>
      </c>
      <c r="F213" s="3" t="s">
        <v>1288</v>
      </c>
      <c r="G213" s="3" t="s">
        <v>1301</v>
      </c>
      <c r="H213" s="7" t="s">
        <v>1291</v>
      </c>
    </row>
    <row r="214" spans="1:8" ht="51" x14ac:dyDescent="0.25">
      <c r="A214" s="2">
        <v>11</v>
      </c>
      <c r="B214" s="2" t="s">
        <v>164</v>
      </c>
      <c r="C214" s="3" t="s">
        <v>165</v>
      </c>
      <c r="D214" s="3" t="s">
        <v>110</v>
      </c>
      <c r="E214" s="3" t="s">
        <v>1300</v>
      </c>
      <c r="F214" s="3" t="s">
        <v>1295</v>
      </c>
      <c r="G214" s="3" t="s">
        <v>1317</v>
      </c>
      <c r="H214" s="6" t="s">
        <v>1294</v>
      </c>
    </row>
    <row r="215" spans="1:8" ht="51" x14ac:dyDescent="0.25">
      <c r="A215" s="2">
        <v>10</v>
      </c>
      <c r="B215" s="2" t="s">
        <v>162</v>
      </c>
      <c r="C215" s="3" t="s">
        <v>163</v>
      </c>
      <c r="D215" s="3" t="s">
        <v>54</v>
      </c>
      <c r="E215" s="3" t="s">
        <v>1308</v>
      </c>
      <c r="F215" s="3" t="s">
        <v>1289</v>
      </c>
      <c r="G215" s="3" t="s">
        <v>1290</v>
      </c>
      <c r="H215" s="6" t="s">
        <v>1294</v>
      </c>
    </row>
    <row r="216" spans="1:8" ht="51" x14ac:dyDescent="0.25">
      <c r="A216" s="2">
        <v>9</v>
      </c>
      <c r="B216" s="2" t="s">
        <v>160</v>
      </c>
      <c r="C216" s="3" t="s">
        <v>161</v>
      </c>
      <c r="D216" s="3" t="s">
        <v>109</v>
      </c>
      <c r="E216" s="3" t="s">
        <v>1300</v>
      </c>
      <c r="F216" s="3" t="s">
        <v>1308</v>
      </c>
      <c r="G216" s="3" t="s">
        <v>1321</v>
      </c>
      <c r="H216" s="7" t="s">
        <v>1291</v>
      </c>
    </row>
    <row r="217" spans="1:8" ht="51" x14ac:dyDescent="0.25">
      <c r="A217" s="2">
        <v>8</v>
      </c>
      <c r="B217" s="2" t="s">
        <v>158</v>
      </c>
      <c r="C217" s="3" t="s">
        <v>159</v>
      </c>
      <c r="D217" s="3" t="s">
        <v>39</v>
      </c>
      <c r="E217" s="3" t="s">
        <v>1297</v>
      </c>
      <c r="F217" s="3" t="s">
        <v>1308</v>
      </c>
      <c r="G217" s="3" t="s">
        <v>1309</v>
      </c>
      <c r="H217" s="7" t="s">
        <v>1291</v>
      </c>
    </row>
    <row r="218" spans="1:8" ht="51" x14ac:dyDescent="0.25">
      <c r="A218" s="2">
        <v>7</v>
      </c>
      <c r="B218" s="2" t="s">
        <v>156</v>
      </c>
      <c r="C218" s="3" t="s">
        <v>157</v>
      </c>
      <c r="D218" s="3" t="s">
        <v>78</v>
      </c>
      <c r="E218" s="3" t="s">
        <v>1298</v>
      </c>
      <c r="F218" s="3" t="s">
        <v>1297</v>
      </c>
      <c r="G218" s="3" t="s">
        <v>1321</v>
      </c>
      <c r="H218" s="6" t="s">
        <v>1294</v>
      </c>
    </row>
    <row r="219" spans="1:8" ht="38.25" x14ac:dyDescent="0.25">
      <c r="A219" s="2">
        <v>6</v>
      </c>
      <c r="B219" s="2" t="s">
        <v>154</v>
      </c>
      <c r="C219" s="3" t="s">
        <v>155</v>
      </c>
      <c r="D219" s="3" t="s">
        <v>105</v>
      </c>
      <c r="E219" s="3" t="s">
        <v>1289</v>
      </c>
      <c r="F219" s="3" t="s">
        <v>1300</v>
      </c>
      <c r="G219" s="3" t="s">
        <v>1311</v>
      </c>
      <c r="H219" s="6" t="s">
        <v>1294</v>
      </c>
    </row>
    <row r="220" spans="1:8" ht="38.25" x14ac:dyDescent="0.25">
      <c r="A220" s="2">
        <v>5</v>
      </c>
      <c r="B220" s="2" t="s">
        <v>152</v>
      </c>
      <c r="C220" s="3" t="s">
        <v>153</v>
      </c>
      <c r="D220" s="3" t="s">
        <v>63</v>
      </c>
      <c r="E220" s="3" t="s">
        <v>1295</v>
      </c>
      <c r="F220" s="3" t="s">
        <v>1288</v>
      </c>
      <c r="G220" s="3" t="s">
        <v>1320</v>
      </c>
      <c r="H220" s="7" t="s">
        <v>1291</v>
      </c>
    </row>
    <row r="221" spans="1:8" ht="38.25" x14ac:dyDescent="0.25">
      <c r="A221" s="2">
        <v>4</v>
      </c>
      <c r="B221" s="2" t="s">
        <v>149</v>
      </c>
      <c r="C221" s="3" t="s">
        <v>150</v>
      </c>
      <c r="D221" s="3" t="s">
        <v>21</v>
      </c>
      <c r="E221" s="3" t="s">
        <v>1305</v>
      </c>
      <c r="F221" s="3" t="s">
        <v>1302</v>
      </c>
      <c r="G221" s="3" t="s">
        <v>1301</v>
      </c>
      <c r="H221" s="6" t="s">
        <v>1294</v>
      </c>
    </row>
    <row r="222" spans="1:8" ht="38.25" x14ac:dyDescent="0.25">
      <c r="A222" s="2">
        <v>3</v>
      </c>
      <c r="B222" s="2" t="s">
        <v>147</v>
      </c>
      <c r="C222" s="3" t="s">
        <v>148</v>
      </c>
      <c r="D222" s="3" t="s">
        <v>113</v>
      </c>
      <c r="E222" s="3" t="s">
        <v>1300</v>
      </c>
      <c r="F222" s="3" t="s">
        <v>1288</v>
      </c>
      <c r="G222" s="3" t="s">
        <v>1311</v>
      </c>
      <c r="H222" s="7" t="s">
        <v>1291</v>
      </c>
    </row>
    <row r="223" spans="1:8" x14ac:dyDescent="0.25">
      <c r="A223" s="2">
        <v>2</v>
      </c>
      <c r="B223" s="2" t="s">
        <v>144</v>
      </c>
      <c r="C223" s="3" t="s">
        <v>145</v>
      </c>
      <c r="D223" s="3" t="s">
        <v>65</v>
      </c>
      <c r="E223" s="3" t="s">
        <v>1295</v>
      </c>
      <c r="F223" s="3" t="s">
        <v>1300</v>
      </c>
      <c r="G223" s="3" t="s">
        <v>1324</v>
      </c>
      <c r="H223" s="6" t="s">
        <v>1294</v>
      </c>
    </row>
    <row r="224" spans="1:8" ht="38.25" x14ac:dyDescent="0.25">
      <c r="A224" s="2">
        <v>1</v>
      </c>
      <c r="B224" s="2" t="s">
        <v>139</v>
      </c>
      <c r="C224" s="3" t="s">
        <v>140</v>
      </c>
      <c r="D224" s="3" t="s">
        <v>64</v>
      </c>
      <c r="E224" s="3" t="s">
        <v>1295</v>
      </c>
      <c r="F224" s="3" t="s">
        <v>1289</v>
      </c>
      <c r="G224" s="3" t="s">
        <v>1312</v>
      </c>
      <c r="H224" s="7" t="s">
        <v>1291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7"/>
  <sheetViews>
    <sheetView workbookViewId="0"/>
  </sheetViews>
  <sheetFormatPr defaultRowHeight="15" x14ac:dyDescent="0.25"/>
  <cols>
    <col min="1" max="1" width="53" customWidth="1"/>
    <col min="2" max="2" width="65" customWidth="1"/>
  </cols>
  <sheetData>
    <row r="1" spans="1:2" x14ac:dyDescent="0.25">
      <c r="A1" s="1" t="s">
        <v>1325</v>
      </c>
      <c r="B1" s="1" t="s">
        <v>1326</v>
      </c>
    </row>
    <row r="2" spans="1:2" x14ac:dyDescent="0.25">
      <c r="A2" s="2" t="s">
        <v>1327</v>
      </c>
      <c r="B2" s="2"/>
    </row>
    <row r="3" spans="1:2" x14ac:dyDescent="0.25">
      <c r="A3" s="2" t="s">
        <v>1328</v>
      </c>
      <c r="B3" s="2" t="s">
        <v>1329</v>
      </c>
    </row>
    <row r="4" spans="1:2" x14ac:dyDescent="0.25">
      <c r="A4" s="2" t="s">
        <v>1330</v>
      </c>
      <c r="B4" s="2" t="s">
        <v>1331</v>
      </c>
    </row>
    <row r="5" spans="1:2" x14ac:dyDescent="0.25">
      <c r="A5" s="2" t="s">
        <v>1332</v>
      </c>
      <c r="B5" s="2" t="s">
        <v>1333</v>
      </c>
    </row>
    <row r="6" spans="1:2" x14ac:dyDescent="0.25">
      <c r="A6" s="2" t="s">
        <v>1334</v>
      </c>
      <c r="B6" s="2"/>
    </row>
    <row r="7" spans="1:2" x14ac:dyDescent="0.25">
      <c r="A7" s="2" t="s">
        <v>1335</v>
      </c>
      <c r="B7" s="2" t="s">
        <v>1336</v>
      </c>
    </row>
    <row r="8" spans="1:2" x14ac:dyDescent="0.25">
      <c r="A8" s="2" t="s">
        <v>1337</v>
      </c>
      <c r="B8" s="2" t="s">
        <v>1338</v>
      </c>
    </row>
    <row r="9" spans="1:2" x14ac:dyDescent="0.25">
      <c r="A9" s="2" t="s">
        <v>1339</v>
      </c>
      <c r="B9" s="2" t="s">
        <v>1338</v>
      </c>
    </row>
    <row r="10" spans="1:2" x14ac:dyDescent="0.25">
      <c r="A10" s="2" t="s">
        <v>1340</v>
      </c>
      <c r="B10" s="2" t="s">
        <v>1338</v>
      </c>
    </row>
    <row r="11" spans="1:2" x14ac:dyDescent="0.25">
      <c r="A11" s="2" t="s">
        <v>1341</v>
      </c>
      <c r="B11" s="2" t="s">
        <v>1338</v>
      </c>
    </row>
    <row r="12" spans="1:2" x14ac:dyDescent="0.25">
      <c r="A12" s="2" t="s">
        <v>1342</v>
      </c>
      <c r="B12" s="2" t="s">
        <v>1343</v>
      </c>
    </row>
    <row r="13" spans="1:2" x14ac:dyDescent="0.25">
      <c r="A13" s="2" t="s">
        <v>1344</v>
      </c>
      <c r="B13" s="2" t="s">
        <v>1345</v>
      </c>
    </row>
    <row r="14" spans="1:2" x14ac:dyDescent="0.25">
      <c r="A14" s="2" t="s">
        <v>1346</v>
      </c>
      <c r="B14" s="2" t="s">
        <v>1347</v>
      </c>
    </row>
    <row r="15" spans="1:2" x14ac:dyDescent="0.25">
      <c r="A15" s="2" t="s">
        <v>1348</v>
      </c>
      <c r="B15" s="2" t="s">
        <v>1349</v>
      </c>
    </row>
    <row r="16" spans="1:2" x14ac:dyDescent="0.25">
      <c r="A16" s="2" t="s">
        <v>1350</v>
      </c>
      <c r="B16" s="2" t="s">
        <v>1349</v>
      </c>
    </row>
    <row r="17" spans="1:2" x14ac:dyDescent="0.25">
      <c r="A17" s="2" t="s">
        <v>1351</v>
      </c>
      <c r="B17" s="2"/>
    </row>
    <row r="18" spans="1:2" x14ac:dyDescent="0.25">
      <c r="A18" s="2" t="s">
        <v>1352</v>
      </c>
      <c r="B18" s="2" t="s">
        <v>1353</v>
      </c>
    </row>
    <row r="19" spans="1:2" x14ac:dyDescent="0.25">
      <c r="A19" s="2" t="s">
        <v>1354</v>
      </c>
      <c r="B19" s="2" t="s">
        <v>1336</v>
      </c>
    </row>
    <row r="20" spans="1:2" x14ac:dyDescent="0.25">
      <c r="A20" s="2" t="s">
        <v>1355</v>
      </c>
      <c r="B20" s="2" t="s">
        <v>1356</v>
      </c>
    </row>
    <row r="21" spans="1:2" x14ac:dyDescent="0.25">
      <c r="A21" s="2" t="s">
        <v>1357</v>
      </c>
      <c r="B21" s="2" t="s">
        <v>1338</v>
      </c>
    </row>
    <row r="22" spans="1:2" x14ac:dyDescent="0.25">
      <c r="A22" s="2" t="s">
        <v>1358</v>
      </c>
      <c r="B22" s="2" t="s">
        <v>1343</v>
      </c>
    </row>
    <row r="23" spans="1:2" x14ac:dyDescent="0.25">
      <c r="A23" s="2" t="s">
        <v>1359</v>
      </c>
      <c r="B23" s="2" t="s">
        <v>1360</v>
      </c>
    </row>
    <row r="24" spans="1:2" x14ac:dyDescent="0.25">
      <c r="A24" s="2" t="s">
        <v>1361</v>
      </c>
      <c r="B24" s="2" t="s">
        <v>1347</v>
      </c>
    </row>
    <row r="25" spans="1:2" x14ac:dyDescent="0.25">
      <c r="A25" s="2" t="s">
        <v>1362</v>
      </c>
      <c r="B25" s="2" t="s">
        <v>1347</v>
      </c>
    </row>
    <row r="26" spans="1:2" x14ac:dyDescent="0.25">
      <c r="A26" s="2" t="s">
        <v>1363</v>
      </c>
      <c r="B26" s="2" t="s">
        <v>1347</v>
      </c>
    </row>
    <row r="27" spans="1:2" x14ac:dyDescent="0.25">
      <c r="A27" s="2" t="s">
        <v>1364</v>
      </c>
      <c r="B27" s="2" t="s">
        <v>1365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22"/>
  <sheetViews>
    <sheetView workbookViewId="0">
      <selection activeCell="A2" sqref="A2"/>
    </sheetView>
  </sheetViews>
  <sheetFormatPr defaultRowHeight="15" x14ac:dyDescent="0.25"/>
  <cols>
    <col min="1" max="1" width="25" customWidth="1"/>
    <col min="2" max="2" width="28" customWidth="1"/>
    <col min="3" max="5" width="22" customWidth="1"/>
    <col min="6" max="6" width="34" customWidth="1"/>
    <col min="7" max="7" width="65" customWidth="1"/>
  </cols>
  <sheetData>
    <row r="1" spans="1:7" x14ac:dyDescent="0.25">
      <c r="A1" s="1" t="s">
        <v>0</v>
      </c>
      <c r="B1" s="1" t="s">
        <v>1366</v>
      </c>
      <c r="C1" s="1" t="s">
        <v>1367</v>
      </c>
      <c r="D1" s="1" t="s">
        <v>1368</v>
      </c>
      <c r="E1" s="1" t="s">
        <v>1369</v>
      </c>
      <c r="F1" s="1" t="s">
        <v>1370</v>
      </c>
      <c r="G1" s="1" t="s">
        <v>1371</v>
      </c>
    </row>
    <row r="2" spans="1:7" ht="25.5" x14ac:dyDescent="0.25">
      <c r="A2" s="2" t="s">
        <v>1372</v>
      </c>
      <c r="B2" s="2" t="s">
        <v>1373</v>
      </c>
      <c r="C2" s="3" t="s">
        <v>1374</v>
      </c>
      <c r="D2" s="3" t="s">
        <v>1375</v>
      </c>
      <c r="E2" s="3" t="s">
        <v>1376</v>
      </c>
      <c r="F2" s="7" t="s">
        <v>1377</v>
      </c>
      <c r="G2" s="3" t="s">
        <v>1378</v>
      </c>
    </row>
    <row r="3" spans="1:7" ht="38.25" x14ac:dyDescent="0.25">
      <c r="A3" s="2">
        <v>220</v>
      </c>
      <c r="B3" s="2" t="s">
        <v>583</v>
      </c>
      <c r="C3" s="3" t="s">
        <v>1379</v>
      </c>
      <c r="D3" s="3" t="s">
        <v>1380</v>
      </c>
      <c r="E3" s="3" t="s">
        <v>1381</v>
      </c>
      <c r="F3" s="7" t="s">
        <v>1382</v>
      </c>
      <c r="G3" s="3" t="s">
        <v>1296</v>
      </c>
    </row>
    <row r="4" spans="1:7" ht="38.25" x14ac:dyDescent="0.25">
      <c r="A4" s="2">
        <v>219</v>
      </c>
      <c r="B4" s="2" t="s">
        <v>581</v>
      </c>
      <c r="C4" s="3" t="s">
        <v>1383</v>
      </c>
      <c r="D4" s="3" t="s">
        <v>1384</v>
      </c>
      <c r="E4" s="3" t="s">
        <v>1385</v>
      </c>
      <c r="F4" s="7" t="s">
        <v>1386</v>
      </c>
      <c r="G4" s="3" t="s">
        <v>1299</v>
      </c>
    </row>
    <row r="5" spans="1:7" ht="38.25" x14ac:dyDescent="0.25">
      <c r="A5" s="2">
        <v>218</v>
      </c>
      <c r="B5" s="2" t="s">
        <v>579</v>
      </c>
      <c r="C5" s="3" t="s">
        <v>1387</v>
      </c>
      <c r="D5" s="3" t="s">
        <v>1383</v>
      </c>
      <c r="E5" s="3" t="s">
        <v>1384</v>
      </c>
      <c r="F5" s="6" t="s">
        <v>1388</v>
      </c>
      <c r="G5" s="3" t="s">
        <v>1301</v>
      </c>
    </row>
    <row r="6" spans="1:7" ht="51" x14ac:dyDescent="0.25">
      <c r="A6" s="2">
        <v>217</v>
      </c>
      <c r="B6" s="2" t="s">
        <v>577</v>
      </c>
      <c r="C6" s="3" t="s">
        <v>1389</v>
      </c>
      <c r="D6" s="3" t="s">
        <v>1387</v>
      </c>
      <c r="E6" s="3" t="s">
        <v>1390</v>
      </c>
      <c r="F6" s="7" t="s">
        <v>1386</v>
      </c>
      <c r="G6" s="3" t="s">
        <v>1303</v>
      </c>
    </row>
    <row r="7" spans="1:7" ht="51" x14ac:dyDescent="0.25">
      <c r="A7" s="2">
        <v>216</v>
      </c>
      <c r="B7" s="2" t="s">
        <v>575</v>
      </c>
      <c r="C7" s="3" t="s">
        <v>1391</v>
      </c>
      <c r="D7" s="3" t="s">
        <v>1389</v>
      </c>
      <c r="E7" s="3" t="s">
        <v>1392</v>
      </c>
      <c r="F7" s="7" t="s">
        <v>1382</v>
      </c>
      <c r="G7" s="3" t="s">
        <v>1304</v>
      </c>
    </row>
    <row r="8" spans="1:7" ht="51" x14ac:dyDescent="0.25">
      <c r="A8" s="2">
        <v>215</v>
      </c>
      <c r="B8" s="2" t="s">
        <v>573</v>
      </c>
      <c r="C8" s="3" t="s">
        <v>1393</v>
      </c>
      <c r="D8" s="3" t="s">
        <v>1394</v>
      </c>
      <c r="E8" s="3" t="s">
        <v>1389</v>
      </c>
      <c r="F8" s="7" t="s">
        <v>1382</v>
      </c>
      <c r="G8" s="3" t="s">
        <v>1303</v>
      </c>
    </row>
    <row r="9" spans="1:7" ht="51" x14ac:dyDescent="0.25">
      <c r="A9" s="2">
        <v>214</v>
      </c>
      <c r="B9" s="2" t="s">
        <v>571</v>
      </c>
      <c r="C9" s="3" t="s">
        <v>1395</v>
      </c>
      <c r="D9" s="3" t="s">
        <v>1396</v>
      </c>
      <c r="E9" s="3" t="s">
        <v>1397</v>
      </c>
      <c r="F9" s="7" t="s">
        <v>1398</v>
      </c>
      <c r="G9" s="3" t="s">
        <v>1304</v>
      </c>
    </row>
    <row r="10" spans="1:7" ht="38.25" x14ac:dyDescent="0.25">
      <c r="A10" s="2">
        <v>213</v>
      </c>
      <c r="B10" s="2" t="s">
        <v>569</v>
      </c>
      <c r="C10" s="3" t="s">
        <v>1399</v>
      </c>
      <c r="D10" s="3" t="s">
        <v>1395</v>
      </c>
      <c r="E10" s="3" t="s">
        <v>1400</v>
      </c>
      <c r="F10" s="7" t="s">
        <v>1386</v>
      </c>
      <c r="G10" s="3" t="s">
        <v>1301</v>
      </c>
    </row>
    <row r="11" spans="1:7" ht="51" x14ac:dyDescent="0.25">
      <c r="A11" s="2">
        <v>212</v>
      </c>
      <c r="B11" s="2" t="s">
        <v>567</v>
      </c>
      <c r="C11" s="3" t="s">
        <v>1401</v>
      </c>
      <c r="D11" s="3" t="s">
        <v>1402</v>
      </c>
      <c r="E11" s="3" t="s">
        <v>1395</v>
      </c>
      <c r="F11" s="7" t="s">
        <v>1398</v>
      </c>
      <c r="G11" s="3" t="s">
        <v>1306</v>
      </c>
    </row>
    <row r="12" spans="1:7" ht="38.25" x14ac:dyDescent="0.25">
      <c r="A12" s="2">
        <v>211</v>
      </c>
      <c r="B12" s="2" t="s">
        <v>565</v>
      </c>
      <c r="C12" s="3" t="s">
        <v>1403</v>
      </c>
      <c r="D12" s="3" t="s">
        <v>1404</v>
      </c>
      <c r="E12" s="3" t="s">
        <v>1399</v>
      </c>
      <c r="F12" s="7" t="s">
        <v>1398</v>
      </c>
      <c r="G12" s="3" t="s">
        <v>1299</v>
      </c>
    </row>
    <row r="13" spans="1:7" ht="51" x14ac:dyDescent="0.25">
      <c r="A13" s="2">
        <v>210</v>
      </c>
      <c r="B13" s="2" t="s">
        <v>563</v>
      </c>
      <c r="C13" s="3" t="s">
        <v>1405</v>
      </c>
      <c r="D13" s="3" t="s">
        <v>1406</v>
      </c>
      <c r="E13" s="3" t="s">
        <v>1401</v>
      </c>
      <c r="F13" s="7" t="s">
        <v>1398</v>
      </c>
      <c r="G13" s="3" t="s">
        <v>1306</v>
      </c>
    </row>
    <row r="14" spans="1:7" ht="51" x14ac:dyDescent="0.25">
      <c r="A14" s="2">
        <v>209</v>
      </c>
      <c r="B14" s="2" t="s">
        <v>561</v>
      </c>
      <c r="C14" s="3" t="s">
        <v>1407</v>
      </c>
      <c r="D14" s="3" t="s">
        <v>1408</v>
      </c>
      <c r="E14" s="3" t="s">
        <v>1409</v>
      </c>
      <c r="F14" s="7" t="s">
        <v>1398</v>
      </c>
      <c r="G14" s="3" t="s">
        <v>1307</v>
      </c>
    </row>
    <row r="15" spans="1:7" ht="38.25" x14ac:dyDescent="0.25">
      <c r="A15" s="2">
        <v>208</v>
      </c>
      <c r="B15" s="2" t="s">
        <v>559</v>
      </c>
      <c r="C15" s="3" t="s">
        <v>1410</v>
      </c>
      <c r="D15" s="3" t="s">
        <v>1411</v>
      </c>
      <c r="E15" s="3" t="s">
        <v>1412</v>
      </c>
      <c r="F15" s="7" t="s">
        <v>1398</v>
      </c>
      <c r="G15" s="3" t="s">
        <v>1299</v>
      </c>
    </row>
    <row r="16" spans="1:7" ht="51" x14ac:dyDescent="0.25">
      <c r="A16" s="2">
        <v>207</v>
      </c>
      <c r="B16" s="2" t="s">
        <v>557</v>
      </c>
      <c r="C16" s="3" t="s">
        <v>1413</v>
      </c>
      <c r="D16" s="3" t="s">
        <v>1414</v>
      </c>
      <c r="E16" s="3" t="s">
        <v>1415</v>
      </c>
      <c r="F16" s="7" t="s">
        <v>1382</v>
      </c>
      <c r="G16" s="3" t="s">
        <v>1309</v>
      </c>
    </row>
    <row r="17" spans="1:7" x14ac:dyDescent="0.25">
      <c r="A17" s="2">
        <v>206</v>
      </c>
      <c r="B17" s="2" t="s">
        <v>555</v>
      </c>
      <c r="C17" s="3" t="s">
        <v>1416</v>
      </c>
      <c r="D17" s="3" t="s">
        <v>1417</v>
      </c>
      <c r="E17" s="3" t="s">
        <v>1410</v>
      </c>
      <c r="F17" s="7" t="s">
        <v>1382</v>
      </c>
      <c r="G17" s="3" t="s">
        <v>1310</v>
      </c>
    </row>
    <row r="18" spans="1:7" ht="51" x14ac:dyDescent="0.25">
      <c r="A18" s="2">
        <v>205</v>
      </c>
      <c r="B18" s="2" t="s">
        <v>553</v>
      </c>
      <c r="C18" s="3" t="s">
        <v>1418</v>
      </c>
      <c r="D18" s="3" t="s">
        <v>1419</v>
      </c>
      <c r="E18" s="3" t="s">
        <v>1420</v>
      </c>
      <c r="F18" s="7" t="s">
        <v>1382</v>
      </c>
      <c r="G18" s="3" t="s">
        <v>1303</v>
      </c>
    </row>
    <row r="19" spans="1:7" ht="38.25" x14ac:dyDescent="0.25">
      <c r="A19" s="2">
        <v>204</v>
      </c>
      <c r="B19" s="2" t="s">
        <v>551</v>
      </c>
      <c r="C19" s="3" t="s">
        <v>1421</v>
      </c>
      <c r="D19" s="3" t="s">
        <v>1422</v>
      </c>
      <c r="E19" s="3" t="s">
        <v>1419</v>
      </c>
      <c r="F19" s="7" t="s">
        <v>1382</v>
      </c>
      <c r="G19" s="3" t="s">
        <v>1311</v>
      </c>
    </row>
    <row r="20" spans="1:7" ht="38.25" x14ac:dyDescent="0.25">
      <c r="A20" s="2">
        <v>203</v>
      </c>
      <c r="B20" s="2" t="s">
        <v>549</v>
      </c>
      <c r="C20" s="3" t="s">
        <v>1423</v>
      </c>
      <c r="D20" s="3" t="s">
        <v>1424</v>
      </c>
      <c r="E20" s="3" t="s">
        <v>1425</v>
      </c>
      <c r="F20" s="7" t="s">
        <v>1382</v>
      </c>
      <c r="G20" s="3" t="s">
        <v>1312</v>
      </c>
    </row>
    <row r="21" spans="1:7" ht="51" x14ac:dyDescent="0.25">
      <c r="A21" s="2">
        <v>202</v>
      </c>
      <c r="B21" s="2" t="s">
        <v>547</v>
      </c>
      <c r="C21" s="3" t="s">
        <v>1426</v>
      </c>
      <c r="D21" s="3" t="s">
        <v>1427</v>
      </c>
      <c r="E21" s="3" t="s">
        <v>1428</v>
      </c>
      <c r="F21" s="7" t="s">
        <v>1382</v>
      </c>
      <c r="G21" s="3" t="s">
        <v>1306</v>
      </c>
    </row>
    <row r="22" spans="1:7" ht="51" x14ac:dyDescent="0.25">
      <c r="A22" s="2">
        <v>201</v>
      </c>
      <c r="B22" s="2" t="s">
        <v>545</v>
      </c>
      <c r="C22" s="3" t="s">
        <v>1429</v>
      </c>
      <c r="D22" s="3" t="s">
        <v>1430</v>
      </c>
      <c r="E22" s="3" t="s">
        <v>1431</v>
      </c>
      <c r="F22" s="6" t="s">
        <v>1388</v>
      </c>
      <c r="G22" s="3" t="s">
        <v>1303</v>
      </c>
    </row>
    <row r="23" spans="1:7" ht="51" x14ac:dyDescent="0.25">
      <c r="A23" s="2">
        <v>200</v>
      </c>
      <c r="B23" s="2" t="s">
        <v>543</v>
      </c>
      <c r="C23" s="3" t="s">
        <v>1432</v>
      </c>
      <c r="D23" s="3" t="s">
        <v>1429</v>
      </c>
      <c r="E23" s="3" t="s">
        <v>1433</v>
      </c>
      <c r="F23" s="7" t="s">
        <v>1386</v>
      </c>
      <c r="G23" s="3" t="s">
        <v>1313</v>
      </c>
    </row>
    <row r="24" spans="1:7" ht="51" x14ac:dyDescent="0.25">
      <c r="A24" s="2">
        <v>199</v>
      </c>
      <c r="B24" s="2" t="s">
        <v>541</v>
      </c>
      <c r="C24" s="3" t="s">
        <v>1434</v>
      </c>
      <c r="D24" s="3" t="s">
        <v>1432</v>
      </c>
      <c r="E24" s="3" t="s">
        <v>1435</v>
      </c>
      <c r="F24" s="7" t="s">
        <v>1382</v>
      </c>
      <c r="G24" s="3" t="s">
        <v>1304</v>
      </c>
    </row>
    <row r="25" spans="1:7" ht="38.25" x14ac:dyDescent="0.25">
      <c r="A25" s="2">
        <v>198</v>
      </c>
      <c r="B25" s="2" t="s">
        <v>539</v>
      </c>
      <c r="C25" s="3" t="s">
        <v>1436</v>
      </c>
      <c r="D25" s="3" t="s">
        <v>1436</v>
      </c>
      <c r="E25" s="3" t="s">
        <v>1437</v>
      </c>
      <c r="F25" s="7" t="s">
        <v>1386</v>
      </c>
      <c r="G25" s="3" t="s">
        <v>1296</v>
      </c>
    </row>
    <row r="26" spans="1:7" ht="51" x14ac:dyDescent="0.25">
      <c r="A26" s="2">
        <v>197</v>
      </c>
      <c r="B26" s="2" t="s">
        <v>537</v>
      </c>
      <c r="C26" s="3" t="s">
        <v>1438</v>
      </c>
      <c r="D26" s="3" t="s">
        <v>1436</v>
      </c>
      <c r="E26" s="3" t="s">
        <v>1436</v>
      </c>
      <c r="F26" s="7" t="s">
        <v>1382</v>
      </c>
      <c r="G26" s="3" t="s">
        <v>1307</v>
      </c>
    </row>
    <row r="27" spans="1:7" ht="51" x14ac:dyDescent="0.25">
      <c r="A27" s="2">
        <v>196</v>
      </c>
      <c r="B27" s="2" t="s">
        <v>535</v>
      </c>
      <c r="C27" s="3" t="s">
        <v>1429</v>
      </c>
      <c r="D27" s="3" t="s">
        <v>1439</v>
      </c>
      <c r="E27" s="3" t="s">
        <v>1440</v>
      </c>
      <c r="F27" s="7" t="s">
        <v>1398</v>
      </c>
      <c r="G27" s="3" t="s">
        <v>1313</v>
      </c>
    </row>
    <row r="28" spans="1:7" ht="38.25" x14ac:dyDescent="0.25">
      <c r="A28" s="2">
        <v>195</v>
      </c>
      <c r="B28" s="2" t="s">
        <v>533</v>
      </c>
      <c r="C28" s="3" t="s">
        <v>1432</v>
      </c>
      <c r="D28" s="3" t="s">
        <v>1441</v>
      </c>
      <c r="E28" s="3" t="s">
        <v>1442</v>
      </c>
      <c r="F28" s="7" t="s">
        <v>1398</v>
      </c>
      <c r="G28" s="3" t="s">
        <v>1314</v>
      </c>
    </row>
    <row r="29" spans="1:7" ht="51" x14ac:dyDescent="0.25">
      <c r="A29" s="2">
        <v>194</v>
      </c>
      <c r="B29" s="2" t="s">
        <v>531</v>
      </c>
      <c r="C29" s="3" t="s">
        <v>1443</v>
      </c>
      <c r="D29" s="3" t="s">
        <v>1444</v>
      </c>
      <c r="E29" s="3" t="s">
        <v>1435</v>
      </c>
      <c r="F29" s="7" t="s">
        <v>1382</v>
      </c>
      <c r="G29" s="3" t="s">
        <v>1309</v>
      </c>
    </row>
    <row r="30" spans="1:7" ht="38.25" x14ac:dyDescent="0.25">
      <c r="A30" s="2">
        <v>193</v>
      </c>
      <c r="B30" s="2" t="s">
        <v>529</v>
      </c>
      <c r="C30" s="3" t="s">
        <v>1445</v>
      </c>
      <c r="D30" s="3" t="s">
        <v>1446</v>
      </c>
      <c r="E30" s="3" t="s">
        <v>1432</v>
      </c>
      <c r="F30" s="7" t="s">
        <v>1382</v>
      </c>
      <c r="G30" s="3" t="s">
        <v>1315</v>
      </c>
    </row>
    <row r="31" spans="1:7" ht="51" x14ac:dyDescent="0.25">
      <c r="A31" s="2">
        <v>192</v>
      </c>
      <c r="B31" s="2" t="s">
        <v>527</v>
      </c>
      <c r="C31" s="3" t="s">
        <v>1447</v>
      </c>
      <c r="D31" s="3" t="s">
        <v>1448</v>
      </c>
      <c r="E31" s="3" t="s">
        <v>1449</v>
      </c>
      <c r="F31" s="7" t="s">
        <v>1382</v>
      </c>
      <c r="G31" s="3" t="s">
        <v>1304</v>
      </c>
    </row>
    <row r="32" spans="1:7" ht="51" x14ac:dyDescent="0.25">
      <c r="A32" s="2">
        <v>191</v>
      </c>
      <c r="B32" s="2" t="s">
        <v>525</v>
      </c>
      <c r="C32" s="3" t="s">
        <v>1450</v>
      </c>
      <c r="D32" s="3" t="s">
        <v>1451</v>
      </c>
      <c r="E32" s="3" t="s">
        <v>1452</v>
      </c>
      <c r="F32" s="7" t="s">
        <v>1382</v>
      </c>
      <c r="G32" s="3" t="s">
        <v>1290</v>
      </c>
    </row>
    <row r="33" spans="1:7" ht="51" x14ac:dyDescent="0.25">
      <c r="A33" s="2">
        <v>190</v>
      </c>
      <c r="B33" s="2" t="s">
        <v>523</v>
      </c>
      <c r="C33" s="3" t="s">
        <v>1453</v>
      </c>
      <c r="D33" s="3" t="s">
        <v>1454</v>
      </c>
      <c r="E33" s="3" t="s">
        <v>1455</v>
      </c>
      <c r="F33" s="7" t="s">
        <v>1382</v>
      </c>
      <c r="G33" s="3" t="s">
        <v>1316</v>
      </c>
    </row>
    <row r="34" spans="1:7" ht="51" x14ac:dyDescent="0.25">
      <c r="A34" s="2">
        <v>189</v>
      </c>
      <c r="B34" s="2" t="s">
        <v>521</v>
      </c>
      <c r="C34" s="3" t="s">
        <v>1456</v>
      </c>
      <c r="D34" s="3" t="s">
        <v>1405</v>
      </c>
      <c r="E34" s="3" t="s">
        <v>1457</v>
      </c>
      <c r="F34" s="7" t="s">
        <v>1386</v>
      </c>
      <c r="G34" s="3" t="s">
        <v>1290</v>
      </c>
    </row>
    <row r="35" spans="1:7" ht="51" x14ac:dyDescent="0.25">
      <c r="A35" s="2">
        <v>188</v>
      </c>
      <c r="B35" s="2" t="s">
        <v>519</v>
      </c>
      <c r="C35" s="3" t="s">
        <v>1458</v>
      </c>
      <c r="D35" s="3" t="s">
        <v>1459</v>
      </c>
      <c r="E35" s="3" t="s">
        <v>1412</v>
      </c>
      <c r="F35" s="7" t="s">
        <v>1382</v>
      </c>
      <c r="G35" s="3" t="s">
        <v>1316</v>
      </c>
    </row>
    <row r="36" spans="1:7" ht="51" x14ac:dyDescent="0.25">
      <c r="A36" s="2">
        <v>187</v>
      </c>
      <c r="B36" s="2" t="s">
        <v>517</v>
      </c>
      <c r="C36" s="3" t="s">
        <v>1460</v>
      </c>
      <c r="D36" s="3" t="s">
        <v>1461</v>
      </c>
      <c r="E36" s="3" t="s">
        <v>1456</v>
      </c>
      <c r="F36" s="6" t="s">
        <v>1388</v>
      </c>
      <c r="G36" s="3" t="s">
        <v>1290</v>
      </c>
    </row>
    <row r="37" spans="1:7" ht="38.25" x14ac:dyDescent="0.25">
      <c r="A37" s="2">
        <v>186</v>
      </c>
      <c r="B37" s="2" t="s">
        <v>515</v>
      </c>
      <c r="C37" s="3" t="s">
        <v>1399</v>
      </c>
      <c r="D37" s="3" t="s">
        <v>1460</v>
      </c>
      <c r="E37" s="3" t="s">
        <v>1461</v>
      </c>
      <c r="F37" s="6" t="s">
        <v>1388</v>
      </c>
      <c r="G37" s="3" t="s">
        <v>1314</v>
      </c>
    </row>
    <row r="38" spans="1:7" ht="51" x14ac:dyDescent="0.25">
      <c r="A38" s="2">
        <v>185</v>
      </c>
      <c r="B38" s="2" t="s">
        <v>513</v>
      </c>
      <c r="C38" s="3" t="s">
        <v>1462</v>
      </c>
      <c r="D38" s="3" t="s">
        <v>1399</v>
      </c>
      <c r="E38" s="3" t="s">
        <v>1463</v>
      </c>
      <c r="F38" s="7" t="s">
        <v>1386</v>
      </c>
      <c r="G38" s="3" t="s">
        <v>1317</v>
      </c>
    </row>
    <row r="39" spans="1:7" ht="38.25" x14ac:dyDescent="0.25">
      <c r="A39" s="2">
        <v>184</v>
      </c>
      <c r="B39" s="2" t="s">
        <v>511</v>
      </c>
      <c r="C39" s="3" t="s">
        <v>1464</v>
      </c>
      <c r="D39" s="3" t="s">
        <v>1465</v>
      </c>
      <c r="E39" s="3" t="s">
        <v>1466</v>
      </c>
      <c r="F39" s="7" t="s">
        <v>1398</v>
      </c>
      <c r="G39" s="3" t="s">
        <v>1318</v>
      </c>
    </row>
    <row r="40" spans="1:7" ht="51" x14ac:dyDescent="0.25">
      <c r="A40" s="2">
        <v>183</v>
      </c>
      <c r="B40" s="2" t="s">
        <v>509</v>
      </c>
      <c r="C40" s="3" t="s">
        <v>1395</v>
      </c>
      <c r="D40" s="3" t="s">
        <v>1467</v>
      </c>
      <c r="E40" s="3" t="s">
        <v>1468</v>
      </c>
      <c r="F40" s="7" t="s">
        <v>1398</v>
      </c>
      <c r="G40" s="3" t="s">
        <v>1306</v>
      </c>
    </row>
    <row r="41" spans="1:7" x14ac:dyDescent="0.25">
      <c r="A41" s="2">
        <v>182</v>
      </c>
      <c r="B41" s="2" t="s">
        <v>507</v>
      </c>
      <c r="C41" s="3" t="s">
        <v>1469</v>
      </c>
      <c r="D41" s="3" t="s">
        <v>1395</v>
      </c>
      <c r="E41" s="3" t="s">
        <v>1464</v>
      </c>
      <c r="F41" s="6" t="s">
        <v>1388</v>
      </c>
      <c r="G41" s="3" t="s">
        <v>1319</v>
      </c>
    </row>
    <row r="42" spans="1:7" ht="38.25" x14ac:dyDescent="0.25">
      <c r="A42" s="2">
        <v>181</v>
      </c>
      <c r="B42" s="2" t="s">
        <v>505</v>
      </c>
      <c r="C42" s="3" t="s">
        <v>1470</v>
      </c>
      <c r="D42" s="3" t="s">
        <v>1469</v>
      </c>
      <c r="E42" s="3" t="s">
        <v>1395</v>
      </c>
      <c r="F42" s="6" t="s">
        <v>1388</v>
      </c>
      <c r="G42" s="3" t="s">
        <v>1314</v>
      </c>
    </row>
    <row r="43" spans="1:7" ht="38.25" x14ac:dyDescent="0.25">
      <c r="A43" s="2">
        <v>180</v>
      </c>
      <c r="B43" s="2" t="s">
        <v>503</v>
      </c>
      <c r="C43" s="3" t="s">
        <v>1471</v>
      </c>
      <c r="D43" s="3" t="s">
        <v>1470</v>
      </c>
      <c r="E43" s="3" t="s">
        <v>1472</v>
      </c>
      <c r="F43" s="7" t="s">
        <v>1386</v>
      </c>
      <c r="G43" s="3" t="s">
        <v>1299</v>
      </c>
    </row>
    <row r="44" spans="1:7" ht="51" x14ac:dyDescent="0.25">
      <c r="A44" s="2">
        <v>179</v>
      </c>
      <c r="B44" s="2" t="s">
        <v>501</v>
      </c>
      <c r="C44" s="3" t="s">
        <v>1473</v>
      </c>
      <c r="D44" s="3" t="s">
        <v>1474</v>
      </c>
      <c r="E44" s="3" t="s">
        <v>1470</v>
      </c>
      <c r="F44" s="7" t="s">
        <v>1382</v>
      </c>
      <c r="G44" s="3" t="s">
        <v>1309</v>
      </c>
    </row>
    <row r="45" spans="1:7" ht="51" x14ac:dyDescent="0.25">
      <c r="A45" s="2">
        <v>178</v>
      </c>
      <c r="B45" s="2" t="s">
        <v>499</v>
      </c>
      <c r="C45" s="3" t="s">
        <v>1445</v>
      </c>
      <c r="D45" s="3" t="s">
        <v>1475</v>
      </c>
      <c r="E45" s="3" t="s">
        <v>1476</v>
      </c>
      <c r="F45" s="7" t="s">
        <v>1382</v>
      </c>
      <c r="G45" s="3" t="s">
        <v>1306</v>
      </c>
    </row>
    <row r="46" spans="1:7" ht="38.25" x14ac:dyDescent="0.25">
      <c r="A46" s="2">
        <v>177</v>
      </c>
      <c r="B46" s="2" t="s">
        <v>497</v>
      </c>
      <c r="C46" s="3" t="s">
        <v>1434</v>
      </c>
      <c r="D46" s="3" t="s">
        <v>1448</v>
      </c>
      <c r="E46" s="3" t="s">
        <v>1477</v>
      </c>
      <c r="F46" s="7" t="s">
        <v>1382</v>
      </c>
      <c r="G46" s="3" t="s">
        <v>1299</v>
      </c>
    </row>
    <row r="47" spans="1:7" ht="38.25" x14ac:dyDescent="0.25">
      <c r="A47" s="2">
        <v>176</v>
      </c>
      <c r="B47" s="2" t="s">
        <v>495</v>
      </c>
      <c r="C47" s="3" t="s">
        <v>1478</v>
      </c>
      <c r="D47" s="3" t="s">
        <v>1436</v>
      </c>
      <c r="E47" s="3" t="s">
        <v>1452</v>
      </c>
      <c r="F47" s="7" t="s">
        <v>1386</v>
      </c>
      <c r="G47" s="3" t="s">
        <v>1315</v>
      </c>
    </row>
    <row r="48" spans="1:7" ht="38.25" x14ac:dyDescent="0.25">
      <c r="A48" s="2">
        <v>175</v>
      </c>
      <c r="B48" s="2" t="s">
        <v>493</v>
      </c>
      <c r="C48" s="3" t="s">
        <v>1479</v>
      </c>
      <c r="D48" s="3" t="s">
        <v>1478</v>
      </c>
      <c r="E48" s="3" t="s">
        <v>1436</v>
      </c>
      <c r="F48" s="6" t="s">
        <v>1388</v>
      </c>
      <c r="G48" s="3" t="s">
        <v>1293</v>
      </c>
    </row>
    <row r="49" spans="1:7" ht="51" x14ac:dyDescent="0.25">
      <c r="A49" s="2">
        <v>174</v>
      </c>
      <c r="B49" s="2" t="s">
        <v>491</v>
      </c>
      <c r="C49" s="3" t="s">
        <v>1480</v>
      </c>
      <c r="D49" s="3" t="s">
        <v>1479</v>
      </c>
      <c r="E49" s="3" t="s">
        <v>1481</v>
      </c>
      <c r="F49" s="7" t="s">
        <v>1382</v>
      </c>
      <c r="G49" s="3" t="s">
        <v>1290</v>
      </c>
    </row>
    <row r="50" spans="1:7" ht="38.25" x14ac:dyDescent="0.25">
      <c r="A50" s="2">
        <v>173</v>
      </c>
      <c r="B50" s="2" t="s">
        <v>489</v>
      </c>
      <c r="C50" s="3" t="s">
        <v>1482</v>
      </c>
      <c r="D50" s="3" t="s">
        <v>1483</v>
      </c>
      <c r="E50" s="3" t="s">
        <v>1479</v>
      </c>
      <c r="F50" s="7" t="s">
        <v>1398</v>
      </c>
      <c r="G50" s="3" t="s">
        <v>1312</v>
      </c>
    </row>
    <row r="51" spans="1:7" ht="51" x14ac:dyDescent="0.25">
      <c r="A51" s="2">
        <v>172</v>
      </c>
      <c r="B51" s="2" t="s">
        <v>487</v>
      </c>
      <c r="C51" s="3" t="s">
        <v>1484</v>
      </c>
      <c r="D51" s="3" t="s">
        <v>1485</v>
      </c>
      <c r="E51" s="3" t="s">
        <v>1486</v>
      </c>
      <c r="F51" s="7" t="s">
        <v>1382</v>
      </c>
      <c r="G51" s="3" t="s">
        <v>1303</v>
      </c>
    </row>
    <row r="52" spans="1:7" ht="38.25" x14ac:dyDescent="0.25">
      <c r="A52" s="2">
        <v>171</v>
      </c>
      <c r="B52" s="2" t="s">
        <v>485</v>
      </c>
      <c r="C52" s="3" t="s">
        <v>1426</v>
      </c>
      <c r="D52" s="3" t="s">
        <v>1487</v>
      </c>
      <c r="E52" s="3" t="s">
        <v>1482</v>
      </c>
      <c r="F52" s="7" t="s">
        <v>1382</v>
      </c>
      <c r="G52" s="3" t="s">
        <v>1301</v>
      </c>
    </row>
    <row r="53" spans="1:7" ht="38.25" x14ac:dyDescent="0.25">
      <c r="A53" s="2">
        <v>170</v>
      </c>
      <c r="B53" s="2" t="s">
        <v>483</v>
      </c>
      <c r="C53" s="3" t="s">
        <v>1488</v>
      </c>
      <c r="D53" s="3" t="s">
        <v>1489</v>
      </c>
      <c r="E53" s="3" t="s">
        <v>1490</v>
      </c>
      <c r="F53" s="7" t="s">
        <v>1382</v>
      </c>
      <c r="G53" s="3" t="s">
        <v>1320</v>
      </c>
    </row>
    <row r="54" spans="1:7" ht="51" x14ac:dyDescent="0.25">
      <c r="A54" s="2">
        <v>169</v>
      </c>
      <c r="B54" s="2" t="s">
        <v>481</v>
      </c>
      <c r="C54" s="3" t="s">
        <v>1491</v>
      </c>
      <c r="D54" s="3" t="s">
        <v>1492</v>
      </c>
      <c r="E54" s="3" t="s">
        <v>1430</v>
      </c>
      <c r="F54" s="7" t="s">
        <v>1382</v>
      </c>
      <c r="G54" s="3" t="s">
        <v>1309</v>
      </c>
    </row>
    <row r="55" spans="1:7" ht="51" x14ac:dyDescent="0.25">
      <c r="A55" s="2">
        <v>168</v>
      </c>
      <c r="B55" s="2" t="s">
        <v>479</v>
      </c>
      <c r="C55" s="3" t="s">
        <v>1493</v>
      </c>
      <c r="D55" s="3" t="s">
        <v>1494</v>
      </c>
      <c r="E55" s="3" t="s">
        <v>1495</v>
      </c>
      <c r="F55" s="7" t="s">
        <v>1386</v>
      </c>
      <c r="G55" s="3" t="s">
        <v>1307</v>
      </c>
    </row>
    <row r="56" spans="1:7" ht="38.25" x14ac:dyDescent="0.25">
      <c r="A56" s="2">
        <v>167</v>
      </c>
      <c r="B56" s="2" t="s">
        <v>477</v>
      </c>
      <c r="C56" s="3" t="s">
        <v>1425</v>
      </c>
      <c r="D56" s="3" t="s">
        <v>1493</v>
      </c>
      <c r="E56" s="3" t="s">
        <v>1496</v>
      </c>
      <c r="F56" s="7" t="s">
        <v>1386</v>
      </c>
      <c r="G56" s="3" t="s">
        <v>1293</v>
      </c>
    </row>
    <row r="57" spans="1:7" ht="38.25" x14ac:dyDescent="0.25">
      <c r="A57" s="2">
        <v>166</v>
      </c>
      <c r="B57" s="2" t="s">
        <v>475</v>
      </c>
      <c r="C57" s="3" t="s">
        <v>1401</v>
      </c>
      <c r="D57" s="3" t="s">
        <v>1425</v>
      </c>
      <c r="E57" s="3" t="s">
        <v>1493</v>
      </c>
      <c r="F57" s="6" t="s">
        <v>1388</v>
      </c>
      <c r="G57" s="3" t="s">
        <v>1293</v>
      </c>
    </row>
    <row r="58" spans="1:7" ht="51" x14ac:dyDescent="0.25">
      <c r="A58" s="2">
        <v>165</v>
      </c>
      <c r="B58" s="2" t="s">
        <v>473</v>
      </c>
      <c r="C58" s="3" t="s">
        <v>1497</v>
      </c>
      <c r="D58" s="3" t="s">
        <v>1404</v>
      </c>
      <c r="E58" s="3" t="s">
        <v>1498</v>
      </c>
      <c r="F58" s="7" t="s">
        <v>1382</v>
      </c>
      <c r="G58" s="3" t="s">
        <v>1316</v>
      </c>
    </row>
    <row r="59" spans="1:7" ht="38.25" x14ac:dyDescent="0.25">
      <c r="A59" s="2">
        <v>164</v>
      </c>
      <c r="B59" s="2" t="s">
        <v>471</v>
      </c>
      <c r="C59" s="3" t="s">
        <v>1499</v>
      </c>
      <c r="D59" s="3" t="s">
        <v>1500</v>
      </c>
      <c r="E59" s="3" t="s">
        <v>1401</v>
      </c>
      <c r="F59" s="6" t="s">
        <v>1388</v>
      </c>
      <c r="G59" s="3" t="s">
        <v>1315</v>
      </c>
    </row>
    <row r="60" spans="1:7" ht="51" x14ac:dyDescent="0.25">
      <c r="A60" s="2">
        <v>163</v>
      </c>
      <c r="B60" s="2" t="s">
        <v>469</v>
      </c>
      <c r="C60" s="3" t="s">
        <v>1501</v>
      </c>
      <c r="D60" s="3" t="s">
        <v>1502</v>
      </c>
      <c r="E60" s="3" t="s">
        <v>1503</v>
      </c>
      <c r="F60" s="7" t="s">
        <v>1398</v>
      </c>
      <c r="G60" s="3" t="s">
        <v>1290</v>
      </c>
    </row>
    <row r="61" spans="1:7" ht="38.25" x14ac:dyDescent="0.25">
      <c r="A61" s="2">
        <v>162</v>
      </c>
      <c r="B61" s="2" t="s">
        <v>467</v>
      </c>
      <c r="C61" s="3" t="s">
        <v>1504</v>
      </c>
      <c r="D61" s="3" t="s">
        <v>1505</v>
      </c>
      <c r="E61" s="3" t="s">
        <v>1499</v>
      </c>
      <c r="F61" s="7" t="s">
        <v>1398</v>
      </c>
      <c r="G61" s="3" t="s">
        <v>1318</v>
      </c>
    </row>
    <row r="62" spans="1:7" ht="51" x14ac:dyDescent="0.25">
      <c r="A62" s="2">
        <v>161</v>
      </c>
      <c r="B62" s="2" t="s">
        <v>465</v>
      </c>
      <c r="C62" s="3" t="s">
        <v>1506</v>
      </c>
      <c r="D62" s="3" t="s">
        <v>1507</v>
      </c>
      <c r="E62" s="3" t="s">
        <v>1508</v>
      </c>
      <c r="F62" s="7" t="s">
        <v>1382</v>
      </c>
      <c r="G62" s="3" t="s">
        <v>1306</v>
      </c>
    </row>
    <row r="63" spans="1:7" ht="51" x14ac:dyDescent="0.25">
      <c r="A63" s="2">
        <v>160</v>
      </c>
      <c r="B63" s="2" t="s">
        <v>463</v>
      </c>
      <c r="C63" s="3" t="s">
        <v>1509</v>
      </c>
      <c r="D63" s="3" t="s">
        <v>1510</v>
      </c>
      <c r="E63" s="3" t="s">
        <v>1511</v>
      </c>
      <c r="F63" s="7" t="s">
        <v>1398</v>
      </c>
      <c r="G63" s="3" t="s">
        <v>1307</v>
      </c>
    </row>
    <row r="64" spans="1:7" ht="38.25" x14ac:dyDescent="0.25">
      <c r="A64" s="2">
        <v>159</v>
      </c>
      <c r="B64" s="2" t="s">
        <v>461</v>
      </c>
      <c r="C64" s="3" t="s">
        <v>1512</v>
      </c>
      <c r="D64" s="3" t="s">
        <v>1509</v>
      </c>
      <c r="E64" s="3" t="s">
        <v>1513</v>
      </c>
      <c r="F64" s="7" t="s">
        <v>1386</v>
      </c>
      <c r="G64" s="3" t="s">
        <v>1315</v>
      </c>
    </row>
    <row r="65" spans="1:7" ht="51" x14ac:dyDescent="0.25">
      <c r="A65" s="2">
        <v>158</v>
      </c>
      <c r="B65" s="2" t="s">
        <v>459</v>
      </c>
      <c r="C65" s="3" t="s">
        <v>1514</v>
      </c>
      <c r="D65" s="3" t="s">
        <v>1512</v>
      </c>
      <c r="E65" s="3" t="s">
        <v>1509</v>
      </c>
      <c r="F65" s="7" t="s">
        <v>1382</v>
      </c>
      <c r="G65" s="3" t="s">
        <v>1317</v>
      </c>
    </row>
    <row r="66" spans="1:7" ht="51" x14ac:dyDescent="0.25">
      <c r="A66" s="2">
        <v>157</v>
      </c>
      <c r="B66" s="2" t="s">
        <v>457</v>
      </c>
      <c r="C66" s="3" t="s">
        <v>1425</v>
      </c>
      <c r="D66" s="3" t="s">
        <v>1467</v>
      </c>
      <c r="E66" s="3" t="s">
        <v>1515</v>
      </c>
      <c r="F66" s="7" t="s">
        <v>1398</v>
      </c>
      <c r="G66" s="3" t="s">
        <v>1290</v>
      </c>
    </row>
    <row r="67" spans="1:7" ht="38.25" x14ac:dyDescent="0.25">
      <c r="A67" s="2">
        <v>156</v>
      </c>
      <c r="B67" s="2" t="s">
        <v>455</v>
      </c>
      <c r="C67" s="3" t="s">
        <v>1516</v>
      </c>
      <c r="D67" s="3" t="s">
        <v>1422</v>
      </c>
      <c r="E67" s="3" t="s">
        <v>1464</v>
      </c>
      <c r="F67" s="7" t="s">
        <v>1398</v>
      </c>
      <c r="G67" s="3" t="s">
        <v>1299</v>
      </c>
    </row>
    <row r="68" spans="1:7" ht="51" x14ac:dyDescent="0.25">
      <c r="A68" s="2">
        <v>155</v>
      </c>
      <c r="B68" s="2" t="s">
        <v>453</v>
      </c>
      <c r="C68" s="3" t="s">
        <v>1517</v>
      </c>
      <c r="D68" s="3" t="s">
        <v>1518</v>
      </c>
      <c r="E68" s="3" t="s">
        <v>1425</v>
      </c>
      <c r="F68" s="7" t="s">
        <v>1398</v>
      </c>
      <c r="G68" s="3" t="s">
        <v>1313</v>
      </c>
    </row>
    <row r="69" spans="1:7" ht="51" x14ac:dyDescent="0.25">
      <c r="A69" s="2">
        <v>154</v>
      </c>
      <c r="B69" s="2" t="s">
        <v>451</v>
      </c>
      <c r="C69" s="3" t="s">
        <v>1519</v>
      </c>
      <c r="D69" s="3" t="s">
        <v>1517</v>
      </c>
      <c r="E69" s="3" t="s">
        <v>1516</v>
      </c>
      <c r="F69" s="7" t="s">
        <v>1382</v>
      </c>
      <c r="G69" s="3" t="s">
        <v>1290</v>
      </c>
    </row>
    <row r="70" spans="1:7" ht="38.25" x14ac:dyDescent="0.25">
      <c r="A70" s="2">
        <v>153</v>
      </c>
      <c r="B70" s="2" t="s">
        <v>449</v>
      </c>
      <c r="C70" s="3" t="s">
        <v>1520</v>
      </c>
      <c r="D70" s="3" t="s">
        <v>1521</v>
      </c>
      <c r="E70" s="3" t="s">
        <v>1517</v>
      </c>
      <c r="F70" s="7" t="s">
        <v>1398</v>
      </c>
      <c r="G70" s="3" t="s">
        <v>1293</v>
      </c>
    </row>
    <row r="71" spans="1:7" ht="38.25" x14ac:dyDescent="0.25">
      <c r="A71" s="2">
        <v>152</v>
      </c>
      <c r="B71" s="2" t="s">
        <v>447</v>
      </c>
      <c r="C71" s="3" t="s">
        <v>1475</v>
      </c>
      <c r="D71" s="3" t="s">
        <v>1522</v>
      </c>
      <c r="E71" s="3" t="s">
        <v>1523</v>
      </c>
      <c r="F71" s="7" t="s">
        <v>1398</v>
      </c>
      <c r="G71" s="3" t="s">
        <v>1315</v>
      </c>
    </row>
    <row r="72" spans="1:7" ht="51" x14ac:dyDescent="0.25">
      <c r="A72" s="2">
        <v>151</v>
      </c>
      <c r="B72" s="2" t="s">
        <v>445</v>
      </c>
      <c r="C72" s="3" t="s">
        <v>1381</v>
      </c>
      <c r="D72" s="3" t="s">
        <v>1524</v>
      </c>
      <c r="E72" s="3" t="s">
        <v>1525</v>
      </c>
      <c r="F72" s="7" t="s">
        <v>1398</v>
      </c>
      <c r="G72" s="3" t="s">
        <v>1307</v>
      </c>
    </row>
    <row r="73" spans="1:7" ht="38.25" x14ac:dyDescent="0.25">
      <c r="A73" s="2">
        <v>150</v>
      </c>
      <c r="B73" s="2" t="s">
        <v>443</v>
      </c>
      <c r="C73" s="3" t="s">
        <v>1425</v>
      </c>
      <c r="D73" s="3" t="s">
        <v>1381</v>
      </c>
      <c r="E73" s="3" t="s">
        <v>1475</v>
      </c>
      <c r="F73" s="6" t="s">
        <v>1388</v>
      </c>
      <c r="G73" s="3" t="s">
        <v>1301</v>
      </c>
    </row>
    <row r="74" spans="1:7" ht="51" x14ac:dyDescent="0.25">
      <c r="A74" s="2">
        <v>149</v>
      </c>
      <c r="B74" s="2" t="s">
        <v>441</v>
      </c>
      <c r="C74" s="3" t="s">
        <v>1526</v>
      </c>
      <c r="D74" s="3" t="s">
        <v>1422</v>
      </c>
      <c r="E74" s="3" t="s">
        <v>1527</v>
      </c>
      <c r="F74" s="7" t="s">
        <v>1382</v>
      </c>
      <c r="G74" s="3" t="s">
        <v>1309</v>
      </c>
    </row>
    <row r="75" spans="1:7" ht="51" x14ac:dyDescent="0.25">
      <c r="A75" s="2">
        <v>148</v>
      </c>
      <c r="B75" s="2" t="s">
        <v>439</v>
      </c>
      <c r="C75" s="3" t="s">
        <v>1410</v>
      </c>
      <c r="D75" s="3" t="s">
        <v>1493</v>
      </c>
      <c r="E75" s="3" t="s">
        <v>1498</v>
      </c>
      <c r="F75" s="7" t="s">
        <v>1386</v>
      </c>
      <c r="G75" s="3" t="s">
        <v>1307</v>
      </c>
    </row>
    <row r="76" spans="1:7" ht="51" x14ac:dyDescent="0.25">
      <c r="A76" s="2">
        <v>147</v>
      </c>
      <c r="B76" s="2" t="s">
        <v>437</v>
      </c>
      <c r="C76" s="3" t="s">
        <v>1482</v>
      </c>
      <c r="D76" s="3" t="s">
        <v>1414</v>
      </c>
      <c r="E76" s="3" t="s">
        <v>1528</v>
      </c>
      <c r="F76" s="7" t="s">
        <v>1398</v>
      </c>
      <c r="G76" s="3" t="s">
        <v>1290</v>
      </c>
    </row>
    <row r="77" spans="1:7" ht="38.25" x14ac:dyDescent="0.25">
      <c r="A77" s="2">
        <v>146</v>
      </c>
      <c r="B77" s="2" t="s">
        <v>435</v>
      </c>
      <c r="C77" s="3" t="s">
        <v>1529</v>
      </c>
      <c r="D77" s="3" t="s">
        <v>1482</v>
      </c>
      <c r="E77" s="3" t="s">
        <v>1530</v>
      </c>
      <c r="F77" s="7" t="s">
        <v>1382</v>
      </c>
      <c r="G77" s="3" t="s">
        <v>1311</v>
      </c>
    </row>
    <row r="78" spans="1:7" ht="38.25" x14ac:dyDescent="0.25">
      <c r="A78" s="2">
        <v>145</v>
      </c>
      <c r="B78" s="2" t="s">
        <v>433</v>
      </c>
      <c r="C78" s="3" t="s">
        <v>1531</v>
      </c>
      <c r="D78" s="3" t="s">
        <v>1479</v>
      </c>
      <c r="E78" s="3" t="s">
        <v>1532</v>
      </c>
      <c r="F78" s="7" t="s">
        <v>1382</v>
      </c>
      <c r="G78" s="3" t="s">
        <v>1315</v>
      </c>
    </row>
    <row r="79" spans="1:7" ht="51" x14ac:dyDescent="0.25">
      <c r="A79" s="2">
        <v>144</v>
      </c>
      <c r="B79" s="2" t="s">
        <v>431</v>
      </c>
      <c r="C79" s="3" t="s">
        <v>1436</v>
      </c>
      <c r="D79" s="3" t="s">
        <v>1533</v>
      </c>
      <c r="E79" s="3" t="s">
        <v>1534</v>
      </c>
      <c r="F79" s="7" t="s">
        <v>1398</v>
      </c>
      <c r="G79" s="3" t="s">
        <v>1321</v>
      </c>
    </row>
    <row r="80" spans="1:7" ht="38.25" x14ac:dyDescent="0.25">
      <c r="A80" s="2">
        <v>143</v>
      </c>
      <c r="B80" s="2" t="s">
        <v>429</v>
      </c>
      <c r="C80" s="3" t="s">
        <v>1535</v>
      </c>
      <c r="D80" s="3" t="s">
        <v>1536</v>
      </c>
      <c r="E80" s="3" t="s">
        <v>1537</v>
      </c>
      <c r="F80" s="7" t="s">
        <v>1398</v>
      </c>
      <c r="G80" s="3" t="s">
        <v>1301</v>
      </c>
    </row>
    <row r="81" spans="1:7" ht="51" x14ac:dyDescent="0.25">
      <c r="A81" s="2">
        <v>142</v>
      </c>
      <c r="B81" s="2" t="s">
        <v>427</v>
      </c>
      <c r="C81" s="3" t="s">
        <v>1538</v>
      </c>
      <c r="D81" s="3" t="s">
        <v>1539</v>
      </c>
      <c r="E81" s="3" t="s">
        <v>1436</v>
      </c>
      <c r="F81" s="7" t="s">
        <v>1398</v>
      </c>
      <c r="G81" s="3" t="s">
        <v>1321</v>
      </c>
    </row>
    <row r="82" spans="1:7" ht="51" x14ac:dyDescent="0.25">
      <c r="A82" s="2">
        <v>141</v>
      </c>
      <c r="B82" s="2" t="s">
        <v>425</v>
      </c>
      <c r="C82" s="3" t="s">
        <v>1540</v>
      </c>
      <c r="D82" s="3" t="s">
        <v>1541</v>
      </c>
      <c r="E82" s="3" t="s">
        <v>1535</v>
      </c>
      <c r="F82" s="7" t="s">
        <v>1382</v>
      </c>
      <c r="G82" s="3" t="s">
        <v>1317</v>
      </c>
    </row>
    <row r="83" spans="1:7" ht="38.25" x14ac:dyDescent="0.25">
      <c r="A83" s="2">
        <v>140</v>
      </c>
      <c r="B83" s="2" t="s">
        <v>423</v>
      </c>
      <c r="C83" s="3" t="s">
        <v>1542</v>
      </c>
      <c r="D83" s="3" t="s">
        <v>1543</v>
      </c>
      <c r="E83" s="3" t="s">
        <v>1538</v>
      </c>
      <c r="F83" s="6" t="s">
        <v>1388</v>
      </c>
      <c r="G83" s="3" t="s">
        <v>1296</v>
      </c>
    </row>
    <row r="84" spans="1:7" ht="51" x14ac:dyDescent="0.25">
      <c r="A84" s="2">
        <v>139</v>
      </c>
      <c r="B84" s="2" t="s">
        <v>421</v>
      </c>
      <c r="C84" s="3" t="s">
        <v>1484</v>
      </c>
      <c r="D84" s="3" t="s">
        <v>1544</v>
      </c>
      <c r="E84" s="3" t="s">
        <v>1545</v>
      </c>
      <c r="F84" s="7" t="s">
        <v>1382</v>
      </c>
      <c r="G84" s="3" t="s">
        <v>1313</v>
      </c>
    </row>
    <row r="85" spans="1:7" ht="51" x14ac:dyDescent="0.25">
      <c r="A85" s="2">
        <v>138</v>
      </c>
      <c r="B85" s="2" t="s">
        <v>419</v>
      </c>
      <c r="C85" s="3" t="s">
        <v>1391</v>
      </c>
      <c r="D85" s="3" t="s">
        <v>1490</v>
      </c>
      <c r="E85" s="3" t="s">
        <v>1542</v>
      </c>
      <c r="F85" s="7" t="s">
        <v>1382</v>
      </c>
      <c r="G85" s="3" t="s">
        <v>1306</v>
      </c>
    </row>
    <row r="86" spans="1:7" ht="38.25" x14ac:dyDescent="0.25">
      <c r="A86" s="2">
        <v>137</v>
      </c>
      <c r="B86" s="2" t="s">
        <v>417</v>
      </c>
      <c r="C86" s="3" t="s">
        <v>1448</v>
      </c>
      <c r="D86" s="3" t="s">
        <v>1546</v>
      </c>
      <c r="E86" s="3" t="s">
        <v>1547</v>
      </c>
      <c r="F86" s="7" t="s">
        <v>1386</v>
      </c>
      <c r="G86" s="3" t="s">
        <v>1299</v>
      </c>
    </row>
    <row r="87" spans="1:7" ht="51" x14ac:dyDescent="0.25">
      <c r="A87" s="2">
        <v>136</v>
      </c>
      <c r="B87" s="2" t="s">
        <v>415</v>
      </c>
      <c r="C87" s="3" t="s">
        <v>1548</v>
      </c>
      <c r="D87" s="3" t="s">
        <v>1549</v>
      </c>
      <c r="E87" s="3" t="s">
        <v>1397</v>
      </c>
      <c r="F87" s="7" t="s">
        <v>1382</v>
      </c>
      <c r="G87" s="3" t="s">
        <v>1307</v>
      </c>
    </row>
    <row r="88" spans="1:7" ht="38.25" x14ac:dyDescent="0.25">
      <c r="A88" s="2">
        <v>135</v>
      </c>
      <c r="B88" s="2" t="s">
        <v>413</v>
      </c>
      <c r="C88" s="3" t="s">
        <v>1550</v>
      </c>
      <c r="D88" s="3" t="s">
        <v>1465</v>
      </c>
      <c r="E88" s="3" t="s">
        <v>1448</v>
      </c>
      <c r="F88" s="7" t="s">
        <v>1382</v>
      </c>
      <c r="G88" s="3" t="s">
        <v>1318</v>
      </c>
    </row>
    <row r="89" spans="1:7" ht="38.25" x14ac:dyDescent="0.25">
      <c r="A89" s="2">
        <v>134</v>
      </c>
      <c r="B89" s="2" t="s">
        <v>411</v>
      </c>
      <c r="C89" s="3" t="s">
        <v>1436</v>
      </c>
      <c r="D89" s="3" t="s">
        <v>1478</v>
      </c>
      <c r="E89" s="3" t="s">
        <v>1468</v>
      </c>
      <c r="F89" s="7" t="s">
        <v>1386</v>
      </c>
      <c r="G89" s="3" t="s">
        <v>1315</v>
      </c>
    </row>
    <row r="90" spans="1:7" ht="38.25" x14ac:dyDescent="0.25">
      <c r="A90" s="2">
        <v>133</v>
      </c>
      <c r="B90" s="2" t="s">
        <v>409</v>
      </c>
      <c r="C90" s="3" t="s">
        <v>1551</v>
      </c>
      <c r="D90" s="3" t="s">
        <v>1536</v>
      </c>
      <c r="E90" s="3" t="s">
        <v>1481</v>
      </c>
      <c r="F90" s="7" t="s">
        <v>1398</v>
      </c>
      <c r="G90" s="3" t="s">
        <v>1299</v>
      </c>
    </row>
    <row r="91" spans="1:7" ht="51" x14ac:dyDescent="0.25">
      <c r="A91" s="2">
        <v>132</v>
      </c>
      <c r="B91" s="2" t="s">
        <v>407</v>
      </c>
      <c r="C91" s="3" t="s">
        <v>1552</v>
      </c>
      <c r="D91" s="3" t="s">
        <v>1553</v>
      </c>
      <c r="E91" s="3" t="s">
        <v>1440</v>
      </c>
      <c r="F91" s="7" t="s">
        <v>1382</v>
      </c>
      <c r="G91" s="3" t="s">
        <v>1317</v>
      </c>
    </row>
    <row r="92" spans="1:7" ht="51" x14ac:dyDescent="0.25">
      <c r="A92" s="2">
        <v>131</v>
      </c>
      <c r="B92" s="2" t="s">
        <v>405</v>
      </c>
      <c r="C92" s="3" t="s">
        <v>1484</v>
      </c>
      <c r="D92" s="3" t="s">
        <v>1504</v>
      </c>
      <c r="E92" s="3" t="s">
        <v>1551</v>
      </c>
      <c r="F92" s="7" t="s">
        <v>1382</v>
      </c>
      <c r="G92" s="3" t="s">
        <v>1303</v>
      </c>
    </row>
    <row r="93" spans="1:7" ht="51" x14ac:dyDescent="0.25">
      <c r="A93" s="2">
        <v>130</v>
      </c>
      <c r="B93" s="2" t="s">
        <v>403</v>
      </c>
      <c r="C93" s="3" t="s">
        <v>1458</v>
      </c>
      <c r="D93" s="3" t="s">
        <v>1487</v>
      </c>
      <c r="E93" s="3" t="s">
        <v>1511</v>
      </c>
      <c r="F93" s="7" t="s">
        <v>1382</v>
      </c>
      <c r="G93" s="3" t="s">
        <v>1313</v>
      </c>
    </row>
    <row r="94" spans="1:7" ht="51" x14ac:dyDescent="0.25">
      <c r="A94" s="2">
        <v>129</v>
      </c>
      <c r="B94" s="2" t="s">
        <v>401</v>
      </c>
      <c r="C94" s="3" t="s">
        <v>1554</v>
      </c>
      <c r="D94" s="3" t="s">
        <v>1555</v>
      </c>
      <c r="E94" s="3" t="s">
        <v>1547</v>
      </c>
      <c r="F94" s="7" t="s">
        <v>1398</v>
      </c>
      <c r="G94" s="3" t="s">
        <v>1303</v>
      </c>
    </row>
    <row r="95" spans="1:7" ht="38.25" x14ac:dyDescent="0.25">
      <c r="A95" s="2">
        <v>128</v>
      </c>
      <c r="B95" s="2" t="s">
        <v>399</v>
      </c>
      <c r="C95" s="3" t="s">
        <v>1432</v>
      </c>
      <c r="D95" s="3" t="s">
        <v>1556</v>
      </c>
      <c r="E95" s="3" t="s">
        <v>1461</v>
      </c>
      <c r="F95" s="7" t="s">
        <v>1398</v>
      </c>
      <c r="G95" s="3" t="s">
        <v>1314</v>
      </c>
    </row>
    <row r="96" spans="1:7" ht="38.25" x14ac:dyDescent="0.25">
      <c r="A96" s="2">
        <v>127</v>
      </c>
      <c r="B96" s="2" t="s">
        <v>397</v>
      </c>
      <c r="C96" s="3" t="s">
        <v>1557</v>
      </c>
      <c r="D96" s="3" t="s">
        <v>1432</v>
      </c>
      <c r="E96" s="3" t="s">
        <v>1554</v>
      </c>
      <c r="F96" s="6" t="s">
        <v>1388</v>
      </c>
      <c r="G96" s="3" t="s">
        <v>1318</v>
      </c>
    </row>
    <row r="97" spans="1:7" ht="38.25" x14ac:dyDescent="0.25">
      <c r="A97" s="2">
        <v>126</v>
      </c>
      <c r="B97" s="2" t="s">
        <v>395</v>
      </c>
      <c r="C97" s="3" t="s">
        <v>1558</v>
      </c>
      <c r="D97" s="3" t="s">
        <v>1559</v>
      </c>
      <c r="E97" s="3" t="s">
        <v>1437</v>
      </c>
      <c r="F97" s="7" t="s">
        <v>1382</v>
      </c>
      <c r="G97" s="3" t="s">
        <v>1296</v>
      </c>
    </row>
    <row r="98" spans="1:7" ht="38.25" x14ac:dyDescent="0.25">
      <c r="A98" s="2">
        <v>125</v>
      </c>
      <c r="B98" s="2" t="s">
        <v>393</v>
      </c>
      <c r="C98" s="3" t="s">
        <v>1560</v>
      </c>
      <c r="D98" s="3" t="s">
        <v>1561</v>
      </c>
      <c r="E98" s="3" t="s">
        <v>1557</v>
      </c>
      <c r="F98" s="7" t="s">
        <v>1382</v>
      </c>
      <c r="G98" s="3" t="s">
        <v>1314</v>
      </c>
    </row>
    <row r="99" spans="1:7" ht="51" x14ac:dyDescent="0.25">
      <c r="A99" s="2">
        <v>124</v>
      </c>
      <c r="B99" s="2" t="s">
        <v>391</v>
      </c>
      <c r="C99" s="3" t="s">
        <v>1562</v>
      </c>
      <c r="D99" s="3" t="s">
        <v>1410</v>
      </c>
      <c r="E99" s="3" t="s">
        <v>1563</v>
      </c>
      <c r="F99" s="7" t="s">
        <v>1382</v>
      </c>
      <c r="G99" s="3" t="s">
        <v>1307</v>
      </c>
    </row>
    <row r="100" spans="1:7" ht="38.25" x14ac:dyDescent="0.25">
      <c r="A100" s="2">
        <v>123</v>
      </c>
      <c r="B100" s="2" t="s">
        <v>389</v>
      </c>
      <c r="C100" s="3" t="s">
        <v>1453</v>
      </c>
      <c r="D100" s="3" t="s">
        <v>1564</v>
      </c>
      <c r="E100" s="3" t="s">
        <v>1410</v>
      </c>
      <c r="F100" s="7" t="s">
        <v>1382</v>
      </c>
      <c r="G100" s="3" t="s">
        <v>1299</v>
      </c>
    </row>
    <row r="101" spans="1:7" ht="51" x14ac:dyDescent="0.25">
      <c r="A101" s="2">
        <v>122</v>
      </c>
      <c r="B101" s="2" t="s">
        <v>387</v>
      </c>
      <c r="C101" s="3" t="s">
        <v>1565</v>
      </c>
      <c r="D101" s="3" t="s">
        <v>1408</v>
      </c>
      <c r="E101" s="3" t="s">
        <v>1566</v>
      </c>
      <c r="F101" s="7" t="s">
        <v>1382</v>
      </c>
      <c r="G101" s="3" t="s">
        <v>1309</v>
      </c>
    </row>
    <row r="102" spans="1:7" ht="51" x14ac:dyDescent="0.25">
      <c r="A102" s="2">
        <v>121</v>
      </c>
      <c r="B102" s="2" t="s">
        <v>385</v>
      </c>
      <c r="C102" s="3" t="s">
        <v>1567</v>
      </c>
      <c r="D102" s="3" t="s">
        <v>1568</v>
      </c>
      <c r="E102" s="3" t="s">
        <v>1405</v>
      </c>
      <c r="F102" s="7" t="s">
        <v>1382</v>
      </c>
      <c r="G102" s="3" t="s">
        <v>1304</v>
      </c>
    </row>
    <row r="103" spans="1:7" ht="51" x14ac:dyDescent="0.25">
      <c r="A103" s="2">
        <v>120</v>
      </c>
      <c r="B103" s="2" t="s">
        <v>383</v>
      </c>
      <c r="C103" s="3" t="s">
        <v>1569</v>
      </c>
      <c r="D103" s="3" t="s">
        <v>1570</v>
      </c>
      <c r="E103" s="3" t="s">
        <v>1571</v>
      </c>
      <c r="F103" s="7" t="s">
        <v>1398</v>
      </c>
      <c r="G103" s="3" t="s">
        <v>1309</v>
      </c>
    </row>
    <row r="104" spans="1:7" ht="38.25" x14ac:dyDescent="0.25">
      <c r="A104" s="2">
        <v>119</v>
      </c>
      <c r="B104" s="2" t="s">
        <v>381</v>
      </c>
      <c r="C104" s="3" t="s">
        <v>1488</v>
      </c>
      <c r="D104" s="3" t="s">
        <v>1569</v>
      </c>
      <c r="E104" s="3" t="s">
        <v>1572</v>
      </c>
      <c r="F104" s="7" t="s">
        <v>1382</v>
      </c>
      <c r="G104" s="3" t="s">
        <v>1299</v>
      </c>
    </row>
    <row r="105" spans="1:7" ht="38.25" x14ac:dyDescent="0.25">
      <c r="A105" s="2">
        <v>118</v>
      </c>
      <c r="B105" s="2" t="s">
        <v>379</v>
      </c>
      <c r="C105" s="3" t="s">
        <v>1573</v>
      </c>
      <c r="D105" s="3" t="s">
        <v>1517</v>
      </c>
      <c r="E105" s="3" t="s">
        <v>1574</v>
      </c>
      <c r="F105" s="7" t="s">
        <v>1382</v>
      </c>
      <c r="G105" s="3" t="s">
        <v>1293</v>
      </c>
    </row>
    <row r="106" spans="1:7" ht="38.25" x14ac:dyDescent="0.25">
      <c r="A106" s="2">
        <v>117</v>
      </c>
      <c r="B106" s="2" t="s">
        <v>377</v>
      </c>
      <c r="C106" s="3" t="s">
        <v>1499</v>
      </c>
      <c r="D106" s="3" t="s">
        <v>1575</v>
      </c>
      <c r="E106" s="3" t="s">
        <v>1495</v>
      </c>
      <c r="F106" s="7" t="s">
        <v>1386</v>
      </c>
      <c r="G106" s="3" t="s">
        <v>1320</v>
      </c>
    </row>
    <row r="107" spans="1:7" ht="51" x14ac:dyDescent="0.25">
      <c r="A107" s="2">
        <v>116</v>
      </c>
      <c r="B107" s="2" t="s">
        <v>375</v>
      </c>
      <c r="C107" s="3" t="s">
        <v>1491</v>
      </c>
      <c r="D107" s="3" t="s">
        <v>1502</v>
      </c>
      <c r="E107" s="3" t="s">
        <v>1576</v>
      </c>
      <c r="F107" s="7" t="s">
        <v>1382</v>
      </c>
      <c r="G107" s="3" t="s">
        <v>1306</v>
      </c>
    </row>
    <row r="108" spans="1:7" ht="38.25" x14ac:dyDescent="0.25">
      <c r="A108" s="2">
        <v>115</v>
      </c>
      <c r="B108" s="2" t="s">
        <v>373</v>
      </c>
      <c r="C108" s="3" t="s">
        <v>1577</v>
      </c>
      <c r="D108" s="3" t="s">
        <v>1578</v>
      </c>
      <c r="E108" s="3" t="s">
        <v>1579</v>
      </c>
      <c r="F108" s="7" t="s">
        <v>1398</v>
      </c>
      <c r="G108" s="3" t="s">
        <v>1314</v>
      </c>
    </row>
    <row r="109" spans="1:7" ht="38.25" x14ac:dyDescent="0.25">
      <c r="A109" s="2">
        <v>114</v>
      </c>
      <c r="B109" s="2" t="s">
        <v>371</v>
      </c>
      <c r="C109" s="3" t="s">
        <v>1580</v>
      </c>
      <c r="D109" s="3" t="s">
        <v>1577</v>
      </c>
      <c r="E109" s="3" t="s">
        <v>1496</v>
      </c>
      <c r="F109" s="7" t="s">
        <v>1382</v>
      </c>
      <c r="G109" s="3" t="s">
        <v>1314</v>
      </c>
    </row>
    <row r="110" spans="1:7" ht="38.25" x14ac:dyDescent="0.25">
      <c r="A110" s="2">
        <v>113</v>
      </c>
      <c r="B110" s="2" t="s">
        <v>369</v>
      </c>
      <c r="C110" s="3" t="s">
        <v>1436</v>
      </c>
      <c r="D110" s="3" t="s">
        <v>1556</v>
      </c>
      <c r="E110" s="3" t="s">
        <v>1581</v>
      </c>
      <c r="F110" s="7" t="s">
        <v>1398</v>
      </c>
      <c r="G110" s="3" t="s">
        <v>1312</v>
      </c>
    </row>
    <row r="111" spans="1:7" ht="51" x14ac:dyDescent="0.25">
      <c r="A111" s="2">
        <v>112</v>
      </c>
      <c r="B111" s="2" t="s">
        <v>367</v>
      </c>
      <c r="C111" s="3" t="s">
        <v>1582</v>
      </c>
      <c r="D111" s="3" t="s">
        <v>1536</v>
      </c>
      <c r="E111" s="3" t="s">
        <v>1583</v>
      </c>
      <c r="F111" s="7" t="s">
        <v>1382</v>
      </c>
      <c r="G111" s="3" t="s">
        <v>1304</v>
      </c>
    </row>
    <row r="112" spans="1:7" ht="51" x14ac:dyDescent="0.25">
      <c r="A112" s="2">
        <v>111</v>
      </c>
      <c r="B112" s="2" t="s">
        <v>365</v>
      </c>
      <c r="C112" s="3" t="s">
        <v>1429</v>
      </c>
      <c r="D112" s="3" t="s">
        <v>1584</v>
      </c>
      <c r="E112" s="3" t="s">
        <v>1440</v>
      </c>
      <c r="F112" s="7" t="s">
        <v>1398</v>
      </c>
      <c r="G112" s="3" t="s">
        <v>1313</v>
      </c>
    </row>
    <row r="113" spans="1:7" ht="38.25" x14ac:dyDescent="0.25">
      <c r="A113" s="2">
        <v>110</v>
      </c>
      <c r="B113" s="2" t="s">
        <v>363</v>
      </c>
      <c r="C113" s="3" t="s">
        <v>1561</v>
      </c>
      <c r="D113" s="3" t="s">
        <v>1441</v>
      </c>
      <c r="E113" s="3" t="s">
        <v>1585</v>
      </c>
      <c r="F113" s="7" t="s">
        <v>1398</v>
      </c>
      <c r="G113" s="3" t="s">
        <v>1312</v>
      </c>
    </row>
    <row r="114" spans="1:7" ht="38.25" x14ac:dyDescent="0.25">
      <c r="A114" s="2">
        <v>109</v>
      </c>
      <c r="B114" s="2" t="s">
        <v>361</v>
      </c>
      <c r="C114" s="3" t="s">
        <v>1586</v>
      </c>
      <c r="D114" s="3" t="s">
        <v>1587</v>
      </c>
      <c r="E114" s="3" t="s">
        <v>1429</v>
      </c>
      <c r="F114" s="7" t="s">
        <v>1382</v>
      </c>
      <c r="G114" s="3" t="s">
        <v>1318</v>
      </c>
    </row>
    <row r="115" spans="1:7" ht="51" x14ac:dyDescent="0.25">
      <c r="A115" s="2">
        <v>108</v>
      </c>
      <c r="B115" s="2" t="s">
        <v>359</v>
      </c>
      <c r="C115" s="3" t="s">
        <v>1445</v>
      </c>
      <c r="D115" s="3" t="s">
        <v>1588</v>
      </c>
      <c r="E115" s="3" t="s">
        <v>1561</v>
      </c>
      <c r="F115" s="7" t="s">
        <v>1382</v>
      </c>
      <c r="G115" s="3" t="s">
        <v>1290</v>
      </c>
    </row>
    <row r="116" spans="1:7" x14ac:dyDescent="0.25">
      <c r="A116" s="2">
        <v>107</v>
      </c>
      <c r="B116" s="2" t="s">
        <v>357</v>
      </c>
      <c r="C116" s="3" t="s">
        <v>1589</v>
      </c>
      <c r="D116" s="3" t="s">
        <v>1448</v>
      </c>
      <c r="E116" s="3" t="s">
        <v>1588</v>
      </c>
      <c r="F116" s="6" t="s">
        <v>1388</v>
      </c>
      <c r="G116" s="3" t="s">
        <v>1322</v>
      </c>
    </row>
    <row r="117" spans="1:7" ht="38.25" x14ac:dyDescent="0.25">
      <c r="A117" s="2">
        <v>106</v>
      </c>
      <c r="B117" s="2" t="s">
        <v>355</v>
      </c>
      <c r="C117" s="3" t="s">
        <v>1588</v>
      </c>
      <c r="D117" s="3" t="s">
        <v>1590</v>
      </c>
      <c r="E117" s="3" t="s">
        <v>1452</v>
      </c>
      <c r="F117" s="7" t="s">
        <v>1398</v>
      </c>
      <c r="G117" s="3" t="s">
        <v>1320</v>
      </c>
    </row>
    <row r="118" spans="1:7" ht="38.25" x14ac:dyDescent="0.25">
      <c r="A118" s="2">
        <v>105</v>
      </c>
      <c r="B118" s="2" t="s">
        <v>353</v>
      </c>
      <c r="C118" s="3" t="s">
        <v>1469</v>
      </c>
      <c r="D118" s="3" t="s">
        <v>1591</v>
      </c>
      <c r="E118" s="3" t="s">
        <v>1589</v>
      </c>
      <c r="F118" s="7" t="s">
        <v>1398</v>
      </c>
      <c r="G118" s="3" t="s">
        <v>1293</v>
      </c>
    </row>
    <row r="119" spans="1:7" ht="38.25" x14ac:dyDescent="0.25">
      <c r="A119" s="2">
        <v>104</v>
      </c>
      <c r="B119" s="2" t="s">
        <v>351</v>
      </c>
      <c r="C119" s="3" t="s">
        <v>1403</v>
      </c>
      <c r="D119" s="3" t="s">
        <v>1592</v>
      </c>
      <c r="E119" s="3" t="s">
        <v>1588</v>
      </c>
      <c r="F119" s="7" t="s">
        <v>1398</v>
      </c>
      <c r="G119" s="3" t="s">
        <v>1299</v>
      </c>
    </row>
    <row r="120" spans="1:7" ht="38.25" x14ac:dyDescent="0.25">
      <c r="A120" s="2">
        <v>103</v>
      </c>
      <c r="B120" s="2" t="s">
        <v>349</v>
      </c>
      <c r="C120" s="3" t="s">
        <v>1593</v>
      </c>
      <c r="D120" s="3" t="s">
        <v>1403</v>
      </c>
      <c r="E120" s="3" t="s">
        <v>1469</v>
      </c>
      <c r="F120" s="6" t="s">
        <v>1388</v>
      </c>
      <c r="G120" s="3" t="s">
        <v>1318</v>
      </c>
    </row>
    <row r="121" spans="1:7" ht="51" x14ac:dyDescent="0.25">
      <c r="A121" s="2">
        <v>102</v>
      </c>
      <c r="B121" s="2" t="s">
        <v>347</v>
      </c>
      <c r="C121" s="3" t="s">
        <v>1497</v>
      </c>
      <c r="D121" s="3" t="s">
        <v>1593</v>
      </c>
      <c r="E121" s="3" t="s">
        <v>1403</v>
      </c>
      <c r="F121" s="7" t="s">
        <v>1382</v>
      </c>
      <c r="G121" s="3" t="s">
        <v>1309</v>
      </c>
    </row>
    <row r="122" spans="1:7" ht="38.25" x14ac:dyDescent="0.25">
      <c r="A122" s="2">
        <v>101</v>
      </c>
      <c r="B122" s="2" t="s">
        <v>345</v>
      </c>
      <c r="C122" s="3" t="s">
        <v>1594</v>
      </c>
      <c r="D122" s="3" t="s">
        <v>1500</v>
      </c>
      <c r="E122" s="3" t="s">
        <v>1593</v>
      </c>
      <c r="F122" s="6" t="s">
        <v>1388</v>
      </c>
      <c r="G122" s="3" t="s">
        <v>1299</v>
      </c>
    </row>
    <row r="123" spans="1:7" ht="51" x14ac:dyDescent="0.25">
      <c r="A123" s="2">
        <v>100</v>
      </c>
      <c r="B123" s="2" t="s">
        <v>343</v>
      </c>
      <c r="C123" s="3" t="s">
        <v>1512</v>
      </c>
      <c r="D123" s="3" t="s">
        <v>1595</v>
      </c>
      <c r="E123" s="3" t="s">
        <v>1500</v>
      </c>
      <c r="F123" s="7" t="s">
        <v>1398</v>
      </c>
      <c r="G123" s="3" t="s">
        <v>1313</v>
      </c>
    </row>
    <row r="124" spans="1:7" ht="51" x14ac:dyDescent="0.25">
      <c r="A124" s="2">
        <v>99</v>
      </c>
      <c r="B124" s="2" t="s">
        <v>341</v>
      </c>
      <c r="C124" s="3" t="s">
        <v>1455</v>
      </c>
      <c r="D124" s="3" t="s">
        <v>1596</v>
      </c>
      <c r="E124" s="3" t="s">
        <v>1594</v>
      </c>
      <c r="F124" s="7" t="s">
        <v>1398</v>
      </c>
      <c r="G124" s="3" t="s">
        <v>1321</v>
      </c>
    </row>
    <row r="125" spans="1:7" x14ac:dyDescent="0.25">
      <c r="A125" s="2">
        <v>98</v>
      </c>
      <c r="B125" s="2" t="s">
        <v>339</v>
      </c>
      <c r="C125" s="3" t="s">
        <v>1432</v>
      </c>
      <c r="D125" s="3" t="s">
        <v>1451</v>
      </c>
      <c r="E125" s="3" t="s">
        <v>1512</v>
      </c>
      <c r="F125" s="7" t="s">
        <v>1398</v>
      </c>
      <c r="G125" s="3" t="s">
        <v>1322</v>
      </c>
    </row>
    <row r="126" spans="1:7" ht="38.25" x14ac:dyDescent="0.25">
      <c r="A126" s="2">
        <v>97</v>
      </c>
      <c r="B126" s="2" t="s">
        <v>337</v>
      </c>
      <c r="C126" s="3" t="s">
        <v>1509</v>
      </c>
      <c r="D126" s="3" t="s">
        <v>1432</v>
      </c>
      <c r="E126" s="3" t="s">
        <v>1455</v>
      </c>
      <c r="F126" s="6" t="s">
        <v>1388</v>
      </c>
      <c r="G126" s="3" t="s">
        <v>1315</v>
      </c>
    </row>
    <row r="127" spans="1:7" ht="51" x14ac:dyDescent="0.25">
      <c r="A127" s="2">
        <v>96</v>
      </c>
      <c r="B127" s="2" t="s">
        <v>335</v>
      </c>
      <c r="C127" s="3" t="s">
        <v>1490</v>
      </c>
      <c r="D127" s="3" t="s">
        <v>1424</v>
      </c>
      <c r="E127" s="3" t="s">
        <v>1437</v>
      </c>
      <c r="F127" s="7" t="s">
        <v>1398</v>
      </c>
      <c r="G127" s="3" t="s">
        <v>1321</v>
      </c>
    </row>
    <row r="128" spans="1:7" ht="38.25" x14ac:dyDescent="0.25">
      <c r="A128" s="2">
        <v>95</v>
      </c>
      <c r="B128" s="2" t="s">
        <v>333</v>
      </c>
      <c r="C128" s="3" t="s">
        <v>1597</v>
      </c>
      <c r="D128" s="3" t="s">
        <v>1487</v>
      </c>
      <c r="E128" s="3" t="s">
        <v>1428</v>
      </c>
      <c r="F128" s="7" t="s">
        <v>1398</v>
      </c>
      <c r="G128" s="3" t="s">
        <v>1314</v>
      </c>
    </row>
    <row r="129" spans="1:7" ht="51" x14ac:dyDescent="0.25">
      <c r="A129" s="2">
        <v>94</v>
      </c>
      <c r="B129" s="2" t="s">
        <v>331</v>
      </c>
      <c r="C129" s="3" t="s">
        <v>1403</v>
      </c>
      <c r="D129" s="3" t="s">
        <v>1597</v>
      </c>
      <c r="E129" s="3" t="s">
        <v>1490</v>
      </c>
      <c r="F129" s="6" t="s">
        <v>1388</v>
      </c>
      <c r="G129" s="3" t="s">
        <v>1316</v>
      </c>
    </row>
    <row r="130" spans="1:7" ht="51" x14ac:dyDescent="0.25">
      <c r="A130" s="2">
        <v>93</v>
      </c>
      <c r="B130" s="2" t="s">
        <v>329</v>
      </c>
      <c r="C130" s="3" t="s">
        <v>1535</v>
      </c>
      <c r="D130" s="3" t="s">
        <v>1403</v>
      </c>
      <c r="E130" s="3" t="s">
        <v>1597</v>
      </c>
      <c r="F130" s="6" t="s">
        <v>1388</v>
      </c>
      <c r="G130" s="3" t="s">
        <v>1303</v>
      </c>
    </row>
    <row r="131" spans="1:7" ht="38.25" x14ac:dyDescent="0.25">
      <c r="A131" s="2">
        <v>92</v>
      </c>
      <c r="B131" s="2" t="s">
        <v>327</v>
      </c>
      <c r="C131" s="3" t="s">
        <v>1598</v>
      </c>
      <c r="D131" s="3" t="s">
        <v>1539</v>
      </c>
      <c r="E131" s="3" t="s">
        <v>1403</v>
      </c>
      <c r="F131" s="7" t="s">
        <v>1382</v>
      </c>
      <c r="G131" s="3" t="s">
        <v>1311</v>
      </c>
    </row>
    <row r="132" spans="1:7" ht="38.25" x14ac:dyDescent="0.25">
      <c r="A132" s="2">
        <v>91</v>
      </c>
      <c r="B132" s="2" t="s">
        <v>325</v>
      </c>
      <c r="C132" s="3" t="s">
        <v>1599</v>
      </c>
      <c r="D132" s="3" t="s">
        <v>1600</v>
      </c>
      <c r="E132" s="3" t="s">
        <v>1601</v>
      </c>
      <c r="F132" s="7" t="s">
        <v>1398</v>
      </c>
      <c r="G132" s="3" t="s">
        <v>1312</v>
      </c>
    </row>
    <row r="133" spans="1:7" ht="38.25" x14ac:dyDescent="0.25">
      <c r="A133" s="2">
        <v>90</v>
      </c>
      <c r="B133" s="2" t="s">
        <v>323</v>
      </c>
      <c r="C133" s="3" t="s">
        <v>1500</v>
      </c>
      <c r="D133" s="3" t="s">
        <v>1599</v>
      </c>
      <c r="E133" s="3" t="s">
        <v>1602</v>
      </c>
      <c r="F133" s="6" t="s">
        <v>1388</v>
      </c>
      <c r="G133" s="3" t="s">
        <v>1301</v>
      </c>
    </row>
    <row r="134" spans="1:7" ht="38.25" x14ac:dyDescent="0.25">
      <c r="A134" s="2">
        <v>89</v>
      </c>
      <c r="B134" s="2" t="s">
        <v>321</v>
      </c>
      <c r="C134" s="3" t="s">
        <v>1494</v>
      </c>
      <c r="D134" s="3" t="s">
        <v>1500</v>
      </c>
      <c r="E134" s="3" t="s">
        <v>1603</v>
      </c>
      <c r="F134" s="7" t="s">
        <v>1386</v>
      </c>
      <c r="G134" s="3" t="s">
        <v>1299</v>
      </c>
    </row>
    <row r="135" spans="1:7" ht="38.25" x14ac:dyDescent="0.25">
      <c r="A135" s="2">
        <v>88</v>
      </c>
      <c r="B135" s="2" t="s">
        <v>319</v>
      </c>
      <c r="C135" s="3" t="s">
        <v>1384</v>
      </c>
      <c r="D135" s="3" t="s">
        <v>1494</v>
      </c>
      <c r="E135" s="3" t="s">
        <v>1500</v>
      </c>
      <c r="F135" s="6" t="s">
        <v>1388</v>
      </c>
      <c r="G135" s="3" t="s">
        <v>1301</v>
      </c>
    </row>
    <row r="136" spans="1:7" ht="38.25" x14ac:dyDescent="0.25">
      <c r="A136" s="2">
        <v>87</v>
      </c>
      <c r="B136" s="2" t="s">
        <v>317</v>
      </c>
      <c r="C136" s="3" t="s">
        <v>1399</v>
      </c>
      <c r="D136" s="3" t="s">
        <v>1384</v>
      </c>
      <c r="E136" s="3" t="s">
        <v>1496</v>
      </c>
      <c r="F136" s="7" t="s">
        <v>1386</v>
      </c>
      <c r="G136" s="3" t="s">
        <v>1312</v>
      </c>
    </row>
    <row r="137" spans="1:7" ht="51" x14ac:dyDescent="0.25">
      <c r="A137" s="2">
        <v>86</v>
      </c>
      <c r="B137" s="2" t="s">
        <v>315</v>
      </c>
      <c r="C137" s="3" t="s">
        <v>1604</v>
      </c>
      <c r="D137" s="3" t="s">
        <v>1399</v>
      </c>
      <c r="E137" s="3" t="s">
        <v>1384</v>
      </c>
      <c r="F137" s="7" t="s">
        <v>1382</v>
      </c>
      <c r="G137" s="3" t="s">
        <v>1290</v>
      </c>
    </row>
    <row r="138" spans="1:7" x14ac:dyDescent="0.25">
      <c r="A138" s="2">
        <v>85</v>
      </c>
      <c r="B138" s="2" t="s">
        <v>313</v>
      </c>
      <c r="C138" s="3" t="s">
        <v>1387</v>
      </c>
      <c r="D138" s="3" t="s">
        <v>1605</v>
      </c>
      <c r="E138" s="3" t="s">
        <v>1399</v>
      </c>
      <c r="F138" s="7" t="s">
        <v>1398</v>
      </c>
      <c r="G138" s="3" t="s">
        <v>1310</v>
      </c>
    </row>
    <row r="139" spans="1:7" ht="38.25" x14ac:dyDescent="0.25">
      <c r="A139" s="2">
        <v>84</v>
      </c>
      <c r="B139" s="2" t="s">
        <v>311</v>
      </c>
      <c r="C139" s="3" t="s">
        <v>1575</v>
      </c>
      <c r="D139" s="3" t="s">
        <v>1387</v>
      </c>
      <c r="E139" s="3" t="s">
        <v>1606</v>
      </c>
      <c r="F139" s="6" t="s">
        <v>1388</v>
      </c>
      <c r="G139" s="3" t="s">
        <v>1299</v>
      </c>
    </row>
    <row r="140" spans="1:7" ht="51" x14ac:dyDescent="0.25">
      <c r="A140" s="2">
        <v>83</v>
      </c>
      <c r="B140" s="2" t="s">
        <v>309</v>
      </c>
      <c r="C140" s="3" t="s">
        <v>1607</v>
      </c>
      <c r="D140" s="3" t="s">
        <v>1575</v>
      </c>
      <c r="E140" s="3" t="s">
        <v>1387</v>
      </c>
      <c r="F140" s="6" t="s">
        <v>1388</v>
      </c>
      <c r="G140" s="3" t="s">
        <v>1313</v>
      </c>
    </row>
    <row r="141" spans="1:7" ht="51" x14ac:dyDescent="0.25">
      <c r="A141" s="2">
        <v>82</v>
      </c>
      <c r="B141" s="2" t="s">
        <v>307</v>
      </c>
      <c r="C141" s="3" t="s">
        <v>1393</v>
      </c>
      <c r="D141" s="3" t="s">
        <v>1608</v>
      </c>
      <c r="E141" s="3" t="s">
        <v>1575</v>
      </c>
      <c r="F141" s="7" t="s">
        <v>1382</v>
      </c>
      <c r="G141" s="3" t="s">
        <v>1317</v>
      </c>
    </row>
    <row r="142" spans="1:7" ht="51" x14ac:dyDescent="0.25">
      <c r="A142" s="2">
        <v>81</v>
      </c>
      <c r="B142" s="2" t="s">
        <v>305</v>
      </c>
      <c r="C142" s="3" t="s">
        <v>1609</v>
      </c>
      <c r="D142" s="3" t="s">
        <v>1396</v>
      </c>
      <c r="E142" s="3" t="s">
        <v>1607</v>
      </c>
      <c r="F142" s="7" t="s">
        <v>1382</v>
      </c>
      <c r="G142" s="3" t="s">
        <v>1290</v>
      </c>
    </row>
    <row r="143" spans="1:7" ht="38.25" x14ac:dyDescent="0.25">
      <c r="A143" s="2">
        <v>80</v>
      </c>
      <c r="B143" s="2" t="s">
        <v>303</v>
      </c>
      <c r="C143" s="3" t="s">
        <v>1520</v>
      </c>
      <c r="D143" s="3" t="s">
        <v>1502</v>
      </c>
      <c r="E143" s="3" t="s">
        <v>1610</v>
      </c>
      <c r="F143" s="7" t="s">
        <v>1398</v>
      </c>
      <c r="G143" s="3" t="s">
        <v>1311</v>
      </c>
    </row>
    <row r="144" spans="1:7" ht="51" x14ac:dyDescent="0.25">
      <c r="A144" s="2">
        <v>79</v>
      </c>
      <c r="B144" s="2" t="s">
        <v>301</v>
      </c>
      <c r="C144" s="3" t="s">
        <v>1611</v>
      </c>
      <c r="D144" s="3" t="s">
        <v>1522</v>
      </c>
      <c r="E144" s="3" t="s">
        <v>1579</v>
      </c>
      <c r="F144" s="7" t="s">
        <v>1382</v>
      </c>
      <c r="G144" s="3" t="s">
        <v>1321</v>
      </c>
    </row>
    <row r="145" spans="1:7" ht="51" x14ac:dyDescent="0.25">
      <c r="A145" s="2">
        <v>78</v>
      </c>
      <c r="B145" s="2" t="s">
        <v>299</v>
      </c>
      <c r="C145" s="3" t="s">
        <v>1612</v>
      </c>
      <c r="D145" s="3" t="s">
        <v>1608</v>
      </c>
      <c r="E145" s="3" t="s">
        <v>1525</v>
      </c>
      <c r="F145" s="7" t="s">
        <v>1382</v>
      </c>
      <c r="G145" s="3" t="s">
        <v>1307</v>
      </c>
    </row>
    <row r="146" spans="1:7" ht="51" x14ac:dyDescent="0.25">
      <c r="A146" s="2">
        <v>77</v>
      </c>
      <c r="B146" s="2" t="s">
        <v>297</v>
      </c>
      <c r="C146" s="3" t="s">
        <v>1512</v>
      </c>
      <c r="D146" s="3" t="s">
        <v>1613</v>
      </c>
      <c r="E146" s="3" t="s">
        <v>1614</v>
      </c>
      <c r="F146" s="7" t="s">
        <v>1398</v>
      </c>
      <c r="G146" s="3" t="s">
        <v>1307</v>
      </c>
    </row>
    <row r="147" spans="1:7" ht="51" x14ac:dyDescent="0.25">
      <c r="A147" s="2">
        <v>76</v>
      </c>
      <c r="B147" s="2" t="s">
        <v>295</v>
      </c>
      <c r="C147" s="3" t="s">
        <v>1615</v>
      </c>
      <c r="D147" s="3" t="s">
        <v>1512</v>
      </c>
      <c r="E147" s="3" t="s">
        <v>1616</v>
      </c>
      <c r="F147" s="7" t="s">
        <v>1386</v>
      </c>
      <c r="G147" s="3" t="s">
        <v>1307</v>
      </c>
    </row>
    <row r="148" spans="1:7" ht="38.25" x14ac:dyDescent="0.25">
      <c r="A148" s="2">
        <v>75</v>
      </c>
      <c r="B148" s="2" t="s">
        <v>293</v>
      </c>
      <c r="C148" s="3" t="s">
        <v>1458</v>
      </c>
      <c r="D148" s="3" t="s">
        <v>1615</v>
      </c>
      <c r="E148" s="3" t="s">
        <v>1512</v>
      </c>
      <c r="F148" s="7" t="s">
        <v>1382</v>
      </c>
      <c r="G148" s="3" t="s">
        <v>1315</v>
      </c>
    </row>
    <row r="149" spans="1:7" ht="38.25" x14ac:dyDescent="0.25">
      <c r="A149" s="2">
        <v>74</v>
      </c>
      <c r="B149" s="2" t="s">
        <v>291</v>
      </c>
      <c r="C149" s="3" t="s">
        <v>1617</v>
      </c>
      <c r="D149" s="3" t="s">
        <v>1461</v>
      </c>
      <c r="E149" s="3" t="s">
        <v>1615</v>
      </c>
      <c r="F149" s="7" t="s">
        <v>1382</v>
      </c>
      <c r="G149" s="3" t="s">
        <v>1320</v>
      </c>
    </row>
    <row r="150" spans="1:7" ht="38.25" x14ac:dyDescent="0.25">
      <c r="A150" s="2">
        <v>73</v>
      </c>
      <c r="B150" s="2" t="s">
        <v>289</v>
      </c>
      <c r="C150" s="3" t="s">
        <v>1618</v>
      </c>
      <c r="D150" s="3" t="s">
        <v>1619</v>
      </c>
      <c r="E150" s="3" t="s">
        <v>1620</v>
      </c>
      <c r="F150" s="7" t="s">
        <v>1386</v>
      </c>
      <c r="G150" s="3" t="s">
        <v>1315</v>
      </c>
    </row>
    <row r="151" spans="1:7" ht="38.25" x14ac:dyDescent="0.25">
      <c r="A151" s="2">
        <v>72</v>
      </c>
      <c r="B151" s="2" t="s">
        <v>287</v>
      </c>
      <c r="C151" s="3" t="s">
        <v>1471</v>
      </c>
      <c r="D151" s="3" t="s">
        <v>1621</v>
      </c>
      <c r="E151" s="3" t="s">
        <v>1619</v>
      </c>
      <c r="F151" s="7" t="s">
        <v>1398</v>
      </c>
      <c r="G151" s="3" t="s">
        <v>1301</v>
      </c>
    </row>
    <row r="152" spans="1:7" ht="51" x14ac:dyDescent="0.25">
      <c r="A152" s="2">
        <v>71</v>
      </c>
      <c r="B152" s="2" t="s">
        <v>285</v>
      </c>
      <c r="C152" s="3" t="s">
        <v>1580</v>
      </c>
      <c r="D152" s="3" t="s">
        <v>1474</v>
      </c>
      <c r="E152" s="3" t="s">
        <v>1618</v>
      </c>
      <c r="F152" s="7" t="s">
        <v>1382</v>
      </c>
      <c r="G152" s="3" t="s">
        <v>1321</v>
      </c>
    </row>
    <row r="153" spans="1:7" ht="51" x14ac:dyDescent="0.25">
      <c r="A153" s="2">
        <v>70</v>
      </c>
      <c r="B153" s="2" t="s">
        <v>283</v>
      </c>
      <c r="C153" s="3" t="s">
        <v>1480</v>
      </c>
      <c r="D153" s="3" t="s">
        <v>1554</v>
      </c>
      <c r="E153" s="3" t="s">
        <v>1471</v>
      </c>
      <c r="F153" s="7" t="s">
        <v>1382</v>
      </c>
      <c r="G153" s="3" t="s">
        <v>1317</v>
      </c>
    </row>
    <row r="154" spans="1:7" ht="51" x14ac:dyDescent="0.25">
      <c r="A154" s="2">
        <v>69</v>
      </c>
      <c r="B154" s="2" t="s">
        <v>281</v>
      </c>
      <c r="C154" s="3" t="s">
        <v>1438</v>
      </c>
      <c r="D154" s="3" t="s">
        <v>1483</v>
      </c>
      <c r="E154" s="3" t="s">
        <v>1583</v>
      </c>
      <c r="F154" s="7" t="s">
        <v>1382</v>
      </c>
      <c r="G154" s="3" t="s">
        <v>1321</v>
      </c>
    </row>
    <row r="155" spans="1:7" ht="38.25" x14ac:dyDescent="0.25">
      <c r="A155" s="2">
        <v>68</v>
      </c>
      <c r="B155" s="2" t="s">
        <v>279</v>
      </c>
      <c r="C155" s="3" t="s">
        <v>1589</v>
      </c>
      <c r="D155" s="3" t="s">
        <v>1442</v>
      </c>
      <c r="E155" s="3" t="s">
        <v>1486</v>
      </c>
      <c r="F155" s="6" t="s">
        <v>1388</v>
      </c>
      <c r="G155" s="3" t="s">
        <v>1299</v>
      </c>
    </row>
    <row r="156" spans="1:7" ht="51" x14ac:dyDescent="0.25">
      <c r="A156" s="2">
        <v>67</v>
      </c>
      <c r="B156" s="2" t="s">
        <v>277</v>
      </c>
      <c r="C156" s="3" t="s">
        <v>1582</v>
      </c>
      <c r="D156" s="3" t="s">
        <v>1589</v>
      </c>
      <c r="E156" s="3" t="s">
        <v>1442</v>
      </c>
      <c r="F156" s="7" t="s">
        <v>1382</v>
      </c>
      <c r="G156" s="3" t="s">
        <v>1304</v>
      </c>
    </row>
    <row r="157" spans="1:7" ht="51" x14ac:dyDescent="0.25">
      <c r="A157" s="2">
        <v>66</v>
      </c>
      <c r="B157" s="2" t="s">
        <v>275</v>
      </c>
      <c r="C157" s="3" t="s">
        <v>1617</v>
      </c>
      <c r="D157" s="3" t="s">
        <v>1584</v>
      </c>
      <c r="E157" s="3" t="s">
        <v>1589</v>
      </c>
      <c r="F157" s="7" t="s">
        <v>1382</v>
      </c>
      <c r="G157" s="3" t="s">
        <v>1303</v>
      </c>
    </row>
    <row r="158" spans="1:7" ht="38.25" x14ac:dyDescent="0.25">
      <c r="A158" s="2">
        <v>65</v>
      </c>
      <c r="B158" s="2" t="s">
        <v>273</v>
      </c>
      <c r="C158" s="3" t="s">
        <v>1550</v>
      </c>
      <c r="D158" s="3" t="s">
        <v>1619</v>
      </c>
      <c r="E158" s="3" t="s">
        <v>1622</v>
      </c>
      <c r="F158" s="7" t="s">
        <v>1382</v>
      </c>
      <c r="G158" s="3" t="s">
        <v>1314</v>
      </c>
    </row>
    <row r="159" spans="1:7" ht="38.25" x14ac:dyDescent="0.25">
      <c r="A159" s="2">
        <v>64</v>
      </c>
      <c r="B159" s="2" t="s">
        <v>271</v>
      </c>
      <c r="C159" s="3" t="s">
        <v>1529</v>
      </c>
      <c r="D159" s="3" t="s">
        <v>1478</v>
      </c>
      <c r="E159" s="3" t="s">
        <v>1623</v>
      </c>
      <c r="F159" s="7" t="s">
        <v>1382</v>
      </c>
      <c r="G159" s="3" t="s">
        <v>1296</v>
      </c>
    </row>
    <row r="160" spans="1:7" ht="38.25" x14ac:dyDescent="0.25">
      <c r="A160" s="2">
        <v>63</v>
      </c>
      <c r="B160" s="2" t="s">
        <v>269</v>
      </c>
      <c r="C160" s="3" t="s">
        <v>1624</v>
      </c>
      <c r="D160" s="3" t="s">
        <v>1625</v>
      </c>
      <c r="E160" s="3" t="s">
        <v>1481</v>
      </c>
      <c r="F160" s="7" t="s">
        <v>1398</v>
      </c>
      <c r="G160" s="3" t="s">
        <v>1299</v>
      </c>
    </row>
    <row r="161" spans="1:7" ht="51" x14ac:dyDescent="0.25">
      <c r="A161" s="2">
        <v>62</v>
      </c>
      <c r="B161" s="2" t="s">
        <v>267</v>
      </c>
      <c r="C161" s="3" t="s">
        <v>1493</v>
      </c>
      <c r="D161" s="3" t="s">
        <v>1510</v>
      </c>
      <c r="E161" s="3" t="s">
        <v>1479</v>
      </c>
      <c r="F161" s="7" t="s">
        <v>1398</v>
      </c>
      <c r="G161" s="3" t="s">
        <v>1306</v>
      </c>
    </row>
    <row r="162" spans="1:7" ht="38.25" x14ac:dyDescent="0.25">
      <c r="A162" s="2">
        <v>61</v>
      </c>
      <c r="B162" s="2" t="s">
        <v>265</v>
      </c>
      <c r="C162" s="3" t="s">
        <v>1517</v>
      </c>
      <c r="D162" s="3" t="s">
        <v>1493</v>
      </c>
      <c r="E162" s="3" t="s">
        <v>1513</v>
      </c>
      <c r="F162" s="7" t="s">
        <v>1386</v>
      </c>
      <c r="G162" s="3" t="s">
        <v>1293</v>
      </c>
    </row>
    <row r="163" spans="1:7" ht="51" x14ac:dyDescent="0.25">
      <c r="A163" s="2">
        <v>60</v>
      </c>
      <c r="B163" s="2" t="s">
        <v>263</v>
      </c>
      <c r="C163" s="3" t="s">
        <v>1626</v>
      </c>
      <c r="D163" s="3" t="s">
        <v>1517</v>
      </c>
      <c r="E163" s="3" t="s">
        <v>1528</v>
      </c>
      <c r="F163" s="7" t="s">
        <v>1382</v>
      </c>
      <c r="G163" s="3" t="s">
        <v>1304</v>
      </c>
    </row>
    <row r="164" spans="1:7" ht="38.25" x14ac:dyDescent="0.25">
      <c r="A164" s="2">
        <v>59</v>
      </c>
      <c r="B164" s="2" t="s">
        <v>261</v>
      </c>
      <c r="C164" s="3" t="s">
        <v>1585</v>
      </c>
      <c r="D164" s="3" t="s">
        <v>1627</v>
      </c>
      <c r="E164" s="3" t="s">
        <v>1517</v>
      </c>
      <c r="F164" s="7" t="s">
        <v>1398</v>
      </c>
      <c r="G164" s="3" t="s">
        <v>1293</v>
      </c>
    </row>
    <row r="165" spans="1:7" ht="38.25" x14ac:dyDescent="0.25">
      <c r="A165" s="2">
        <v>58</v>
      </c>
      <c r="B165" s="2" t="s">
        <v>259</v>
      </c>
      <c r="C165" s="3" t="s">
        <v>1628</v>
      </c>
      <c r="D165" s="3" t="s">
        <v>1584</v>
      </c>
      <c r="E165" s="3" t="s">
        <v>1629</v>
      </c>
      <c r="F165" s="7" t="s">
        <v>1398</v>
      </c>
      <c r="G165" s="3" t="s">
        <v>1318</v>
      </c>
    </row>
    <row r="166" spans="1:7" ht="38.25" x14ac:dyDescent="0.25">
      <c r="A166" s="2">
        <v>57</v>
      </c>
      <c r="B166" s="2" t="s">
        <v>257</v>
      </c>
      <c r="C166" s="3" t="s">
        <v>1381</v>
      </c>
      <c r="D166" s="3" t="s">
        <v>1628</v>
      </c>
      <c r="E166" s="3" t="s">
        <v>1622</v>
      </c>
      <c r="F166" s="7" t="s">
        <v>1386</v>
      </c>
      <c r="G166" s="3" t="s">
        <v>1301</v>
      </c>
    </row>
    <row r="167" spans="1:7" ht="38.25" x14ac:dyDescent="0.25">
      <c r="A167" s="2">
        <v>56</v>
      </c>
      <c r="B167" s="2" t="s">
        <v>255</v>
      </c>
      <c r="C167" s="3" t="s">
        <v>1389</v>
      </c>
      <c r="D167" s="3" t="s">
        <v>1630</v>
      </c>
      <c r="E167" s="3" t="s">
        <v>1457</v>
      </c>
      <c r="F167" s="7" t="s">
        <v>1398</v>
      </c>
      <c r="G167" s="3" t="s">
        <v>1311</v>
      </c>
    </row>
    <row r="168" spans="1:7" ht="38.25" x14ac:dyDescent="0.25">
      <c r="A168" s="2">
        <v>55</v>
      </c>
      <c r="B168" s="2" t="s">
        <v>253</v>
      </c>
      <c r="C168" s="3" t="s">
        <v>1589</v>
      </c>
      <c r="D168" s="3" t="s">
        <v>1389</v>
      </c>
      <c r="E168" s="3" t="s">
        <v>1527</v>
      </c>
      <c r="F168" s="7" t="s">
        <v>1386</v>
      </c>
      <c r="G168" s="3" t="s">
        <v>1311</v>
      </c>
    </row>
    <row r="169" spans="1:7" ht="38.25" x14ac:dyDescent="0.25">
      <c r="A169" s="2">
        <v>54</v>
      </c>
      <c r="B169" s="2" t="s">
        <v>251</v>
      </c>
      <c r="C169" s="3" t="s">
        <v>1387</v>
      </c>
      <c r="D169" s="3" t="s">
        <v>1590</v>
      </c>
      <c r="E169" s="3" t="s">
        <v>1631</v>
      </c>
      <c r="F169" s="7" t="s">
        <v>1398</v>
      </c>
      <c r="G169" s="3" t="s">
        <v>1320</v>
      </c>
    </row>
    <row r="170" spans="1:7" ht="38.25" x14ac:dyDescent="0.25">
      <c r="A170" s="2">
        <v>53</v>
      </c>
      <c r="B170" s="2" t="s">
        <v>249</v>
      </c>
      <c r="C170" s="3" t="s">
        <v>1418</v>
      </c>
      <c r="D170" s="3" t="s">
        <v>1632</v>
      </c>
      <c r="E170" s="3" t="s">
        <v>1589</v>
      </c>
      <c r="F170" s="7" t="s">
        <v>1382</v>
      </c>
      <c r="G170" s="3" t="s">
        <v>1311</v>
      </c>
    </row>
    <row r="171" spans="1:7" ht="51" x14ac:dyDescent="0.25">
      <c r="A171" s="2">
        <v>52</v>
      </c>
      <c r="B171" s="2" t="s">
        <v>247</v>
      </c>
      <c r="C171" s="3" t="s">
        <v>1633</v>
      </c>
      <c r="D171" s="3" t="s">
        <v>1425</v>
      </c>
      <c r="E171" s="3" t="s">
        <v>1387</v>
      </c>
      <c r="F171" s="7" t="s">
        <v>1382</v>
      </c>
      <c r="G171" s="3" t="s">
        <v>1313</v>
      </c>
    </row>
    <row r="172" spans="1:7" ht="38.25" x14ac:dyDescent="0.25">
      <c r="A172" s="2">
        <v>51</v>
      </c>
      <c r="B172" s="2" t="s">
        <v>245</v>
      </c>
      <c r="C172" s="3" t="s">
        <v>1482</v>
      </c>
      <c r="D172" s="3" t="s">
        <v>1516</v>
      </c>
      <c r="E172" s="3" t="s">
        <v>1425</v>
      </c>
      <c r="F172" s="6" t="s">
        <v>1388</v>
      </c>
      <c r="G172" s="3" t="s">
        <v>1314</v>
      </c>
    </row>
    <row r="173" spans="1:7" ht="51" x14ac:dyDescent="0.25">
      <c r="A173" s="2">
        <v>50</v>
      </c>
      <c r="B173" s="2" t="s">
        <v>243</v>
      </c>
      <c r="C173" s="3" t="s">
        <v>1491</v>
      </c>
      <c r="D173" s="3" t="s">
        <v>1482</v>
      </c>
      <c r="E173" s="3" t="s">
        <v>1516</v>
      </c>
      <c r="F173" s="7" t="s">
        <v>1382</v>
      </c>
      <c r="G173" s="3" t="s">
        <v>1290</v>
      </c>
    </row>
    <row r="174" spans="1:7" ht="51" x14ac:dyDescent="0.25">
      <c r="A174" s="2">
        <v>49</v>
      </c>
      <c r="B174" s="2" t="s">
        <v>241</v>
      </c>
      <c r="C174" s="3" t="s">
        <v>1500</v>
      </c>
      <c r="D174" s="3" t="s">
        <v>1494</v>
      </c>
      <c r="E174" s="3" t="s">
        <v>1532</v>
      </c>
      <c r="F174" s="7" t="s">
        <v>1386</v>
      </c>
      <c r="G174" s="3" t="s">
        <v>1303</v>
      </c>
    </row>
    <row r="175" spans="1:7" x14ac:dyDescent="0.25">
      <c r="A175" s="2">
        <v>48</v>
      </c>
      <c r="B175" s="2" t="s">
        <v>239</v>
      </c>
      <c r="C175" s="3" t="s">
        <v>1569</v>
      </c>
      <c r="D175" s="3" t="s">
        <v>1634</v>
      </c>
      <c r="E175" s="3" t="s">
        <v>1496</v>
      </c>
      <c r="F175" s="7" t="s">
        <v>1398</v>
      </c>
      <c r="G175" s="3" t="s">
        <v>1323</v>
      </c>
    </row>
    <row r="176" spans="1:7" ht="51" x14ac:dyDescent="0.25">
      <c r="A176" s="2">
        <v>47</v>
      </c>
      <c r="B176" s="2" t="s">
        <v>237</v>
      </c>
      <c r="C176" s="3" t="s">
        <v>1635</v>
      </c>
      <c r="D176" s="3" t="s">
        <v>1569</v>
      </c>
      <c r="E176" s="3" t="s">
        <v>1500</v>
      </c>
      <c r="F176" s="7" t="s">
        <v>1382</v>
      </c>
      <c r="G176" s="3" t="s">
        <v>1317</v>
      </c>
    </row>
    <row r="177" spans="1:7" ht="51" x14ac:dyDescent="0.25">
      <c r="A177" s="2">
        <v>46</v>
      </c>
      <c r="B177" s="2" t="s">
        <v>235</v>
      </c>
      <c r="C177" s="3" t="s">
        <v>1542</v>
      </c>
      <c r="D177" s="3" t="s">
        <v>1538</v>
      </c>
      <c r="E177" s="3" t="s">
        <v>1574</v>
      </c>
      <c r="F177" s="7" t="s">
        <v>1386</v>
      </c>
      <c r="G177" s="3" t="s">
        <v>1307</v>
      </c>
    </row>
    <row r="178" spans="1:7" ht="38.25" x14ac:dyDescent="0.25">
      <c r="A178" s="2">
        <v>45</v>
      </c>
      <c r="B178" s="2" t="s">
        <v>233</v>
      </c>
      <c r="C178" s="3" t="s">
        <v>1636</v>
      </c>
      <c r="D178" s="3" t="s">
        <v>1544</v>
      </c>
      <c r="E178" s="3" t="s">
        <v>1637</v>
      </c>
      <c r="F178" s="7" t="s">
        <v>1382</v>
      </c>
      <c r="G178" s="3" t="s">
        <v>1299</v>
      </c>
    </row>
    <row r="179" spans="1:7" ht="51" x14ac:dyDescent="0.25">
      <c r="A179" s="2">
        <v>44</v>
      </c>
      <c r="B179" s="2" t="s">
        <v>231</v>
      </c>
      <c r="C179" s="3" t="s">
        <v>1638</v>
      </c>
      <c r="D179" s="3" t="s">
        <v>1639</v>
      </c>
      <c r="E179" s="3" t="s">
        <v>1640</v>
      </c>
      <c r="F179" s="7" t="s">
        <v>1398</v>
      </c>
      <c r="G179" s="3" t="s">
        <v>1309</v>
      </c>
    </row>
    <row r="180" spans="1:7" ht="51" x14ac:dyDescent="0.25">
      <c r="A180" s="2">
        <v>43</v>
      </c>
      <c r="B180" s="2" t="s">
        <v>229</v>
      </c>
      <c r="C180" s="3" t="s">
        <v>1641</v>
      </c>
      <c r="D180" s="3" t="s">
        <v>1638</v>
      </c>
      <c r="E180" s="3" t="s">
        <v>1460</v>
      </c>
      <c r="F180" s="7" t="s">
        <v>1382</v>
      </c>
      <c r="G180" s="3" t="s">
        <v>1290</v>
      </c>
    </row>
    <row r="181" spans="1:7" ht="51" x14ac:dyDescent="0.25">
      <c r="A181" s="2">
        <v>42</v>
      </c>
      <c r="B181" s="2" t="s">
        <v>227</v>
      </c>
      <c r="C181" s="3" t="s">
        <v>1642</v>
      </c>
      <c r="D181" s="3" t="s">
        <v>1643</v>
      </c>
      <c r="E181" s="3" t="s">
        <v>1638</v>
      </c>
      <c r="F181" s="7" t="s">
        <v>1382</v>
      </c>
      <c r="G181" s="3" t="s">
        <v>1321</v>
      </c>
    </row>
    <row r="182" spans="1:7" ht="38.25" x14ac:dyDescent="0.25">
      <c r="A182" s="2">
        <v>41</v>
      </c>
      <c r="B182" s="2" t="s">
        <v>225</v>
      </c>
      <c r="C182" s="3" t="s">
        <v>1644</v>
      </c>
      <c r="D182" s="3" t="s">
        <v>1577</v>
      </c>
      <c r="E182" s="3" t="s">
        <v>1645</v>
      </c>
      <c r="F182" s="7" t="s">
        <v>1386</v>
      </c>
      <c r="G182" s="3" t="s">
        <v>1314</v>
      </c>
    </row>
    <row r="183" spans="1:7" ht="51" x14ac:dyDescent="0.25">
      <c r="A183" s="2">
        <v>40</v>
      </c>
      <c r="B183" s="2" t="s">
        <v>223</v>
      </c>
      <c r="C183" s="3" t="s">
        <v>1446</v>
      </c>
      <c r="D183" s="3" t="s">
        <v>1644</v>
      </c>
      <c r="E183" s="3" t="s">
        <v>1581</v>
      </c>
      <c r="F183" s="7" t="s">
        <v>1386</v>
      </c>
      <c r="G183" s="3" t="s">
        <v>1306</v>
      </c>
    </row>
    <row r="184" spans="1:7" ht="51" x14ac:dyDescent="0.25">
      <c r="A184" s="2">
        <v>39</v>
      </c>
      <c r="B184" s="2" t="s">
        <v>221</v>
      </c>
      <c r="C184" s="3" t="s">
        <v>1636</v>
      </c>
      <c r="D184" s="3" t="s">
        <v>1646</v>
      </c>
      <c r="E184" s="3" t="s">
        <v>1566</v>
      </c>
      <c r="F184" s="7" t="s">
        <v>1382</v>
      </c>
      <c r="G184" s="3" t="s">
        <v>1303</v>
      </c>
    </row>
    <row r="185" spans="1:7" ht="38.25" x14ac:dyDescent="0.25">
      <c r="A185" s="2">
        <v>38</v>
      </c>
      <c r="B185" s="2" t="s">
        <v>219</v>
      </c>
      <c r="C185" s="3" t="s">
        <v>1641</v>
      </c>
      <c r="D185" s="3" t="s">
        <v>1460</v>
      </c>
      <c r="E185" s="3" t="s">
        <v>1449</v>
      </c>
      <c r="F185" s="7" t="s">
        <v>1382</v>
      </c>
      <c r="G185" s="3" t="s">
        <v>1318</v>
      </c>
    </row>
    <row r="186" spans="1:7" ht="51" x14ac:dyDescent="0.25">
      <c r="A186" s="2">
        <v>37</v>
      </c>
      <c r="B186" s="2" t="s">
        <v>217</v>
      </c>
      <c r="C186" s="3" t="s">
        <v>1462</v>
      </c>
      <c r="D186" s="3" t="s">
        <v>1647</v>
      </c>
      <c r="E186" s="3" t="s">
        <v>1460</v>
      </c>
      <c r="F186" s="7" t="s">
        <v>1398</v>
      </c>
      <c r="G186" s="3" t="s">
        <v>1290</v>
      </c>
    </row>
    <row r="187" spans="1:7" ht="51" x14ac:dyDescent="0.25">
      <c r="A187" s="2">
        <v>36</v>
      </c>
      <c r="B187" s="2" t="s">
        <v>215</v>
      </c>
      <c r="C187" s="3" t="s">
        <v>1648</v>
      </c>
      <c r="D187" s="3" t="s">
        <v>1465</v>
      </c>
      <c r="E187" s="3" t="s">
        <v>1643</v>
      </c>
      <c r="F187" s="7" t="s">
        <v>1382</v>
      </c>
      <c r="G187" s="3" t="s">
        <v>1316</v>
      </c>
    </row>
    <row r="188" spans="1:7" ht="38.25" x14ac:dyDescent="0.25">
      <c r="A188" s="2">
        <v>35</v>
      </c>
      <c r="B188" s="2" t="s">
        <v>213</v>
      </c>
      <c r="C188" s="3" t="s">
        <v>1478</v>
      </c>
      <c r="D188" s="3" t="s">
        <v>1559</v>
      </c>
      <c r="E188" s="3" t="s">
        <v>1468</v>
      </c>
      <c r="F188" s="7" t="s">
        <v>1398</v>
      </c>
      <c r="G188" s="3" t="s">
        <v>1296</v>
      </c>
    </row>
    <row r="189" spans="1:7" ht="51" x14ac:dyDescent="0.25">
      <c r="A189" s="2">
        <v>34</v>
      </c>
      <c r="B189" s="2" t="s">
        <v>211</v>
      </c>
      <c r="C189" s="3" t="s">
        <v>1558</v>
      </c>
      <c r="D189" s="3" t="s">
        <v>1478</v>
      </c>
      <c r="E189" s="3" t="s">
        <v>1557</v>
      </c>
      <c r="F189" s="7" t="s">
        <v>1382</v>
      </c>
      <c r="G189" s="3" t="s">
        <v>1306</v>
      </c>
    </row>
    <row r="190" spans="1:7" ht="51" x14ac:dyDescent="0.25">
      <c r="A190" s="2">
        <v>33</v>
      </c>
      <c r="B190" s="2" t="s">
        <v>209</v>
      </c>
      <c r="C190" s="3" t="s">
        <v>1649</v>
      </c>
      <c r="D190" s="3" t="s">
        <v>1561</v>
      </c>
      <c r="E190" s="3" t="s">
        <v>1478</v>
      </c>
      <c r="F190" s="7" t="s">
        <v>1382</v>
      </c>
      <c r="G190" s="3" t="s">
        <v>1321</v>
      </c>
    </row>
    <row r="191" spans="1:7" ht="38.25" x14ac:dyDescent="0.25">
      <c r="A191" s="2">
        <v>32</v>
      </c>
      <c r="B191" s="2" t="s">
        <v>207</v>
      </c>
      <c r="C191" s="3" t="s">
        <v>1551</v>
      </c>
      <c r="D191" s="3" t="s">
        <v>1589</v>
      </c>
      <c r="E191" s="3" t="s">
        <v>1563</v>
      </c>
      <c r="F191" s="7" t="s">
        <v>1386</v>
      </c>
      <c r="G191" s="3" t="s">
        <v>1296</v>
      </c>
    </row>
    <row r="192" spans="1:7" ht="51" x14ac:dyDescent="0.25">
      <c r="A192" s="2">
        <v>31</v>
      </c>
      <c r="B192" s="2" t="s">
        <v>205</v>
      </c>
      <c r="C192" s="3" t="s">
        <v>1641</v>
      </c>
      <c r="D192" s="3" t="s">
        <v>1551</v>
      </c>
      <c r="E192" s="3" t="s">
        <v>1589</v>
      </c>
      <c r="F192" s="7" t="s">
        <v>1382</v>
      </c>
      <c r="G192" s="3" t="s">
        <v>1303</v>
      </c>
    </row>
    <row r="193" spans="1:7" ht="38.25" x14ac:dyDescent="0.25">
      <c r="A193" s="2">
        <v>30</v>
      </c>
      <c r="B193" s="2" t="s">
        <v>203</v>
      </c>
      <c r="C193" s="3" t="s">
        <v>1436</v>
      </c>
      <c r="D193" s="3" t="s">
        <v>1643</v>
      </c>
      <c r="E193" s="3" t="s">
        <v>1551</v>
      </c>
      <c r="F193" s="6" t="s">
        <v>1388</v>
      </c>
      <c r="G193" s="3" t="s">
        <v>1293</v>
      </c>
    </row>
    <row r="194" spans="1:7" ht="51" x14ac:dyDescent="0.25">
      <c r="A194" s="2">
        <v>29</v>
      </c>
      <c r="B194" s="2" t="s">
        <v>201</v>
      </c>
      <c r="C194" s="3" t="s">
        <v>1650</v>
      </c>
      <c r="D194" s="3" t="s">
        <v>1536</v>
      </c>
      <c r="E194" s="3" t="s">
        <v>1645</v>
      </c>
      <c r="F194" s="7" t="s">
        <v>1382</v>
      </c>
      <c r="G194" s="3" t="s">
        <v>1309</v>
      </c>
    </row>
    <row r="195" spans="1:7" ht="38.25" x14ac:dyDescent="0.25">
      <c r="A195" s="2">
        <v>28</v>
      </c>
      <c r="B195" s="2" t="s">
        <v>199</v>
      </c>
      <c r="C195" s="3" t="s">
        <v>1512</v>
      </c>
      <c r="D195" s="3" t="s">
        <v>1651</v>
      </c>
      <c r="E195" s="3" t="s">
        <v>1436</v>
      </c>
      <c r="F195" s="6" t="s">
        <v>1388</v>
      </c>
      <c r="G195" s="3" t="s">
        <v>1296</v>
      </c>
    </row>
    <row r="196" spans="1:7" ht="38.25" x14ac:dyDescent="0.25">
      <c r="A196" s="2">
        <v>27</v>
      </c>
      <c r="B196" s="2" t="s">
        <v>197</v>
      </c>
      <c r="C196" s="3" t="s">
        <v>1546</v>
      </c>
      <c r="D196" s="3" t="s">
        <v>1512</v>
      </c>
      <c r="E196" s="3" t="s">
        <v>1652</v>
      </c>
      <c r="F196" s="7" t="s">
        <v>1386</v>
      </c>
      <c r="G196" s="3" t="s">
        <v>1301</v>
      </c>
    </row>
    <row r="197" spans="1:7" ht="38.25" x14ac:dyDescent="0.25">
      <c r="A197" s="2">
        <v>26</v>
      </c>
      <c r="B197" s="2" t="s">
        <v>195</v>
      </c>
      <c r="C197" s="3" t="s">
        <v>1506</v>
      </c>
      <c r="D197" s="3" t="s">
        <v>1394</v>
      </c>
      <c r="E197" s="3" t="s">
        <v>1512</v>
      </c>
      <c r="F197" s="7" t="s">
        <v>1382</v>
      </c>
      <c r="G197" s="3" t="s">
        <v>1296</v>
      </c>
    </row>
    <row r="198" spans="1:7" ht="38.25" x14ac:dyDescent="0.25">
      <c r="A198" s="2">
        <v>25</v>
      </c>
      <c r="B198" s="2" t="s">
        <v>193</v>
      </c>
      <c r="C198" s="3" t="s">
        <v>1653</v>
      </c>
      <c r="D198" s="3" t="s">
        <v>1624</v>
      </c>
      <c r="E198" s="3" t="s">
        <v>1546</v>
      </c>
      <c r="F198" s="7" t="s">
        <v>1382</v>
      </c>
      <c r="G198" s="3" t="s">
        <v>1299</v>
      </c>
    </row>
    <row r="199" spans="1:7" ht="38.25" x14ac:dyDescent="0.25">
      <c r="A199" s="2">
        <v>24</v>
      </c>
      <c r="B199" s="2" t="s">
        <v>191</v>
      </c>
      <c r="C199" s="3" t="s">
        <v>1638</v>
      </c>
      <c r="D199" s="3" t="s">
        <v>1654</v>
      </c>
      <c r="E199" s="3" t="s">
        <v>1624</v>
      </c>
      <c r="F199" s="7" t="s">
        <v>1398</v>
      </c>
      <c r="G199" s="3" t="s">
        <v>1320</v>
      </c>
    </row>
    <row r="200" spans="1:7" ht="38.25" x14ac:dyDescent="0.25">
      <c r="A200" s="2">
        <v>23</v>
      </c>
      <c r="B200" s="2" t="s">
        <v>189</v>
      </c>
      <c r="C200" s="3" t="s">
        <v>1655</v>
      </c>
      <c r="D200" s="3" t="s">
        <v>1638</v>
      </c>
      <c r="E200" s="3" t="s">
        <v>1656</v>
      </c>
      <c r="F200" s="6" t="s">
        <v>1388</v>
      </c>
      <c r="G200" s="3" t="s">
        <v>1314</v>
      </c>
    </row>
    <row r="201" spans="1:7" ht="51" x14ac:dyDescent="0.25">
      <c r="A201" s="2">
        <v>22</v>
      </c>
      <c r="B201" s="2" t="s">
        <v>187</v>
      </c>
      <c r="C201" s="3" t="s">
        <v>1610</v>
      </c>
      <c r="D201" s="3" t="s">
        <v>1657</v>
      </c>
      <c r="E201" s="3" t="s">
        <v>1658</v>
      </c>
      <c r="F201" s="7" t="s">
        <v>1398</v>
      </c>
      <c r="G201" s="3" t="s">
        <v>1306</v>
      </c>
    </row>
    <row r="202" spans="1:7" ht="51" x14ac:dyDescent="0.25">
      <c r="A202" s="2">
        <v>21</v>
      </c>
      <c r="B202" s="2" t="s">
        <v>185</v>
      </c>
      <c r="C202" s="3" t="s">
        <v>1455</v>
      </c>
      <c r="D202" s="3" t="s">
        <v>1610</v>
      </c>
      <c r="E202" s="3" t="s">
        <v>1659</v>
      </c>
      <c r="F202" s="7" t="s">
        <v>1386</v>
      </c>
      <c r="G202" s="3" t="s">
        <v>1316</v>
      </c>
    </row>
    <row r="203" spans="1:7" ht="51" x14ac:dyDescent="0.25">
      <c r="A203" s="2">
        <v>20</v>
      </c>
      <c r="B203" s="2" t="s">
        <v>183</v>
      </c>
      <c r="C203" s="3" t="s">
        <v>1660</v>
      </c>
      <c r="D203" s="3" t="s">
        <v>1451</v>
      </c>
      <c r="E203" s="3" t="s">
        <v>1400</v>
      </c>
      <c r="F203" s="7" t="s">
        <v>1382</v>
      </c>
      <c r="G203" s="3" t="s">
        <v>1304</v>
      </c>
    </row>
    <row r="204" spans="1:7" ht="38.25" x14ac:dyDescent="0.25">
      <c r="A204" s="2">
        <v>19</v>
      </c>
      <c r="B204" s="2" t="s">
        <v>181</v>
      </c>
      <c r="C204" s="3" t="s">
        <v>1661</v>
      </c>
      <c r="D204" s="3" t="s">
        <v>1662</v>
      </c>
      <c r="E204" s="3" t="s">
        <v>1455</v>
      </c>
      <c r="F204" s="7" t="s">
        <v>1382</v>
      </c>
      <c r="G204" s="3" t="s">
        <v>1311</v>
      </c>
    </row>
    <row r="205" spans="1:7" ht="38.25" x14ac:dyDescent="0.25">
      <c r="A205" s="2">
        <v>18</v>
      </c>
      <c r="B205" s="2" t="s">
        <v>179</v>
      </c>
      <c r="C205" s="3" t="s">
        <v>1662</v>
      </c>
      <c r="D205" s="3" t="s">
        <v>1381</v>
      </c>
      <c r="E205" s="3" t="s">
        <v>1662</v>
      </c>
      <c r="F205" s="6" t="s">
        <v>1388</v>
      </c>
      <c r="G205" s="3" t="s">
        <v>1315</v>
      </c>
    </row>
    <row r="206" spans="1:7" ht="51" x14ac:dyDescent="0.25">
      <c r="A206" s="2">
        <v>17</v>
      </c>
      <c r="B206" s="2" t="s">
        <v>177</v>
      </c>
      <c r="C206" s="3" t="s">
        <v>1488</v>
      </c>
      <c r="D206" s="3" t="s">
        <v>1663</v>
      </c>
      <c r="E206" s="3" t="s">
        <v>1381</v>
      </c>
      <c r="F206" s="7" t="s">
        <v>1382</v>
      </c>
      <c r="G206" s="3" t="s">
        <v>1317</v>
      </c>
    </row>
    <row r="207" spans="1:7" ht="38.25" x14ac:dyDescent="0.25">
      <c r="A207" s="2">
        <v>16</v>
      </c>
      <c r="B207" s="2" t="s">
        <v>175</v>
      </c>
      <c r="C207" s="3" t="s">
        <v>1617</v>
      </c>
      <c r="D207" s="3" t="s">
        <v>1492</v>
      </c>
      <c r="E207" s="3" t="s">
        <v>1662</v>
      </c>
      <c r="F207" s="7" t="s">
        <v>1382</v>
      </c>
      <c r="G207" s="3" t="s">
        <v>1296</v>
      </c>
    </row>
    <row r="208" spans="1:7" ht="38.25" x14ac:dyDescent="0.25">
      <c r="A208" s="2">
        <v>15</v>
      </c>
      <c r="B208" s="2" t="s">
        <v>173</v>
      </c>
      <c r="C208" s="3" t="s">
        <v>1664</v>
      </c>
      <c r="D208" s="3" t="s">
        <v>1619</v>
      </c>
      <c r="E208" s="3" t="s">
        <v>1517</v>
      </c>
      <c r="F208" s="7" t="s">
        <v>1382</v>
      </c>
      <c r="G208" s="3" t="s">
        <v>1293</v>
      </c>
    </row>
    <row r="209" spans="1:7" ht="51" x14ac:dyDescent="0.25">
      <c r="A209" s="2">
        <v>14</v>
      </c>
      <c r="B209" s="2" t="s">
        <v>171</v>
      </c>
      <c r="C209" s="3" t="s">
        <v>1610</v>
      </c>
      <c r="D209" s="3" t="s">
        <v>1429</v>
      </c>
      <c r="E209" s="3" t="s">
        <v>1623</v>
      </c>
      <c r="F209" s="7" t="s">
        <v>1386</v>
      </c>
      <c r="G209" s="3" t="s">
        <v>1307</v>
      </c>
    </row>
    <row r="210" spans="1:7" ht="51" x14ac:dyDescent="0.25">
      <c r="A210" s="2">
        <v>13</v>
      </c>
      <c r="B210" s="2" t="s">
        <v>168</v>
      </c>
      <c r="C210" s="3" t="s">
        <v>1561</v>
      </c>
      <c r="D210" s="3" t="s">
        <v>1610</v>
      </c>
      <c r="E210" s="3" t="s">
        <v>1435</v>
      </c>
      <c r="F210" s="7" t="s">
        <v>1386</v>
      </c>
      <c r="G210" s="3" t="s">
        <v>1321</v>
      </c>
    </row>
    <row r="211" spans="1:7" ht="38.25" x14ac:dyDescent="0.25">
      <c r="A211" s="2">
        <v>12</v>
      </c>
      <c r="B211" s="2" t="s">
        <v>166</v>
      </c>
      <c r="C211" s="3" t="s">
        <v>1665</v>
      </c>
      <c r="D211" s="3" t="s">
        <v>1561</v>
      </c>
      <c r="E211" s="3" t="s">
        <v>1400</v>
      </c>
      <c r="F211" s="7" t="s">
        <v>1382</v>
      </c>
      <c r="G211" s="3" t="s">
        <v>1301</v>
      </c>
    </row>
    <row r="212" spans="1:7" ht="51" x14ac:dyDescent="0.25">
      <c r="A212" s="2">
        <v>11</v>
      </c>
      <c r="B212" s="2" t="s">
        <v>164</v>
      </c>
      <c r="C212" s="3" t="s">
        <v>1461</v>
      </c>
      <c r="D212" s="3" t="s">
        <v>1666</v>
      </c>
      <c r="E212" s="3" t="s">
        <v>1561</v>
      </c>
      <c r="F212" s="7" t="s">
        <v>1398</v>
      </c>
      <c r="G212" s="3" t="s">
        <v>1317</v>
      </c>
    </row>
    <row r="213" spans="1:7" ht="51" x14ac:dyDescent="0.25">
      <c r="A213" s="2">
        <v>10</v>
      </c>
      <c r="B213" s="2" t="s">
        <v>162</v>
      </c>
      <c r="C213" s="3" t="s">
        <v>1432</v>
      </c>
      <c r="D213" s="3" t="s">
        <v>1461</v>
      </c>
      <c r="E213" s="3" t="s">
        <v>1667</v>
      </c>
      <c r="F213" s="7" t="s">
        <v>1386</v>
      </c>
      <c r="G213" s="3" t="s">
        <v>1290</v>
      </c>
    </row>
    <row r="214" spans="1:7" ht="51" x14ac:dyDescent="0.25">
      <c r="A214" s="2">
        <v>9</v>
      </c>
      <c r="B214" s="2" t="s">
        <v>160</v>
      </c>
      <c r="C214" s="3" t="s">
        <v>1668</v>
      </c>
      <c r="D214" s="3" t="s">
        <v>1444</v>
      </c>
      <c r="E214" s="3" t="s">
        <v>1461</v>
      </c>
      <c r="F214" s="7" t="s">
        <v>1382</v>
      </c>
      <c r="G214" s="3" t="s">
        <v>1321</v>
      </c>
    </row>
    <row r="215" spans="1:7" ht="51" x14ac:dyDescent="0.25">
      <c r="A215" s="2">
        <v>8</v>
      </c>
      <c r="B215" s="2" t="s">
        <v>158</v>
      </c>
      <c r="C215" s="3" t="s">
        <v>1560</v>
      </c>
      <c r="D215" s="3" t="s">
        <v>1520</v>
      </c>
      <c r="E215" s="3" t="s">
        <v>1437</v>
      </c>
      <c r="F215" s="7" t="s">
        <v>1382</v>
      </c>
      <c r="G215" s="3" t="s">
        <v>1309</v>
      </c>
    </row>
    <row r="216" spans="1:7" ht="51" x14ac:dyDescent="0.25">
      <c r="A216" s="2">
        <v>7</v>
      </c>
      <c r="B216" s="2" t="s">
        <v>156</v>
      </c>
      <c r="C216" s="3" t="s">
        <v>1655</v>
      </c>
      <c r="D216" s="3" t="s">
        <v>1414</v>
      </c>
      <c r="E216" s="3" t="s">
        <v>1525</v>
      </c>
      <c r="F216" s="7" t="s">
        <v>1398</v>
      </c>
      <c r="G216" s="3" t="s">
        <v>1321</v>
      </c>
    </row>
    <row r="217" spans="1:7" ht="38.25" x14ac:dyDescent="0.25">
      <c r="A217" s="2">
        <v>6</v>
      </c>
      <c r="B217" s="2" t="s">
        <v>154</v>
      </c>
      <c r="C217" s="3" t="s">
        <v>1464</v>
      </c>
      <c r="D217" s="3" t="s">
        <v>1655</v>
      </c>
      <c r="E217" s="3" t="s">
        <v>1530</v>
      </c>
      <c r="F217" s="7" t="s">
        <v>1386</v>
      </c>
      <c r="G217" s="3" t="s">
        <v>1311</v>
      </c>
    </row>
    <row r="218" spans="1:7" ht="38.25" x14ac:dyDescent="0.25">
      <c r="A218" s="2">
        <v>5</v>
      </c>
      <c r="B218" s="2" t="s">
        <v>152</v>
      </c>
      <c r="C218" s="3" t="s">
        <v>1453</v>
      </c>
      <c r="D218" s="3" t="s">
        <v>1467</v>
      </c>
      <c r="E218" s="3" t="s">
        <v>1655</v>
      </c>
      <c r="F218" s="7" t="s">
        <v>1382</v>
      </c>
      <c r="G218" s="3" t="s">
        <v>1320</v>
      </c>
    </row>
    <row r="219" spans="1:7" ht="38.25" x14ac:dyDescent="0.25">
      <c r="A219" s="2">
        <v>4</v>
      </c>
      <c r="B219" s="2" t="s">
        <v>149</v>
      </c>
      <c r="C219" s="3" t="s">
        <v>1523</v>
      </c>
      <c r="D219" s="3" t="s">
        <v>1405</v>
      </c>
      <c r="E219" s="3" t="s">
        <v>1669</v>
      </c>
      <c r="F219" s="7" t="s">
        <v>1386</v>
      </c>
      <c r="G219" s="3" t="s">
        <v>1301</v>
      </c>
    </row>
    <row r="220" spans="1:7" ht="38.25" x14ac:dyDescent="0.25">
      <c r="A220" s="2">
        <v>3</v>
      </c>
      <c r="B220" s="2" t="s">
        <v>147</v>
      </c>
      <c r="C220" s="3" t="s">
        <v>1670</v>
      </c>
      <c r="D220" s="3" t="s">
        <v>1521</v>
      </c>
      <c r="E220" s="3" t="s">
        <v>1412</v>
      </c>
      <c r="F220" s="7" t="s">
        <v>1382</v>
      </c>
      <c r="G220" s="3" t="s">
        <v>1311</v>
      </c>
    </row>
    <row r="221" spans="1:7" x14ac:dyDescent="0.25">
      <c r="A221" s="2">
        <v>2</v>
      </c>
      <c r="B221" s="2" t="s">
        <v>144</v>
      </c>
      <c r="C221" s="3" t="s">
        <v>1671</v>
      </c>
      <c r="D221" s="3" t="s">
        <v>1592</v>
      </c>
      <c r="E221" s="3" t="s">
        <v>1523</v>
      </c>
      <c r="F221" s="7" t="s">
        <v>1398</v>
      </c>
      <c r="G221" s="3" t="s">
        <v>1324</v>
      </c>
    </row>
    <row r="222" spans="1:7" ht="38.25" x14ac:dyDescent="0.25">
      <c r="A222" s="2">
        <v>1</v>
      </c>
      <c r="B222" s="2" t="s">
        <v>139</v>
      </c>
      <c r="C222" s="3" t="s">
        <v>1649</v>
      </c>
      <c r="D222" s="3" t="s">
        <v>1671</v>
      </c>
      <c r="E222" s="3" t="s">
        <v>1469</v>
      </c>
      <c r="F222" s="7" t="s">
        <v>1382</v>
      </c>
      <c r="G222" s="3" t="s">
        <v>1312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3"/>
  <sheetViews>
    <sheetView workbookViewId="0"/>
  </sheetViews>
  <sheetFormatPr defaultRowHeight="15" x14ac:dyDescent="0.25"/>
  <cols>
    <col min="1" max="1" width="36" customWidth="1"/>
    <col min="2" max="2" width="17" customWidth="1"/>
    <col min="3" max="3" width="14" customWidth="1"/>
    <col min="4" max="4" width="12" customWidth="1"/>
    <col min="5" max="5" width="15" customWidth="1"/>
    <col min="6" max="6" width="19" customWidth="1"/>
    <col min="7" max="7" width="14" customWidth="1"/>
    <col min="8" max="8" width="30" customWidth="1"/>
  </cols>
  <sheetData>
    <row r="1" spans="1:8" x14ac:dyDescent="0.25">
      <c r="A1" s="1" t="s">
        <v>622</v>
      </c>
      <c r="B1" s="1" t="s">
        <v>1672</v>
      </c>
      <c r="C1" s="1" t="s">
        <v>1673</v>
      </c>
      <c r="D1" s="1" t="s">
        <v>1674</v>
      </c>
      <c r="E1" s="1" t="s">
        <v>1675</v>
      </c>
      <c r="F1" s="1" t="s">
        <v>1676</v>
      </c>
      <c r="G1" s="1" t="s">
        <v>1677</v>
      </c>
      <c r="H1" s="1" t="s">
        <v>1678</v>
      </c>
    </row>
    <row r="2" spans="1:8" x14ac:dyDescent="0.25">
      <c r="A2" s="2" t="s">
        <v>1679</v>
      </c>
      <c r="B2" s="2" t="s">
        <v>1680</v>
      </c>
      <c r="C2" s="3" t="s">
        <v>759</v>
      </c>
      <c r="D2" s="3" t="s">
        <v>759</v>
      </c>
      <c r="E2" s="3" t="s">
        <v>759</v>
      </c>
      <c r="F2" s="3" t="s">
        <v>759</v>
      </c>
      <c r="G2" s="3" t="s">
        <v>1681</v>
      </c>
      <c r="H2" s="3" t="s">
        <v>1682</v>
      </c>
    </row>
    <row r="3" spans="1:8" x14ac:dyDescent="0.25">
      <c r="A3" s="2" t="s">
        <v>632</v>
      </c>
      <c r="B3" s="2" t="s">
        <v>1683</v>
      </c>
      <c r="C3" s="3" t="s">
        <v>1684</v>
      </c>
      <c r="D3" s="3" t="s">
        <v>1685</v>
      </c>
      <c r="E3" s="3" t="s">
        <v>1686</v>
      </c>
      <c r="F3" s="3">
        <v>45.5</v>
      </c>
      <c r="G3" s="3" t="s">
        <v>1687</v>
      </c>
      <c r="H3" s="3" t="s">
        <v>1688</v>
      </c>
    </row>
    <row r="4" spans="1:8" x14ac:dyDescent="0.25">
      <c r="A4" s="2" t="s">
        <v>635</v>
      </c>
      <c r="B4" s="2" t="s">
        <v>1683</v>
      </c>
      <c r="C4" s="3" t="s">
        <v>1689</v>
      </c>
      <c r="D4" s="3" t="s">
        <v>1690</v>
      </c>
      <c r="E4" s="3" t="s">
        <v>1686</v>
      </c>
      <c r="F4" s="3">
        <v>45.5</v>
      </c>
      <c r="G4" s="3" t="s">
        <v>1687</v>
      </c>
      <c r="H4" s="3" t="s">
        <v>1688</v>
      </c>
    </row>
    <row r="5" spans="1:8" x14ac:dyDescent="0.25">
      <c r="A5" s="2" t="s">
        <v>636</v>
      </c>
      <c r="B5" s="2" t="s">
        <v>1683</v>
      </c>
      <c r="C5" s="3" t="s">
        <v>1691</v>
      </c>
      <c r="D5" s="3" t="s">
        <v>1692</v>
      </c>
      <c r="E5" s="3" t="s">
        <v>1686</v>
      </c>
      <c r="F5" s="3">
        <v>45.5</v>
      </c>
      <c r="G5" s="3" t="s">
        <v>1687</v>
      </c>
      <c r="H5" s="3" t="s">
        <v>1688</v>
      </c>
    </row>
    <row r="6" spans="1:8" x14ac:dyDescent="0.25">
      <c r="A6" s="2" t="s">
        <v>637</v>
      </c>
      <c r="B6" s="2" t="s">
        <v>1683</v>
      </c>
      <c r="C6" s="3" t="s">
        <v>1693</v>
      </c>
      <c r="D6" s="3" t="s">
        <v>1694</v>
      </c>
      <c r="E6" s="3" t="s">
        <v>1686</v>
      </c>
      <c r="F6" s="3">
        <v>45.5</v>
      </c>
      <c r="G6" s="3" t="s">
        <v>1687</v>
      </c>
      <c r="H6" s="3" t="s">
        <v>1695</v>
      </c>
    </row>
    <row r="7" spans="1:8" x14ac:dyDescent="0.25">
      <c r="A7" s="2" t="s">
        <v>638</v>
      </c>
      <c r="B7" s="2" t="s">
        <v>1683</v>
      </c>
      <c r="C7" s="3" t="s">
        <v>1696</v>
      </c>
      <c r="D7" s="3" t="s">
        <v>1697</v>
      </c>
      <c r="E7" s="3" t="s">
        <v>1686</v>
      </c>
      <c r="F7" s="3">
        <v>45.5</v>
      </c>
      <c r="G7" s="3" t="s">
        <v>1687</v>
      </c>
      <c r="H7" s="3" t="s">
        <v>1695</v>
      </c>
    </row>
    <row r="8" spans="1:8" x14ac:dyDescent="0.25">
      <c r="A8" s="2" t="s">
        <v>639</v>
      </c>
      <c r="B8" s="2" t="s">
        <v>1683</v>
      </c>
      <c r="C8" s="3" t="s">
        <v>1698</v>
      </c>
      <c r="D8" s="3" t="s">
        <v>1685</v>
      </c>
      <c r="E8" s="3" t="s">
        <v>1699</v>
      </c>
      <c r="F8" s="3">
        <v>41.5</v>
      </c>
      <c r="G8" s="3" t="s">
        <v>1700</v>
      </c>
      <c r="H8" s="3" t="s">
        <v>1695</v>
      </c>
    </row>
    <row r="9" spans="1:8" x14ac:dyDescent="0.25">
      <c r="A9" s="2" t="s">
        <v>640</v>
      </c>
      <c r="B9" s="2" t="s">
        <v>1683</v>
      </c>
      <c r="C9" s="3" t="s">
        <v>1701</v>
      </c>
      <c r="D9" s="3" t="s">
        <v>1690</v>
      </c>
      <c r="E9" s="3" t="s">
        <v>1699</v>
      </c>
      <c r="F9" s="3">
        <v>41.5</v>
      </c>
      <c r="G9" s="3" t="s">
        <v>1700</v>
      </c>
      <c r="H9" s="3" t="s">
        <v>1695</v>
      </c>
    </row>
    <row r="10" spans="1:8" x14ac:dyDescent="0.25">
      <c r="A10" s="2" t="s">
        <v>641</v>
      </c>
      <c r="B10" s="2" t="s">
        <v>1683</v>
      </c>
      <c r="C10" s="3" t="s">
        <v>1702</v>
      </c>
      <c r="D10" s="3" t="s">
        <v>1692</v>
      </c>
      <c r="E10" s="3" t="s">
        <v>1699</v>
      </c>
      <c r="F10" s="3">
        <v>41.5</v>
      </c>
      <c r="G10" s="3" t="s">
        <v>1700</v>
      </c>
      <c r="H10" s="3" t="s">
        <v>1695</v>
      </c>
    </row>
    <row r="11" spans="1:8" x14ac:dyDescent="0.25">
      <c r="A11" s="2" t="s">
        <v>642</v>
      </c>
      <c r="B11" s="2" t="s">
        <v>1683</v>
      </c>
      <c r="C11" s="3" t="s">
        <v>1703</v>
      </c>
      <c r="D11" s="3" t="s">
        <v>1694</v>
      </c>
      <c r="E11" s="3" t="s">
        <v>1699</v>
      </c>
      <c r="F11" s="3">
        <v>41.5</v>
      </c>
      <c r="G11" s="3" t="s">
        <v>1700</v>
      </c>
      <c r="H11" s="3" t="s">
        <v>1695</v>
      </c>
    </row>
    <row r="12" spans="1:8" x14ac:dyDescent="0.25">
      <c r="A12" s="2" t="s">
        <v>643</v>
      </c>
      <c r="B12" s="2" t="s">
        <v>1683</v>
      </c>
      <c r="C12" s="3" t="s">
        <v>1704</v>
      </c>
      <c r="D12" s="3" t="s">
        <v>1697</v>
      </c>
      <c r="E12" s="3" t="s">
        <v>1699</v>
      </c>
      <c r="F12" s="3">
        <v>41.5</v>
      </c>
      <c r="G12" s="3" t="s">
        <v>1700</v>
      </c>
      <c r="H12" s="3" t="s">
        <v>1695</v>
      </c>
    </row>
    <row r="13" spans="1:8" x14ac:dyDescent="0.25">
      <c r="A13" s="2" t="s">
        <v>644</v>
      </c>
      <c r="B13" s="2" t="s">
        <v>1683</v>
      </c>
      <c r="C13" s="3" t="s">
        <v>1705</v>
      </c>
      <c r="D13" s="3" t="s">
        <v>1685</v>
      </c>
      <c r="E13" s="3" t="s">
        <v>1706</v>
      </c>
      <c r="F13" s="3">
        <v>39.5</v>
      </c>
      <c r="G13" s="3" t="s">
        <v>1707</v>
      </c>
      <c r="H13" s="3" t="s">
        <v>1695</v>
      </c>
    </row>
    <row r="14" spans="1:8" x14ac:dyDescent="0.25">
      <c r="A14" s="2" t="s">
        <v>646</v>
      </c>
      <c r="B14" s="2" t="s">
        <v>1683</v>
      </c>
      <c r="C14" s="3" t="s">
        <v>1708</v>
      </c>
      <c r="D14" s="3" t="s">
        <v>1685</v>
      </c>
      <c r="E14" s="3" t="s">
        <v>1709</v>
      </c>
      <c r="F14" s="3">
        <v>39.5</v>
      </c>
      <c r="G14" s="3" t="s">
        <v>1707</v>
      </c>
      <c r="H14" s="3" t="s">
        <v>1695</v>
      </c>
    </row>
    <row r="15" spans="1:8" x14ac:dyDescent="0.25">
      <c r="A15" s="2" t="s">
        <v>647</v>
      </c>
      <c r="B15" s="2" t="s">
        <v>1683</v>
      </c>
      <c r="C15" s="3" t="s">
        <v>1710</v>
      </c>
      <c r="D15" s="3" t="s">
        <v>1685</v>
      </c>
      <c r="E15" s="3" t="s">
        <v>1711</v>
      </c>
      <c r="F15" s="3">
        <v>39.5</v>
      </c>
      <c r="G15" s="3" t="s">
        <v>1707</v>
      </c>
      <c r="H15" s="3" t="s">
        <v>1695</v>
      </c>
    </row>
    <row r="16" spans="1:8" x14ac:dyDescent="0.25">
      <c r="A16" s="2" t="s">
        <v>648</v>
      </c>
      <c r="B16" s="2" t="s">
        <v>1683</v>
      </c>
      <c r="C16" s="3" t="s">
        <v>1712</v>
      </c>
      <c r="D16" s="3" t="s">
        <v>1685</v>
      </c>
      <c r="E16" s="3" t="s">
        <v>1713</v>
      </c>
      <c r="F16" s="3">
        <v>39.5</v>
      </c>
      <c r="G16" s="3" t="s">
        <v>1707</v>
      </c>
      <c r="H16" s="3" t="s">
        <v>1695</v>
      </c>
    </row>
    <row r="17" spans="1:8" x14ac:dyDescent="0.25">
      <c r="A17" s="2" t="s">
        <v>649</v>
      </c>
      <c r="B17" s="2" t="s">
        <v>1683</v>
      </c>
      <c r="C17" s="3" t="s">
        <v>1714</v>
      </c>
      <c r="D17" s="3" t="s">
        <v>1690</v>
      </c>
      <c r="E17" s="3" t="s">
        <v>1706</v>
      </c>
      <c r="F17" s="3">
        <v>39.5</v>
      </c>
      <c r="G17" s="3" t="s">
        <v>1707</v>
      </c>
      <c r="H17" s="3" t="s">
        <v>1695</v>
      </c>
    </row>
    <row r="18" spans="1:8" x14ac:dyDescent="0.25">
      <c r="A18" s="2" t="s">
        <v>650</v>
      </c>
      <c r="B18" s="2" t="s">
        <v>1683</v>
      </c>
      <c r="C18" s="3" t="s">
        <v>1715</v>
      </c>
      <c r="D18" s="3" t="s">
        <v>1690</v>
      </c>
      <c r="E18" s="3" t="s">
        <v>1709</v>
      </c>
      <c r="F18" s="3">
        <v>39.5</v>
      </c>
      <c r="G18" s="3" t="s">
        <v>1707</v>
      </c>
      <c r="H18" s="3" t="s">
        <v>1695</v>
      </c>
    </row>
    <row r="19" spans="1:8" x14ac:dyDescent="0.25">
      <c r="A19" s="2" t="s">
        <v>651</v>
      </c>
      <c r="B19" s="2" t="s">
        <v>1683</v>
      </c>
      <c r="C19" s="3" t="s">
        <v>1716</v>
      </c>
      <c r="D19" s="3" t="s">
        <v>1690</v>
      </c>
      <c r="E19" s="3" t="s">
        <v>1711</v>
      </c>
      <c r="F19" s="3">
        <v>39.5</v>
      </c>
      <c r="G19" s="3" t="s">
        <v>1707</v>
      </c>
      <c r="H19" s="3" t="s">
        <v>1695</v>
      </c>
    </row>
    <row r="20" spans="1:8" x14ac:dyDescent="0.25">
      <c r="A20" s="2" t="s">
        <v>652</v>
      </c>
      <c r="B20" s="2" t="s">
        <v>1683</v>
      </c>
      <c r="C20" s="3" t="s">
        <v>1717</v>
      </c>
      <c r="D20" s="3" t="s">
        <v>1690</v>
      </c>
      <c r="E20" s="3" t="s">
        <v>1713</v>
      </c>
      <c r="F20" s="3">
        <v>39.5</v>
      </c>
      <c r="G20" s="3" t="s">
        <v>1707</v>
      </c>
      <c r="H20" s="3" t="s">
        <v>1695</v>
      </c>
    </row>
    <row r="21" spans="1:8" x14ac:dyDescent="0.25">
      <c r="A21" s="2" t="s">
        <v>653</v>
      </c>
      <c r="B21" s="2" t="s">
        <v>1683</v>
      </c>
      <c r="C21" s="3" t="s">
        <v>1718</v>
      </c>
      <c r="D21" s="3" t="s">
        <v>1692</v>
      </c>
      <c r="E21" s="3" t="s">
        <v>1706</v>
      </c>
      <c r="F21" s="3">
        <v>39.5</v>
      </c>
      <c r="G21" s="3" t="s">
        <v>1707</v>
      </c>
      <c r="H21" s="3" t="s">
        <v>1695</v>
      </c>
    </row>
    <row r="22" spans="1:8" x14ac:dyDescent="0.25">
      <c r="A22" s="2" t="s">
        <v>654</v>
      </c>
      <c r="B22" s="2" t="s">
        <v>1683</v>
      </c>
      <c r="C22" s="3" t="s">
        <v>1719</v>
      </c>
      <c r="D22" s="3" t="s">
        <v>1692</v>
      </c>
      <c r="E22" s="3" t="s">
        <v>1709</v>
      </c>
      <c r="F22" s="3">
        <v>39.5</v>
      </c>
      <c r="G22" s="3" t="s">
        <v>1707</v>
      </c>
      <c r="H22" s="3" t="s">
        <v>1695</v>
      </c>
    </row>
    <row r="23" spans="1:8" ht="25.5" x14ac:dyDescent="0.25">
      <c r="A23" s="2" t="s">
        <v>1720</v>
      </c>
      <c r="B23" s="2" t="s">
        <v>1721</v>
      </c>
      <c r="C23" s="3" t="s">
        <v>759</v>
      </c>
      <c r="D23" s="3" t="s">
        <v>759</v>
      </c>
      <c r="E23" s="3" t="s">
        <v>759</v>
      </c>
      <c r="F23" s="3" t="s">
        <v>759</v>
      </c>
      <c r="G23" s="3" t="s">
        <v>1681</v>
      </c>
      <c r="H23" s="3" t="s">
        <v>1722</v>
      </c>
    </row>
    <row r="24" spans="1:8" x14ac:dyDescent="0.25">
      <c r="A24" s="2" t="s">
        <v>632</v>
      </c>
      <c r="B24" s="2" t="s">
        <v>1723</v>
      </c>
      <c r="C24" s="3" t="s">
        <v>1724</v>
      </c>
      <c r="D24" s="3" t="s">
        <v>1685</v>
      </c>
      <c r="E24" s="3" t="s">
        <v>1725</v>
      </c>
      <c r="F24" s="3">
        <v>60.5</v>
      </c>
      <c r="G24" s="3" t="s">
        <v>1687</v>
      </c>
      <c r="H24" s="3" t="s">
        <v>1688</v>
      </c>
    </row>
    <row r="25" spans="1:8" x14ac:dyDescent="0.25">
      <c r="A25" s="2" t="s">
        <v>635</v>
      </c>
      <c r="B25" s="2" t="s">
        <v>1723</v>
      </c>
      <c r="C25" s="3" t="s">
        <v>1726</v>
      </c>
      <c r="D25" s="3" t="s">
        <v>1685</v>
      </c>
      <c r="E25" s="3" t="s">
        <v>1727</v>
      </c>
      <c r="F25" s="3">
        <v>60.5</v>
      </c>
      <c r="G25" s="3" t="s">
        <v>1687</v>
      </c>
      <c r="H25" s="3" t="s">
        <v>1688</v>
      </c>
    </row>
    <row r="26" spans="1:8" x14ac:dyDescent="0.25">
      <c r="A26" s="2" t="s">
        <v>636</v>
      </c>
      <c r="B26" s="2" t="s">
        <v>1723</v>
      </c>
      <c r="C26" s="3" t="s">
        <v>1728</v>
      </c>
      <c r="D26" s="3" t="s">
        <v>1685</v>
      </c>
      <c r="E26" s="3" t="s">
        <v>1729</v>
      </c>
      <c r="F26" s="3">
        <v>60.5</v>
      </c>
      <c r="G26" s="3" t="s">
        <v>1687</v>
      </c>
      <c r="H26" s="3" t="s">
        <v>1688</v>
      </c>
    </row>
    <row r="27" spans="1:8" x14ac:dyDescent="0.25">
      <c r="A27" s="2" t="s">
        <v>637</v>
      </c>
      <c r="B27" s="2" t="s">
        <v>1723</v>
      </c>
      <c r="C27" s="3" t="s">
        <v>1730</v>
      </c>
      <c r="D27" s="3" t="s">
        <v>1685</v>
      </c>
      <c r="E27" s="3" t="s">
        <v>1731</v>
      </c>
      <c r="F27" s="3">
        <v>60.5</v>
      </c>
      <c r="G27" s="3" t="s">
        <v>1687</v>
      </c>
      <c r="H27" s="3" t="s">
        <v>1695</v>
      </c>
    </row>
    <row r="28" spans="1:8" x14ac:dyDescent="0.25">
      <c r="A28" s="2" t="s">
        <v>638</v>
      </c>
      <c r="B28" s="2" t="s">
        <v>1723</v>
      </c>
      <c r="C28" s="3" t="s">
        <v>1732</v>
      </c>
      <c r="D28" s="3" t="s">
        <v>1685</v>
      </c>
      <c r="E28" s="3" t="s">
        <v>1733</v>
      </c>
      <c r="F28" s="3">
        <v>60.5</v>
      </c>
      <c r="G28" s="3" t="s">
        <v>1687</v>
      </c>
      <c r="H28" s="3" t="s">
        <v>1695</v>
      </c>
    </row>
    <row r="29" spans="1:8" x14ac:dyDescent="0.25">
      <c r="A29" s="2" t="s">
        <v>639</v>
      </c>
      <c r="B29" s="2" t="s">
        <v>1723</v>
      </c>
      <c r="C29" s="3" t="s">
        <v>1734</v>
      </c>
      <c r="D29" s="3" t="s">
        <v>1690</v>
      </c>
      <c r="E29" s="3" t="s">
        <v>1725</v>
      </c>
      <c r="F29" s="3">
        <v>60.5</v>
      </c>
      <c r="G29" s="3" t="s">
        <v>1700</v>
      </c>
      <c r="H29" s="3" t="s">
        <v>1695</v>
      </c>
    </row>
    <row r="30" spans="1:8" x14ac:dyDescent="0.25">
      <c r="A30" s="2" t="s">
        <v>640</v>
      </c>
      <c r="B30" s="2" t="s">
        <v>1723</v>
      </c>
      <c r="C30" s="3" t="s">
        <v>1735</v>
      </c>
      <c r="D30" s="3" t="s">
        <v>1690</v>
      </c>
      <c r="E30" s="3" t="s">
        <v>1727</v>
      </c>
      <c r="F30" s="3">
        <v>60.5</v>
      </c>
      <c r="G30" s="3" t="s">
        <v>1700</v>
      </c>
      <c r="H30" s="3" t="s">
        <v>1695</v>
      </c>
    </row>
    <row r="31" spans="1:8" x14ac:dyDescent="0.25">
      <c r="A31" s="2" t="s">
        <v>641</v>
      </c>
      <c r="B31" s="2" t="s">
        <v>1723</v>
      </c>
      <c r="C31" s="3" t="s">
        <v>1736</v>
      </c>
      <c r="D31" s="3" t="s">
        <v>1690</v>
      </c>
      <c r="E31" s="3" t="s">
        <v>1729</v>
      </c>
      <c r="F31" s="3">
        <v>60.5</v>
      </c>
      <c r="G31" s="3" t="s">
        <v>1700</v>
      </c>
      <c r="H31" s="3" t="s">
        <v>1695</v>
      </c>
    </row>
    <row r="32" spans="1:8" x14ac:dyDescent="0.25">
      <c r="A32" s="2" t="s">
        <v>642</v>
      </c>
      <c r="B32" s="2" t="s">
        <v>1723</v>
      </c>
      <c r="C32" s="3" t="s">
        <v>1737</v>
      </c>
      <c r="D32" s="3" t="s">
        <v>1690</v>
      </c>
      <c r="E32" s="3" t="s">
        <v>1731</v>
      </c>
      <c r="F32" s="3">
        <v>60.5</v>
      </c>
      <c r="G32" s="3" t="s">
        <v>1700</v>
      </c>
      <c r="H32" s="3" t="s">
        <v>1695</v>
      </c>
    </row>
    <row r="33" spans="1:8" x14ac:dyDescent="0.25">
      <c r="A33" s="2" t="s">
        <v>643</v>
      </c>
      <c r="B33" s="2" t="s">
        <v>1723</v>
      </c>
      <c r="C33" s="3" t="s">
        <v>1738</v>
      </c>
      <c r="D33" s="3" t="s">
        <v>1690</v>
      </c>
      <c r="E33" s="3" t="s">
        <v>1733</v>
      </c>
      <c r="F33" s="3">
        <v>60.5</v>
      </c>
      <c r="G33" s="3" t="s">
        <v>1700</v>
      </c>
      <c r="H33" s="3" t="s">
        <v>1695</v>
      </c>
    </row>
    <row r="34" spans="1:8" x14ac:dyDescent="0.25">
      <c r="A34" s="2" t="s">
        <v>644</v>
      </c>
      <c r="B34" s="2" t="s">
        <v>1723</v>
      </c>
      <c r="C34" s="3" t="s">
        <v>1739</v>
      </c>
      <c r="D34" s="3" t="s">
        <v>1692</v>
      </c>
      <c r="E34" s="3" t="s">
        <v>1725</v>
      </c>
      <c r="F34" s="3">
        <v>60.5</v>
      </c>
      <c r="G34" s="3" t="s">
        <v>1707</v>
      </c>
      <c r="H34" s="3" t="s">
        <v>1695</v>
      </c>
    </row>
    <row r="35" spans="1:8" x14ac:dyDescent="0.25">
      <c r="A35" s="2" t="s">
        <v>646</v>
      </c>
      <c r="B35" s="2" t="s">
        <v>1723</v>
      </c>
      <c r="C35" s="3" t="s">
        <v>1740</v>
      </c>
      <c r="D35" s="3" t="s">
        <v>1692</v>
      </c>
      <c r="E35" s="3" t="s">
        <v>1727</v>
      </c>
      <c r="F35" s="3">
        <v>60.5</v>
      </c>
      <c r="G35" s="3" t="s">
        <v>1707</v>
      </c>
      <c r="H35" s="3" t="s">
        <v>1695</v>
      </c>
    </row>
    <row r="36" spans="1:8" x14ac:dyDescent="0.25">
      <c r="A36" s="2" t="s">
        <v>647</v>
      </c>
      <c r="B36" s="2" t="s">
        <v>1723</v>
      </c>
      <c r="C36" s="3" t="s">
        <v>1741</v>
      </c>
      <c r="D36" s="3" t="s">
        <v>1692</v>
      </c>
      <c r="E36" s="3" t="s">
        <v>1729</v>
      </c>
      <c r="F36" s="3">
        <v>60.5</v>
      </c>
      <c r="G36" s="3" t="s">
        <v>1707</v>
      </c>
      <c r="H36" s="3" t="s">
        <v>1695</v>
      </c>
    </row>
    <row r="37" spans="1:8" x14ac:dyDescent="0.25">
      <c r="A37" s="2" t="s">
        <v>648</v>
      </c>
      <c r="B37" s="2" t="s">
        <v>1723</v>
      </c>
      <c r="C37" s="3" t="s">
        <v>1742</v>
      </c>
      <c r="D37" s="3" t="s">
        <v>1692</v>
      </c>
      <c r="E37" s="3" t="s">
        <v>1731</v>
      </c>
      <c r="F37" s="3">
        <v>60.5</v>
      </c>
      <c r="G37" s="3" t="s">
        <v>1707</v>
      </c>
      <c r="H37" s="3" t="s">
        <v>1695</v>
      </c>
    </row>
    <row r="38" spans="1:8" x14ac:dyDescent="0.25">
      <c r="A38" s="2" t="s">
        <v>649</v>
      </c>
      <c r="B38" s="2" t="s">
        <v>1723</v>
      </c>
      <c r="C38" s="3" t="s">
        <v>1743</v>
      </c>
      <c r="D38" s="3" t="s">
        <v>1692</v>
      </c>
      <c r="E38" s="3" t="s">
        <v>1733</v>
      </c>
      <c r="F38" s="3">
        <v>60.5</v>
      </c>
      <c r="G38" s="3" t="s">
        <v>1707</v>
      </c>
      <c r="H38" s="3" t="s">
        <v>1695</v>
      </c>
    </row>
    <row r="39" spans="1:8" x14ac:dyDescent="0.25">
      <c r="A39" s="2" t="s">
        <v>650</v>
      </c>
      <c r="B39" s="2" t="s">
        <v>1723</v>
      </c>
      <c r="C39" s="3" t="s">
        <v>1744</v>
      </c>
      <c r="D39" s="3" t="s">
        <v>1694</v>
      </c>
      <c r="E39" s="3" t="s">
        <v>1725</v>
      </c>
      <c r="F39" s="3">
        <v>60.5</v>
      </c>
      <c r="G39" s="3" t="s">
        <v>1707</v>
      </c>
      <c r="H39" s="3" t="s">
        <v>1695</v>
      </c>
    </row>
    <row r="40" spans="1:8" x14ac:dyDescent="0.25">
      <c r="A40" s="2" t="s">
        <v>651</v>
      </c>
      <c r="B40" s="2" t="s">
        <v>1723</v>
      </c>
      <c r="C40" s="3" t="s">
        <v>1745</v>
      </c>
      <c r="D40" s="3" t="s">
        <v>1694</v>
      </c>
      <c r="E40" s="3" t="s">
        <v>1727</v>
      </c>
      <c r="F40" s="3">
        <v>60.5</v>
      </c>
      <c r="G40" s="3" t="s">
        <v>1707</v>
      </c>
      <c r="H40" s="3" t="s">
        <v>1695</v>
      </c>
    </row>
    <row r="41" spans="1:8" x14ac:dyDescent="0.25">
      <c r="A41" s="2" t="s">
        <v>652</v>
      </c>
      <c r="B41" s="2" t="s">
        <v>1723</v>
      </c>
      <c r="C41" s="3" t="s">
        <v>1746</v>
      </c>
      <c r="D41" s="3" t="s">
        <v>1694</v>
      </c>
      <c r="E41" s="3" t="s">
        <v>1729</v>
      </c>
      <c r="F41" s="3">
        <v>60.5</v>
      </c>
      <c r="G41" s="3" t="s">
        <v>1707</v>
      </c>
      <c r="H41" s="3" t="s">
        <v>1695</v>
      </c>
    </row>
    <row r="42" spans="1:8" x14ac:dyDescent="0.25">
      <c r="A42" s="2" t="s">
        <v>653</v>
      </c>
      <c r="B42" s="2" t="s">
        <v>1723</v>
      </c>
      <c r="C42" s="3" t="s">
        <v>1747</v>
      </c>
      <c r="D42" s="3" t="s">
        <v>1694</v>
      </c>
      <c r="E42" s="3" t="s">
        <v>1731</v>
      </c>
      <c r="F42" s="3">
        <v>60.5</v>
      </c>
      <c r="G42" s="3" t="s">
        <v>1707</v>
      </c>
      <c r="H42" s="3" t="s">
        <v>1695</v>
      </c>
    </row>
    <row r="43" spans="1:8" x14ac:dyDescent="0.25">
      <c r="A43" s="2" t="s">
        <v>654</v>
      </c>
      <c r="B43" s="2" t="s">
        <v>1723</v>
      </c>
      <c r="C43" s="3" t="s">
        <v>1748</v>
      </c>
      <c r="D43" s="3" t="s">
        <v>1694</v>
      </c>
      <c r="E43" s="3" t="s">
        <v>1733</v>
      </c>
      <c r="F43" s="3">
        <v>60.5</v>
      </c>
      <c r="G43" s="3" t="s">
        <v>1707</v>
      </c>
      <c r="H43" s="3" t="s">
        <v>1695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23"/>
  <sheetViews>
    <sheetView workbookViewId="0"/>
  </sheetViews>
  <sheetFormatPr defaultRowHeight="15" x14ac:dyDescent="0.25"/>
  <cols>
    <col min="1" max="1" width="12" customWidth="1"/>
    <col min="2" max="2" width="28" customWidth="1"/>
    <col min="3" max="3" width="17" customWidth="1"/>
    <col min="4" max="5" width="23" customWidth="1"/>
    <col min="6" max="6" width="65" customWidth="1"/>
    <col min="7" max="7" width="23" customWidth="1"/>
    <col min="8" max="8" width="30" customWidth="1"/>
    <col min="9" max="9" width="65" customWidth="1"/>
    <col min="10" max="10" width="21" customWidth="1"/>
  </cols>
  <sheetData>
    <row r="1" spans="1:10" x14ac:dyDescent="0.25">
      <c r="A1" s="1" t="s">
        <v>0</v>
      </c>
      <c r="B1" s="1" t="s">
        <v>116</v>
      </c>
      <c r="C1" s="1" t="s">
        <v>1276</v>
      </c>
      <c r="D1" s="1" t="s">
        <v>1749</v>
      </c>
      <c r="E1" s="1" t="s">
        <v>1750</v>
      </c>
      <c r="F1" s="1" t="s">
        <v>1751</v>
      </c>
      <c r="G1" s="1" t="s">
        <v>1752</v>
      </c>
      <c r="H1" s="1" t="s">
        <v>1753</v>
      </c>
      <c r="I1" s="1" t="s">
        <v>1754</v>
      </c>
      <c r="J1" s="1" t="s">
        <v>1755</v>
      </c>
    </row>
    <row r="2" spans="1:10" ht="25.5" x14ac:dyDescent="0.25">
      <c r="A2" s="2">
        <v>222</v>
      </c>
      <c r="B2" s="2" t="s">
        <v>587</v>
      </c>
      <c r="C2" s="3" t="s">
        <v>588</v>
      </c>
      <c r="D2" s="3" t="s">
        <v>1756</v>
      </c>
      <c r="E2" s="3" t="s">
        <v>1757</v>
      </c>
      <c r="F2" s="3" t="s">
        <v>1758</v>
      </c>
      <c r="G2" s="3" t="s">
        <v>1294</v>
      </c>
      <c r="H2" s="3" t="s">
        <v>1294</v>
      </c>
      <c r="I2" s="3" t="s">
        <v>1759</v>
      </c>
      <c r="J2" s="3" t="s">
        <v>1294</v>
      </c>
    </row>
    <row r="3" spans="1:10" ht="25.5" x14ac:dyDescent="0.25">
      <c r="A3" s="2">
        <v>221</v>
      </c>
      <c r="B3" s="2" t="s">
        <v>585</v>
      </c>
      <c r="C3" s="3" t="s">
        <v>586</v>
      </c>
      <c r="D3" s="3" t="s">
        <v>1760</v>
      </c>
      <c r="E3" s="3" t="s">
        <v>1761</v>
      </c>
      <c r="F3" s="3" t="s">
        <v>1762</v>
      </c>
      <c r="G3" s="3" t="s">
        <v>1294</v>
      </c>
      <c r="H3" s="3" t="s">
        <v>1294</v>
      </c>
      <c r="I3" s="3" t="s">
        <v>1763</v>
      </c>
      <c r="J3" s="3" t="s">
        <v>1294</v>
      </c>
    </row>
    <row r="4" spans="1:10" ht="25.5" x14ac:dyDescent="0.25">
      <c r="A4" s="2">
        <v>220</v>
      </c>
      <c r="B4" s="2" t="s">
        <v>583</v>
      </c>
      <c r="C4" s="3" t="s">
        <v>584</v>
      </c>
      <c r="D4" s="3" t="s">
        <v>1764</v>
      </c>
      <c r="E4" s="3" t="s">
        <v>1765</v>
      </c>
      <c r="F4" s="3" t="s">
        <v>1766</v>
      </c>
      <c r="G4" s="3" t="s">
        <v>1294</v>
      </c>
      <c r="H4" s="3" t="s">
        <v>1294</v>
      </c>
      <c r="I4" s="3" t="s">
        <v>1767</v>
      </c>
      <c r="J4" s="3" t="s">
        <v>1294</v>
      </c>
    </row>
    <row r="5" spans="1:10" ht="25.5" x14ac:dyDescent="0.25">
      <c r="A5" s="2">
        <v>219</v>
      </c>
      <c r="B5" s="2" t="s">
        <v>581</v>
      </c>
      <c r="C5" s="3" t="s">
        <v>582</v>
      </c>
      <c r="D5" s="3" t="s">
        <v>1768</v>
      </c>
      <c r="E5" s="3" t="s">
        <v>1769</v>
      </c>
      <c r="F5" s="3" t="s">
        <v>1770</v>
      </c>
      <c r="G5" s="3" t="s">
        <v>1294</v>
      </c>
      <c r="H5" s="3" t="s">
        <v>1294</v>
      </c>
      <c r="I5" s="3" t="s">
        <v>1771</v>
      </c>
      <c r="J5" s="3" t="s">
        <v>1294</v>
      </c>
    </row>
    <row r="6" spans="1:10" ht="25.5" x14ac:dyDescent="0.25">
      <c r="A6" s="2">
        <v>218</v>
      </c>
      <c r="B6" s="2" t="s">
        <v>579</v>
      </c>
      <c r="C6" s="3" t="s">
        <v>580</v>
      </c>
      <c r="D6" s="3" t="s">
        <v>1772</v>
      </c>
      <c r="E6" s="3" t="s">
        <v>1773</v>
      </c>
      <c r="F6" s="3" t="s">
        <v>1774</v>
      </c>
      <c r="G6" s="3" t="s">
        <v>1294</v>
      </c>
      <c r="H6" s="3" t="s">
        <v>1294</v>
      </c>
      <c r="I6" s="3" t="s">
        <v>1775</v>
      </c>
      <c r="J6" s="3" t="s">
        <v>1294</v>
      </c>
    </row>
    <row r="7" spans="1:10" ht="25.5" x14ac:dyDescent="0.25">
      <c r="A7" s="2">
        <v>217</v>
      </c>
      <c r="B7" s="2" t="s">
        <v>577</v>
      </c>
      <c r="C7" s="3" t="s">
        <v>578</v>
      </c>
      <c r="D7" s="3" t="s">
        <v>1776</v>
      </c>
      <c r="E7" s="3" t="s">
        <v>1777</v>
      </c>
      <c r="F7" s="3" t="s">
        <v>1778</v>
      </c>
      <c r="G7" s="3" t="s">
        <v>1294</v>
      </c>
      <c r="H7" s="3" t="s">
        <v>1294</v>
      </c>
      <c r="I7" s="3" t="s">
        <v>1779</v>
      </c>
      <c r="J7" s="3" t="s">
        <v>1294</v>
      </c>
    </row>
    <row r="8" spans="1:10" ht="25.5" x14ac:dyDescent="0.25">
      <c r="A8" s="2">
        <v>216</v>
      </c>
      <c r="B8" s="2" t="s">
        <v>575</v>
      </c>
      <c r="C8" s="3" t="s">
        <v>576</v>
      </c>
      <c r="D8" s="3" t="s">
        <v>1780</v>
      </c>
      <c r="E8" s="3" t="s">
        <v>1781</v>
      </c>
      <c r="F8" s="3" t="s">
        <v>1782</v>
      </c>
      <c r="G8" s="3" t="s">
        <v>1294</v>
      </c>
      <c r="H8" s="3" t="s">
        <v>1294</v>
      </c>
      <c r="I8" s="3" t="s">
        <v>1783</v>
      </c>
      <c r="J8" s="3" t="s">
        <v>1294</v>
      </c>
    </row>
    <row r="9" spans="1:10" ht="25.5" x14ac:dyDescent="0.25">
      <c r="A9" s="2">
        <v>215</v>
      </c>
      <c r="B9" s="2" t="s">
        <v>573</v>
      </c>
      <c r="C9" s="3" t="s">
        <v>574</v>
      </c>
      <c r="D9" s="3" t="s">
        <v>1784</v>
      </c>
      <c r="E9" s="3" t="s">
        <v>1785</v>
      </c>
      <c r="F9" s="3" t="s">
        <v>1786</v>
      </c>
      <c r="G9" s="3" t="s">
        <v>1294</v>
      </c>
      <c r="H9" s="3" t="s">
        <v>1294</v>
      </c>
      <c r="I9" s="3" t="s">
        <v>1787</v>
      </c>
      <c r="J9" s="3" t="s">
        <v>1294</v>
      </c>
    </row>
    <row r="10" spans="1:10" ht="25.5" x14ac:dyDescent="0.25">
      <c r="A10" s="2">
        <v>214</v>
      </c>
      <c r="B10" s="2" t="s">
        <v>571</v>
      </c>
      <c r="C10" s="3" t="s">
        <v>572</v>
      </c>
      <c r="D10" s="3" t="s">
        <v>1788</v>
      </c>
      <c r="E10" s="3" t="s">
        <v>1789</v>
      </c>
      <c r="F10" s="3" t="s">
        <v>1790</v>
      </c>
      <c r="G10" s="3" t="s">
        <v>1294</v>
      </c>
      <c r="H10" s="3" t="s">
        <v>1294</v>
      </c>
      <c r="I10" s="3" t="s">
        <v>1791</v>
      </c>
      <c r="J10" s="3" t="s">
        <v>1294</v>
      </c>
    </row>
    <row r="11" spans="1:10" ht="25.5" x14ac:dyDescent="0.25">
      <c r="A11" s="2">
        <v>213</v>
      </c>
      <c r="B11" s="2" t="s">
        <v>569</v>
      </c>
      <c r="C11" s="3" t="s">
        <v>570</v>
      </c>
      <c r="D11" s="3" t="s">
        <v>1792</v>
      </c>
      <c r="E11" s="3" t="s">
        <v>1793</v>
      </c>
      <c r="F11" s="3" t="s">
        <v>1794</v>
      </c>
      <c r="G11" s="3" t="s">
        <v>1294</v>
      </c>
      <c r="H11" s="3" t="s">
        <v>1294</v>
      </c>
      <c r="I11" s="3" t="s">
        <v>1795</v>
      </c>
      <c r="J11" s="3" t="s">
        <v>1294</v>
      </c>
    </row>
    <row r="12" spans="1:10" ht="25.5" x14ac:dyDescent="0.25">
      <c r="A12" s="2">
        <v>212</v>
      </c>
      <c r="B12" s="2" t="s">
        <v>567</v>
      </c>
      <c r="C12" s="3" t="s">
        <v>568</v>
      </c>
      <c r="D12" s="3" t="s">
        <v>1796</v>
      </c>
      <c r="E12" s="3" t="s">
        <v>1797</v>
      </c>
      <c r="F12" s="3" t="s">
        <v>1798</v>
      </c>
      <c r="G12" s="3" t="s">
        <v>1294</v>
      </c>
      <c r="H12" s="3" t="s">
        <v>1294</v>
      </c>
      <c r="I12" s="3" t="s">
        <v>1799</v>
      </c>
      <c r="J12" s="3" t="s">
        <v>1294</v>
      </c>
    </row>
    <row r="13" spans="1:10" ht="25.5" x14ac:dyDescent="0.25">
      <c r="A13" s="2">
        <v>211</v>
      </c>
      <c r="B13" s="2" t="s">
        <v>565</v>
      </c>
      <c r="C13" s="3" t="s">
        <v>566</v>
      </c>
      <c r="D13" s="3" t="s">
        <v>1800</v>
      </c>
      <c r="E13" s="3" t="s">
        <v>1801</v>
      </c>
      <c r="F13" s="3" t="s">
        <v>1802</v>
      </c>
      <c r="G13" s="3" t="s">
        <v>1294</v>
      </c>
      <c r="H13" s="3" t="s">
        <v>1294</v>
      </c>
      <c r="I13" s="3" t="s">
        <v>1803</v>
      </c>
      <c r="J13" s="3" t="s">
        <v>1294</v>
      </c>
    </row>
    <row r="14" spans="1:10" ht="25.5" x14ac:dyDescent="0.25">
      <c r="A14" s="2">
        <v>210</v>
      </c>
      <c r="B14" s="2" t="s">
        <v>563</v>
      </c>
      <c r="C14" s="3" t="s">
        <v>564</v>
      </c>
      <c r="D14" s="3" t="s">
        <v>965</v>
      </c>
      <c r="E14" s="3" t="s">
        <v>1804</v>
      </c>
      <c r="F14" s="3" t="s">
        <v>1805</v>
      </c>
      <c r="G14" s="3" t="s">
        <v>1294</v>
      </c>
      <c r="H14" s="3" t="s">
        <v>1294</v>
      </c>
      <c r="I14" s="3" t="s">
        <v>1806</v>
      </c>
      <c r="J14" s="3" t="s">
        <v>1294</v>
      </c>
    </row>
    <row r="15" spans="1:10" ht="25.5" x14ac:dyDescent="0.25">
      <c r="A15" s="2">
        <v>209</v>
      </c>
      <c r="B15" s="2" t="s">
        <v>561</v>
      </c>
      <c r="C15" s="3" t="s">
        <v>562</v>
      </c>
      <c r="D15" s="3" t="s">
        <v>1807</v>
      </c>
      <c r="E15" s="3" t="s">
        <v>1808</v>
      </c>
      <c r="F15" s="3" t="s">
        <v>1809</v>
      </c>
      <c r="G15" s="3" t="s">
        <v>1294</v>
      </c>
      <c r="H15" s="3" t="s">
        <v>1294</v>
      </c>
      <c r="I15" s="3" t="s">
        <v>1810</v>
      </c>
      <c r="J15" s="3" t="s">
        <v>1294</v>
      </c>
    </row>
    <row r="16" spans="1:10" ht="25.5" x14ac:dyDescent="0.25">
      <c r="A16" s="2">
        <v>208</v>
      </c>
      <c r="B16" s="2" t="s">
        <v>559</v>
      </c>
      <c r="C16" s="3" t="s">
        <v>560</v>
      </c>
      <c r="D16" s="3" t="s">
        <v>1811</v>
      </c>
      <c r="E16" s="3" t="s">
        <v>1812</v>
      </c>
      <c r="F16" s="3" t="s">
        <v>1813</v>
      </c>
      <c r="G16" s="3" t="s">
        <v>1294</v>
      </c>
      <c r="H16" s="3" t="s">
        <v>1294</v>
      </c>
      <c r="I16" s="3" t="s">
        <v>1814</v>
      </c>
      <c r="J16" s="3" t="s">
        <v>1294</v>
      </c>
    </row>
    <row r="17" spans="1:10" ht="25.5" x14ac:dyDescent="0.25">
      <c r="A17" s="2">
        <v>207</v>
      </c>
      <c r="B17" s="2" t="s">
        <v>557</v>
      </c>
      <c r="C17" s="3" t="s">
        <v>558</v>
      </c>
      <c r="D17" s="3" t="s">
        <v>1815</v>
      </c>
      <c r="E17" s="3" t="s">
        <v>1816</v>
      </c>
      <c r="F17" s="3" t="s">
        <v>1817</v>
      </c>
      <c r="G17" s="3" t="s">
        <v>1294</v>
      </c>
      <c r="H17" s="3" t="s">
        <v>1294</v>
      </c>
      <c r="I17" s="3" t="s">
        <v>1818</v>
      </c>
      <c r="J17" s="3" t="s">
        <v>1294</v>
      </c>
    </row>
    <row r="18" spans="1:10" ht="25.5" x14ac:dyDescent="0.25">
      <c r="A18" s="2">
        <v>206</v>
      </c>
      <c r="B18" s="2" t="s">
        <v>555</v>
      </c>
      <c r="C18" s="3" t="s">
        <v>556</v>
      </c>
      <c r="D18" s="3" t="s">
        <v>1819</v>
      </c>
      <c r="E18" s="3" t="s">
        <v>1820</v>
      </c>
      <c r="F18" s="3" t="s">
        <v>1821</v>
      </c>
      <c r="G18" s="3" t="s">
        <v>1294</v>
      </c>
      <c r="H18" s="3" t="s">
        <v>1822</v>
      </c>
      <c r="I18" s="3" t="s">
        <v>1823</v>
      </c>
      <c r="J18" s="3" t="s">
        <v>1294</v>
      </c>
    </row>
    <row r="19" spans="1:10" ht="25.5" x14ac:dyDescent="0.25">
      <c r="A19" s="2">
        <v>205</v>
      </c>
      <c r="B19" s="2" t="s">
        <v>553</v>
      </c>
      <c r="C19" s="3" t="s">
        <v>554</v>
      </c>
      <c r="D19" s="3" t="s">
        <v>1824</v>
      </c>
      <c r="E19" s="3" t="s">
        <v>1825</v>
      </c>
      <c r="F19" s="3" t="s">
        <v>1826</v>
      </c>
      <c r="G19" s="3" t="s">
        <v>1294</v>
      </c>
      <c r="H19" s="3" t="s">
        <v>1822</v>
      </c>
      <c r="I19" s="3" t="s">
        <v>1827</v>
      </c>
      <c r="J19" s="3" t="s">
        <v>1294</v>
      </c>
    </row>
    <row r="20" spans="1:10" ht="25.5" x14ac:dyDescent="0.25">
      <c r="A20" s="2">
        <v>204</v>
      </c>
      <c r="B20" s="2" t="s">
        <v>551</v>
      </c>
      <c r="C20" s="3" t="s">
        <v>552</v>
      </c>
      <c r="D20" s="3" t="s">
        <v>1828</v>
      </c>
      <c r="E20" s="3" t="s">
        <v>1829</v>
      </c>
      <c r="F20" s="3" t="s">
        <v>1830</v>
      </c>
      <c r="G20" s="3" t="s">
        <v>1294</v>
      </c>
      <c r="H20" s="3" t="s">
        <v>1822</v>
      </c>
      <c r="I20" s="3" t="s">
        <v>1831</v>
      </c>
      <c r="J20" s="3" t="s">
        <v>1294</v>
      </c>
    </row>
    <row r="21" spans="1:10" ht="25.5" x14ac:dyDescent="0.25">
      <c r="A21" s="2">
        <v>203</v>
      </c>
      <c r="B21" s="2" t="s">
        <v>549</v>
      </c>
      <c r="C21" s="3" t="s">
        <v>550</v>
      </c>
      <c r="D21" s="3" t="s">
        <v>1832</v>
      </c>
      <c r="E21" s="3" t="s">
        <v>1833</v>
      </c>
      <c r="F21" s="3" t="s">
        <v>1834</v>
      </c>
      <c r="G21" s="3" t="s">
        <v>1294</v>
      </c>
      <c r="H21" s="3" t="s">
        <v>1294</v>
      </c>
      <c r="I21" s="3" t="s">
        <v>1835</v>
      </c>
      <c r="J21" s="3" t="s">
        <v>1294</v>
      </c>
    </row>
    <row r="22" spans="1:10" ht="25.5" x14ac:dyDescent="0.25">
      <c r="A22" s="2">
        <v>202</v>
      </c>
      <c r="B22" s="2" t="s">
        <v>547</v>
      </c>
      <c r="C22" s="3" t="s">
        <v>548</v>
      </c>
      <c r="D22" s="3" t="s">
        <v>1836</v>
      </c>
      <c r="E22" s="3" t="s">
        <v>1837</v>
      </c>
      <c r="F22" s="3" t="s">
        <v>1838</v>
      </c>
      <c r="G22" s="3" t="s">
        <v>1294</v>
      </c>
      <c r="H22" s="3" t="s">
        <v>1822</v>
      </c>
      <c r="I22" s="3" t="s">
        <v>1839</v>
      </c>
      <c r="J22" s="3" t="s">
        <v>1294</v>
      </c>
    </row>
    <row r="23" spans="1:10" ht="25.5" x14ac:dyDescent="0.25">
      <c r="A23" s="2">
        <v>201</v>
      </c>
      <c r="B23" s="2" t="s">
        <v>545</v>
      </c>
      <c r="C23" s="3" t="s">
        <v>546</v>
      </c>
      <c r="D23" s="3" t="s">
        <v>1840</v>
      </c>
      <c r="E23" s="3" t="s">
        <v>1841</v>
      </c>
      <c r="F23" s="3" t="s">
        <v>1842</v>
      </c>
      <c r="G23" s="3" t="s">
        <v>1294</v>
      </c>
      <c r="H23" s="3" t="s">
        <v>1294</v>
      </c>
      <c r="I23" s="3" t="s">
        <v>1843</v>
      </c>
      <c r="J23" s="3" t="s">
        <v>1294</v>
      </c>
    </row>
    <row r="24" spans="1:10" ht="25.5" x14ac:dyDescent="0.25">
      <c r="A24" s="2">
        <v>200</v>
      </c>
      <c r="B24" s="2" t="s">
        <v>543</v>
      </c>
      <c r="C24" s="3" t="s">
        <v>544</v>
      </c>
      <c r="D24" s="3" t="s">
        <v>1844</v>
      </c>
      <c r="E24" s="3" t="s">
        <v>1845</v>
      </c>
      <c r="F24" s="3" t="s">
        <v>1846</v>
      </c>
      <c r="G24" s="3" t="s">
        <v>1294</v>
      </c>
      <c r="H24" s="3" t="s">
        <v>1294</v>
      </c>
      <c r="I24" s="3" t="s">
        <v>1847</v>
      </c>
      <c r="J24" s="3" t="s">
        <v>1294</v>
      </c>
    </row>
    <row r="25" spans="1:10" ht="25.5" x14ac:dyDescent="0.25">
      <c r="A25" s="2">
        <v>199</v>
      </c>
      <c r="B25" s="2" t="s">
        <v>541</v>
      </c>
      <c r="C25" s="3" t="s">
        <v>542</v>
      </c>
      <c r="D25" s="3" t="s">
        <v>1848</v>
      </c>
      <c r="E25" s="3" t="s">
        <v>1849</v>
      </c>
      <c r="F25" s="3" t="s">
        <v>1850</v>
      </c>
      <c r="G25" s="3" t="s">
        <v>1294</v>
      </c>
      <c r="H25" s="3" t="s">
        <v>1822</v>
      </c>
      <c r="I25" s="3" t="s">
        <v>1851</v>
      </c>
      <c r="J25" s="3" t="s">
        <v>1294</v>
      </c>
    </row>
    <row r="26" spans="1:10" ht="25.5" x14ac:dyDescent="0.25">
      <c r="A26" s="2">
        <v>198</v>
      </c>
      <c r="B26" s="2" t="s">
        <v>539</v>
      </c>
      <c r="C26" s="3" t="s">
        <v>540</v>
      </c>
      <c r="D26" s="3" t="s">
        <v>1852</v>
      </c>
      <c r="E26" s="3" t="s">
        <v>1853</v>
      </c>
      <c r="F26" s="3" t="s">
        <v>1854</v>
      </c>
      <c r="G26" s="3" t="s">
        <v>1294</v>
      </c>
      <c r="H26" s="3" t="s">
        <v>1294</v>
      </c>
      <c r="I26" s="3" t="s">
        <v>1855</v>
      </c>
      <c r="J26" s="3" t="s">
        <v>1294</v>
      </c>
    </row>
    <row r="27" spans="1:10" ht="25.5" x14ac:dyDescent="0.25">
      <c r="A27" s="2">
        <v>197</v>
      </c>
      <c r="B27" s="2" t="s">
        <v>537</v>
      </c>
      <c r="C27" s="3" t="s">
        <v>538</v>
      </c>
      <c r="D27" s="3" t="s">
        <v>1856</v>
      </c>
      <c r="E27" s="3" t="s">
        <v>1857</v>
      </c>
      <c r="F27" s="3" t="s">
        <v>1858</v>
      </c>
      <c r="G27" s="3" t="s">
        <v>1294</v>
      </c>
      <c r="H27" s="3" t="s">
        <v>1294</v>
      </c>
      <c r="I27" s="3" t="s">
        <v>1859</v>
      </c>
      <c r="J27" s="3" t="s">
        <v>1294</v>
      </c>
    </row>
    <row r="28" spans="1:10" ht="25.5" x14ac:dyDescent="0.25">
      <c r="A28" s="2">
        <v>196</v>
      </c>
      <c r="B28" s="2" t="s">
        <v>535</v>
      </c>
      <c r="C28" s="3" t="s">
        <v>536</v>
      </c>
      <c r="D28" s="3" t="s">
        <v>1860</v>
      </c>
      <c r="E28" s="3" t="s">
        <v>1861</v>
      </c>
      <c r="F28" s="3" t="s">
        <v>1862</v>
      </c>
      <c r="G28" s="3" t="s">
        <v>1294</v>
      </c>
      <c r="H28" s="3" t="s">
        <v>1294</v>
      </c>
      <c r="I28" s="3" t="s">
        <v>1863</v>
      </c>
      <c r="J28" s="3" t="s">
        <v>1294</v>
      </c>
    </row>
    <row r="29" spans="1:10" ht="25.5" x14ac:dyDescent="0.25">
      <c r="A29" s="2">
        <v>195</v>
      </c>
      <c r="B29" s="2" t="s">
        <v>533</v>
      </c>
      <c r="C29" s="3" t="s">
        <v>534</v>
      </c>
      <c r="D29" s="3" t="s">
        <v>1864</v>
      </c>
      <c r="E29" s="3" t="s">
        <v>1865</v>
      </c>
      <c r="F29" s="3" t="s">
        <v>1866</v>
      </c>
      <c r="G29" s="3" t="s">
        <v>1294</v>
      </c>
      <c r="H29" s="3" t="s">
        <v>1294</v>
      </c>
      <c r="I29" s="3" t="s">
        <v>1867</v>
      </c>
      <c r="J29" s="3" t="s">
        <v>1294</v>
      </c>
    </row>
    <row r="30" spans="1:10" ht="25.5" x14ac:dyDescent="0.25">
      <c r="A30" s="2">
        <v>194</v>
      </c>
      <c r="B30" s="2" t="s">
        <v>531</v>
      </c>
      <c r="C30" s="3" t="s">
        <v>532</v>
      </c>
      <c r="D30" s="3" t="s">
        <v>1868</v>
      </c>
      <c r="E30" s="3" t="s">
        <v>1869</v>
      </c>
      <c r="F30" s="3" t="s">
        <v>1870</v>
      </c>
      <c r="G30" s="3" t="s">
        <v>1294</v>
      </c>
      <c r="H30" s="3" t="s">
        <v>1294</v>
      </c>
      <c r="I30" s="3" t="s">
        <v>1871</v>
      </c>
      <c r="J30" s="3" t="s">
        <v>1294</v>
      </c>
    </row>
    <row r="31" spans="1:10" ht="25.5" x14ac:dyDescent="0.25">
      <c r="A31" s="2">
        <v>193</v>
      </c>
      <c r="B31" s="2" t="s">
        <v>529</v>
      </c>
      <c r="C31" s="3" t="s">
        <v>530</v>
      </c>
      <c r="D31" s="3" t="s">
        <v>1872</v>
      </c>
      <c r="E31" s="3" t="s">
        <v>1873</v>
      </c>
      <c r="F31" s="3" t="s">
        <v>1874</v>
      </c>
      <c r="G31" s="3" t="s">
        <v>1294</v>
      </c>
      <c r="H31" s="3" t="s">
        <v>1822</v>
      </c>
      <c r="I31" s="3" t="s">
        <v>1875</v>
      </c>
      <c r="J31" s="3" t="s">
        <v>1294</v>
      </c>
    </row>
    <row r="32" spans="1:10" ht="25.5" x14ac:dyDescent="0.25">
      <c r="A32" s="2">
        <v>192</v>
      </c>
      <c r="B32" s="2" t="s">
        <v>527</v>
      </c>
      <c r="C32" s="3" t="s">
        <v>528</v>
      </c>
      <c r="D32" s="3" t="s">
        <v>1876</v>
      </c>
      <c r="E32" s="3" t="s">
        <v>1877</v>
      </c>
      <c r="F32" s="3" t="s">
        <v>1878</v>
      </c>
      <c r="G32" s="3" t="s">
        <v>1294</v>
      </c>
      <c r="H32" s="3" t="s">
        <v>1294</v>
      </c>
      <c r="I32" s="3" t="s">
        <v>1879</v>
      </c>
      <c r="J32" s="3" t="s">
        <v>1294</v>
      </c>
    </row>
    <row r="33" spans="1:10" ht="25.5" x14ac:dyDescent="0.25">
      <c r="A33" s="2">
        <v>191</v>
      </c>
      <c r="B33" s="2" t="s">
        <v>525</v>
      </c>
      <c r="C33" s="3" t="s">
        <v>526</v>
      </c>
      <c r="D33" s="3" t="s">
        <v>1880</v>
      </c>
      <c r="E33" s="3" t="s">
        <v>1881</v>
      </c>
      <c r="F33" s="3" t="s">
        <v>1882</v>
      </c>
      <c r="G33" s="3" t="s">
        <v>1294</v>
      </c>
      <c r="H33" s="3" t="s">
        <v>1294</v>
      </c>
      <c r="I33" s="3" t="s">
        <v>1883</v>
      </c>
      <c r="J33" s="3" t="s">
        <v>1294</v>
      </c>
    </row>
    <row r="34" spans="1:10" ht="25.5" x14ac:dyDescent="0.25">
      <c r="A34" s="2">
        <v>190</v>
      </c>
      <c r="B34" s="2" t="s">
        <v>523</v>
      </c>
      <c r="C34" s="3" t="s">
        <v>524</v>
      </c>
      <c r="D34" s="3" t="s">
        <v>1716</v>
      </c>
      <c r="E34" s="3" t="s">
        <v>1884</v>
      </c>
      <c r="F34" s="3" t="s">
        <v>1885</v>
      </c>
      <c r="G34" s="3" t="s">
        <v>1294</v>
      </c>
      <c r="H34" s="3" t="s">
        <v>1294</v>
      </c>
      <c r="I34" s="3" t="s">
        <v>1886</v>
      </c>
      <c r="J34" s="3" t="s">
        <v>1294</v>
      </c>
    </row>
    <row r="35" spans="1:10" ht="25.5" x14ac:dyDescent="0.25">
      <c r="A35" s="2">
        <v>189</v>
      </c>
      <c r="B35" s="2" t="s">
        <v>521</v>
      </c>
      <c r="C35" s="3" t="s">
        <v>522</v>
      </c>
      <c r="D35" s="3" t="s">
        <v>1887</v>
      </c>
      <c r="E35" s="3" t="s">
        <v>1888</v>
      </c>
      <c r="F35" s="3" t="s">
        <v>1889</v>
      </c>
      <c r="G35" s="3" t="s">
        <v>1294</v>
      </c>
      <c r="H35" s="3" t="s">
        <v>1294</v>
      </c>
      <c r="I35" s="3" t="s">
        <v>1890</v>
      </c>
      <c r="J35" s="3" t="s">
        <v>1294</v>
      </c>
    </row>
    <row r="36" spans="1:10" ht="25.5" x14ac:dyDescent="0.25">
      <c r="A36" s="2">
        <v>188</v>
      </c>
      <c r="B36" s="2" t="s">
        <v>519</v>
      </c>
      <c r="C36" s="3" t="s">
        <v>520</v>
      </c>
      <c r="D36" s="3" t="s">
        <v>1891</v>
      </c>
      <c r="E36" s="3" t="s">
        <v>1892</v>
      </c>
      <c r="F36" s="3" t="s">
        <v>1893</v>
      </c>
      <c r="G36" s="3" t="s">
        <v>1294</v>
      </c>
      <c r="H36" s="3" t="s">
        <v>1294</v>
      </c>
      <c r="I36" s="3" t="s">
        <v>1894</v>
      </c>
      <c r="J36" s="3" t="s">
        <v>1294</v>
      </c>
    </row>
    <row r="37" spans="1:10" ht="25.5" x14ac:dyDescent="0.25">
      <c r="A37" s="2">
        <v>187</v>
      </c>
      <c r="B37" s="2" t="s">
        <v>517</v>
      </c>
      <c r="C37" s="3" t="s">
        <v>518</v>
      </c>
      <c r="D37" s="3" t="s">
        <v>1895</v>
      </c>
      <c r="E37" s="3" t="s">
        <v>1896</v>
      </c>
      <c r="F37" s="3" t="s">
        <v>1897</v>
      </c>
      <c r="G37" s="3" t="s">
        <v>1294</v>
      </c>
      <c r="H37" s="3" t="s">
        <v>1294</v>
      </c>
      <c r="I37" s="3" t="s">
        <v>1898</v>
      </c>
      <c r="J37" s="3" t="s">
        <v>1294</v>
      </c>
    </row>
    <row r="38" spans="1:10" ht="25.5" x14ac:dyDescent="0.25">
      <c r="A38" s="2">
        <v>186</v>
      </c>
      <c r="B38" s="2" t="s">
        <v>515</v>
      </c>
      <c r="C38" s="3" t="s">
        <v>516</v>
      </c>
      <c r="D38" s="3" t="s">
        <v>1899</v>
      </c>
      <c r="E38" s="3" t="s">
        <v>1900</v>
      </c>
      <c r="F38" s="3" t="s">
        <v>1901</v>
      </c>
      <c r="G38" s="3" t="s">
        <v>1294</v>
      </c>
      <c r="H38" s="3" t="s">
        <v>1294</v>
      </c>
      <c r="I38" s="3" t="s">
        <v>1902</v>
      </c>
      <c r="J38" s="3" t="s">
        <v>1294</v>
      </c>
    </row>
    <row r="39" spans="1:10" ht="25.5" x14ac:dyDescent="0.25">
      <c r="A39" s="2">
        <v>185</v>
      </c>
      <c r="B39" s="2" t="s">
        <v>513</v>
      </c>
      <c r="C39" s="3" t="s">
        <v>514</v>
      </c>
      <c r="D39" s="3" t="s">
        <v>1903</v>
      </c>
      <c r="E39" s="3" t="s">
        <v>1904</v>
      </c>
      <c r="F39" s="3" t="s">
        <v>1905</v>
      </c>
      <c r="G39" s="3" t="s">
        <v>1294</v>
      </c>
      <c r="H39" s="3" t="s">
        <v>1294</v>
      </c>
      <c r="I39" s="3" t="s">
        <v>1906</v>
      </c>
      <c r="J39" s="3" t="s">
        <v>1294</v>
      </c>
    </row>
    <row r="40" spans="1:10" ht="25.5" x14ac:dyDescent="0.25">
      <c r="A40" s="2">
        <v>184</v>
      </c>
      <c r="B40" s="2" t="s">
        <v>511</v>
      </c>
      <c r="C40" s="3" t="s">
        <v>512</v>
      </c>
      <c r="D40" s="3" t="s">
        <v>1907</v>
      </c>
      <c r="E40" s="3" t="s">
        <v>1908</v>
      </c>
      <c r="F40" s="3" t="s">
        <v>1909</v>
      </c>
      <c r="G40" s="3" t="s">
        <v>1294</v>
      </c>
      <c r="H40" s="3" t="s">
        <v>1294</v>
      </c>
      <c r="I40" s="3" t="s">
        <v>1910</v>
      </c>
      <c r="J40" s="3" t="s">
        <v>1294</v>
      </c>
    </row>
    <row r="41" spans="1:10" ht="25.5" x14ac:dyDescent="0.25">
      <c r="A41" s="2">
        <v>183</v>
      </c>
      <c r="B41" s="2" t="s">
        <v>509</v>
      </c>
      <c r="C41" s="3" t="s">
        <v>510</v>
      </c>
      <c r="D41" s="3" t="s">
        <v>1911</v>
      </c>
      <c r="E41" s="3" t="s">
        <v>1912</v>
      </c>
      <c r="F41" s="3" t="s">
        <v>1913</v>
      </c>
      <c r="G41" s="3" t="s">
        <v>1294</v>
      </c>
      <c r="H41" s="3" t="s">
        <v>1294</v>
      </c>
      <c r="I41" s="3" t="s">
        <v>1914</v>
      </c>
      <c r="J41" s="3" t="s">
        <v>1294</v>
      </c>
    </row>
    <row r="42" spans="1:10" ht="25.5" x14ac:dyDescent="0.25">
      <c r="A42" s="2">
        <v>182</v>
      </c>
      <c r="B42" s="2" t="s">
        <v>507</v>
      </c>
      <c r="C42" s="3" t="s">
        <v>508</v>
      </c>
      <c r="D42" s="3" t="s">
        <v>1915</v>
      </c>
      <c r="E42" s="3" t="s">
        <v>1916</v>
      </c>
      <c r="F42" s="3" t="s">
        <v>1917</v>
      </c>
      <c r="G42" s="3" t="s">
        <v>1294</v>
      </c>
      <c r="H42" s="3" t="s">
        <v>1294</v>
      </c>
      <c r="I42" s="3" t="s">
        <v>1918</v>
      </c>
      <c r="J42" s="3" t="s">
        <v>1294</v>
      </c>
    </row>
    <row r="43" spans="1:10" ht="25.5" x14ac:dyDescent="0.25">
      <c r="A43" s="2">
        <v>181</v>
      </c>
      <c r="B43" s="2" t="s">
        <v>505</v>
      </c>
      <c r="C43" s="3" t="s">
        <v>506</v>
      </c>
      <c r="D43" s="3" t="s">
        <v>1919</v>
      </c>
      <c r="E43" s="3" t="s">
        <v>1920</v>
      </c>
      <c r="F43" s="3" t="s">
        <v>1921</v>
      </c>
      <c r="G43" s="3" t="s">
        <v>1294</v>
      </c>
      <c r="H43" s="3" t="s">
        <v>1294</v>
      </c>
      <c r="I43" s="3" t="s">
        <v>1922</v>
      </c>
      <c r="J43" s="3" t="s">
        <v>1294</v>
      </c>
    </row>
    <row r="44" spans="1:10" ht="25.5" x14ac:dyDescent="0.25">
      <c r="A44" s="2">
        <v>180</v>
      </c>
      <c r="B44" s="2" t="s">
        <v>503</v>
      </c>
      <c r="C44" s="3" t="s">
        <v>504</v>
      </c>
      <c r="D44" s="3" t="s">
        <v>1923</v>
      </c>
      <c r="E44" s="3" t="s">
        <v>1924</v>
      </c>
      <c r="F44" s="3" t="s">
        <v>1925</v>
      </c>
      <c r="G44" s="3" t="s">
        <v>1294</v>
      </c>
      <c r="H44" s="3" t="s">
        <v>1294</v>
      </c>
      <c r="I44" s="3" t="s">
        <v>1926</v>
      </c>
      <c r="J44" s="3" t="s">
        <v>1294</v>
      </c>
    </row>
    <row r="45" spans="1:10" ht="25.5" x14ac:dyDescent="0.25">
      <c r="A45" s="2">
        <v>179</v>
      </c>
      <c r="B45" s="2" t="s">
        <v>501</v>
      </c>
      <c r="C45" s="3" t="s">
        <v>502</v>
      </c>
      <c r="D45" s="3" t="s">
        <v>1927</v>
      </c>
      <c r="E45" s="3" t="s">
        <v>1928</v>
      </c>
      <c r="F45" s="3" t="s">
        <v>1929</v>
      </c>
      <c r="G45" s="3" t="s">
        <v>1294</v>
      </c>
      <c r="H45" s="3" t="s">
        <v>1822</v>
      </c>
      <c r="I45" s="3" t="s">
        <v>1930</v>
      </c>
      <c r="J45" s="3" t="s">
        <v>1294</v>
      </c>
    </row>
    <row r="46" spans="1:10" ht="25.5" x14ac:dyDescent="0.25">
      <c r="A46" s="2">
        <v>178</v>
      </c>
      <c r="B46" s="2" t="s">
        <v>499</v>
      </c>
      <c r="C46" s="3" t="s">
        <v>500</v>
      </c>
      <c r="D46" s="3" t="s">
        <v>1931</v>
      </c>
      <c r="E46" s="3" t="s">
        <v>1932</v>
      </c>
      <c r="F46" s="3" t="s">
        <v>1933</v>
      </c>
      <c r="G46" s="3" t="s">
        <v>1294</v>
      </c>
      <c r="H46" s="3" t="s">
        <v>1294</v>
      </c>
      <c r="I46" s="3" t="s">
        <v>1934</v>
      </c>
      <c r="J46" s="3" t="s">
        <v>1294</v>
      </c>
    </row>
    <row r="47" spans="1:10" ht="25.5" x14ac:dyDescent="0.25">
      <c r="A47" s="2">
        <v>177</v>
      </c>
      <c r="B47" s="2" t="s">
        <v>497</v>
      </c>
      <c r="C47" s="3" t="s">
        <v>498</v>
      </c>
      <c r="D47" s="3" t="s">
        <v>1935</v>
      </c>
      <c r="E47" s="3" t="s">
        <v>1936</v>
      </c>
      <c r="F47" s="3" t="s">
        <v>1937</v>
      </c>
      <c r="G47" s="3" t="s">
        <v>1294</v>
      </c>
      <c r="H47" s="3" t="s">
        <v>1822</v>
      </c>
      <c r="I47" s="3" t="s">
        <v>1938</v>
      </c>
      <c r="J47" s="3" t="s">
        <v>1294</v>
      </c>
    </row>
    <row r="48" spans="1:10" ht="25.5" x14ac:dyDescent="0.25">
      <c r="A48" s="2">
        <v>176</v>
      </c>
      <c r="B48" s="2" t="s">
        <v>495</v>
      </c>
      <c r="C48" s="3" t="s">
        <v>496</v>
      </c>
      <c r="D48" s="3" t="s">
        <v>1939</v>
      </c>
      <c r="E48" s="3" t="s">
        <v>1940</v>
      </c>
      <c r="F48" s="3" t="s">
        <v>1941</v>
      </c>
      <c r="G48" s="3" t="s">
        <v>1294</v>
      </c>
      <c r="H48" s="3" t="s">
        <v>1294</v>
      </c>
      <c r="I48" s="3" t="s">
        <v>1942</v>
      </c>
      <c r="J48" s="3" t="s">
        <v>1294</v>
      </c>
    </row>
    <row r="49" spans="1:10" ht="25.5" x14ac:dyDescent="0.25">
      <c r="A49" s="2">
        <v>175</v>
      </c>
      <c r="B49" s="2" t="s">
        <v>493</v>
      </c>
      <c r="C49" s="3" t="s">
        <v>494</v>
      </c>
      <c r="D49" s="3" t="s">
        <v>1943</v>
      </c>
      <c r="E49" s="3" t="s">
        <v>1944</v>
      </c>
      <c r="F49" s="3" t="s">
        <v>1945</v>
      </c>
      <c r="G49" s="3" t="s">
        <v>1294</v>
      </c>
      <c r="H49" s="3" t="s">
        <v>1294</v>
      </c>
      <c r="I49" s="3" t="s">
        <v>1946</v>
      </c>
      <c r="J49" s="3" t="s">
        <v>1294</v>
      </c>
    </row>
    <row r="50" spans="1:10" ht="25.5" x14ac:dyDescent="0.25">
      <c r="A50" s="2">
        <v>174</v>
      </c>
      <c r="B50" s="2" t="s">
        <v>491</v>
      </c>
      <c r="C50" s="3" t="s">
        <v>492</v>
      </c>
      <c r="D50" s="3" t="s">
        <v>1947</v>
      </c>
      <c r="E50" s="3" t="s">
        <v>1948</v>
      </c>
      <c r="F50" s="3" t="s">
        <v>1949</v>
      </c>
      <c r="G50" s="3" t="s">
        <v>1294</v>
      </c>
      <c r="H50" s="3" t="s">
        <v>1294</v>
      </c>
      <c r="I50" s="3" t="s">
        <v>1950</v>
      </c>
      <c r="J50" s="3" t="s">
        <v>1294</v>
      </c>
    </row>
    <row r="51" spans="1:10" ht="25.5" x14ac:dyDescent="0.25">
      <c r="A51" s="2">
        <v>173</v>
      </c>
      <c r="B51" s="2" t="s">
        <v>489</v>
      </c>
      <c r="C51" s="3" t="s">
        <v>490</v>
      </c>
      <c r="D51" s="3" t="s">
        <v>1951</v>
      </c>
      <c r="E51" s="3" t="s">
        <v>1952</v>
      </c>
      <c r="F51" s="3" t="s">
        <v>1953</v>
      </c>
      <c r="G51" s="3" t="s">
        <v>1294</v>
      </c>
      <c r="H51" s="3" t="s">
        <v>1294</v>
      </c>
      <c r="I51" s="3" t="s">
        <v>1954</v>
      </c>
      <c r="J51" s="3" t="s">
        <v>1294</v>
      </c>
    </row>
    <row r="52" spans="1:10" ht="25.5" x14ac:dyDescent="0.25">
      <c r="A52" s="2">
        <v>172</v>
      </c>
      <c r="B52" s="2" t="s">
        <v>487</v>
      </c>
      <c r="C52" s="3" t="s">
        <v>488</v>
      </c>
      <c r="D52" s="3" t="s">
        <v>1955</v>
      </c>
      <c r="E52" s="3" t="s">
        <v>1956</v>
      </c>
      <c r="F52" s="3" t="s">
        <v>1957</v>
      </c>
      <c r="G52" s="3" t="s">
        <v>1294</v>
      </c>
      <c r="H52" s="3" t="s">
        <v>1822</v>
      </c>
      <c r="I52" s="3" t="s">
        <v>1958</v>
      </c>
      <c r="J52" s="3" t="s">
        <v>1294</v>
      </c>
    </row>
    <row r="53" spans="1:10" ht="25.5" x14ac:dyDescent="0.25">
      <c r="A53" s="2">
        <v>171</v>
      </c>
      <c r="B53" s="2" t="s">
        <v>485</v>
      </c>
      <c r="C53" s="3" t="s">
        <v>486</v>
      </c>
      <c r="D53" s="3" t="s">
        <v>1959</v>
      </c>
      <c r="E53" s="3" t="s">
        <v>1960</v>
      </c>
      <c r="F53" s="3" t="s">
        <v>1961</v>
      </c>
      <c r="G53" s="3" t="s">
        <v>1294</v>
      </c>
      <c r="H53" s="3" t="s">
        <v>1294</v>
      </c>
      <c r="I53" s="3" t="s">
        <v>1962</v>
      </c>
      <c r="J53" s="3" t="s">
        <v>1294</v>
      </c>
    </row>
    <row r="54" spans="1:10" ht="25.5" x14ac:dyDescent="0.25">
      <c r="A54" s="2">
        <v>170</v>
      </c>
      <c r="B54" s="2" t="s">
        <v>483</v>
      </c>
      <c r="C54" s="3" t="s">
        <v>484</v>
      </c>
      <c r="D54" s="3" t="s">
        <v>1963</v>
      </c>
      <c r="E54" s="3" t="s">
        <v>1964</v>
      </c>
      <c r="F54" s="3" t="s">
        <v>1965</v>
      </c>
      <c r="G54" s="3" t="s">
        <v>1294</v>
      </c>
      <c r="H54" s="3" t="s">
        <v>1822</v>
      </c>
      <c r="I54" s="3" t="s">
        <v>1966</v>
      </c>
      <c r="J54" s="3" t="s">
        <v>1294</v>
      </c>
    </row>
    <row r="55" spans="1:10" ht="25.5" x14ac:dyDescent="0.25">
      <c r="A55" s="2">
        <v>169</v>
      </c>
      <c r="B55" s="2" t="s">
        <v>481</v>
      </c>
      <c r="C55" s="3" t="s">
        <v>482</v>
      </c>
      <c r="D55" s="3" t="s">
        <v>1967</v>
      </c>
      <c r="E55" s="3" t="s">
        <v>1968</v>
      </c>
      <c r="F55" s="3" t="s">
        <v>1969</v>
      </c>
      <c r="G55" s="3" t="s">
        <v>1294</v>
      </c>
      <c r="H55" s="3" t="s">
        <v>1294</v>
      </c>
      <c r="I55" s="3" t="s">
        <v>1970</v>
      </c>
      <c r="J55" s="3" t="s">
        <v>1294</v>
      </c>
    </row>
    <row r="56" spans="1:10" ht="25.5" x14ac:dyDescent="0.25">
      <c r="A56" s="2">
        <v>168</v>
      </c>
      <c r="B56" s="2" t="s">
        <v>479</v>
      </c>
      <c r="C56" s="3" t="s">
        <v>480</v>
      </c>
      <c r="D56" s="3" t="s">
        <v>1971</v>
      </c>
      <c r="E56" s="3" t="s">
        <v>1972</v>
      </c>
      <c r="F56" s="3" t="s">
        <v>1973</v>
      </c>
      <c r="G56" s="3" t="s">
        <v>1294</v>
      </c>
      <c r="H56" s="3" t="s">
        <v>1294</v>
      </c>
      <c r="I56" s="3" t="s">
        <v>1974</v>
      </c>
      <c r="J56" s="3" t="s">
        <v>1294</v>
      </c>
    </row>
    <row r="57" spans="1:10" ht="25.5" x14ac:dyDescent="0.25">
      <c r="A57" s="2">
        <v>167</v>
      </c>
      <c r="B57" s="2" t="s">
        <v>477</v>
      </c>
      <c r="C57" s="3" t="s">
        <v>478</v>
      </c>
      <c r="D57" s="3" t="s">
        <v>1698</v>
      </c>
      <c r="E57" s="3" t="s">
        <v>1975</v>
      </c>
      <c r="F57" s="3" t="s">
        <v>1976</v>
      </c>
      <c r="G57" s="3" t="s">
        <v>1294</v>
      </c>
      <c r="H57" s="3" t="s">
        <v>1294</v>
      </c>
      <c r="I57" s="3" t="s">
        <v>1977</v>
      </c>
      <c r="J57" s="3" t="s">
        <v>1294</v>
      </c>
    </row>
    <row r="58" spans="1:10" ht="25.5" x14ac:dyDescent="0.25">
      <c r="A58" s="2">
        <v>166</v>
      </c>
      <c r="B58" s="2" t="s">
        <v>475</v>
      </c>
      <c r="C58" s="3" t="s">
        <v>476</v>
      </c>
      <c r="D58" s="3" t="s">
        <v>1978</v>
      </c>
      <c r="E58" s="3" t="s">
        <v>1979</v>
      </c>
      <c r="F58" s="3" t="s">
        <v>1980</v>
      </c>
      <c r="G58" s="3" t="s">
        <v>1294</v>
      </c>
      <c r="H58" s="3" t="s">
        <v>1294</v>
      </c>
      <c r="I58" s="3" t="s">
        <v>1981</v>
      </c>
      <c r="J58" s="3" t="s">
        <v>1294</v>
      </c>
    </row>
    <row r="59" spans="1:10" ht="25.5" x14ac:dyDescent="0.25">
      <c r="A59" s="2">
        <v>165</v>
      </c>
      <c r="B59" s="2" t="s">
        <v>473</v>
      </c>
      <c r="C59" s="3" t="s">
        <v>474</v>
      </c>
      <c r="D59" s="3" t="s">
        <v>1982</v>
      </c>
      <c r="E59" s="3" t="s">
        <v>1983</v>
      </c>
      <c r="F59" s="3" t="s">
        <v>1984</v>
      </c>
      <c r="G59" s="3" t="s">
        <v>1294</v>
      </c>
      <c r="H59" s="3" t="s">
        <v>1294</v>
      </c>
      <c r="I59" s="3" t="s">
        <v>1985</v>
      </c>
      <c r="J59" s="3" t="s">
        <v>1294</v>
      </c>
    </row>
    <row r="60" spans="1:10" ht="25.5" x14ac:dyDescent="0.25">
      <c r="A60" s="2">
        <v>164</v>
      </c>
      <c r="B60" s="2" t="s">
        <v>471</v>
      </c>
      <c r="C60" s="3" t="s">
        <v>472</v>
      </c>
      <c r="D60" s="3" t="s">
        <v>1986</v>
      </c>
      <c r="E60" s="3" t="s">
        <v>1987</v>
      </c>
      <c r="F60" s="3" t="s">
        <v>1988</v>
      </c>
      <c r="G60" s="3" t="s">
        <v>1294</v>
      </c>
      <c r="H60" s="3" t="s">
        <v>1294</v>
      </c>
      <c r="I60" s="3" t="s">
        <v>1989</v>
      </c>
      <c r="J60" s="3" t="s">
        <v>1294</v>
      </c>
    </row>
    <row r="61" spans="1:10" ht="25.5" x14ac:dyDescent="0.25">
      <c r="A61" s="2">
        <v>163</v>
      </c>
      <c r="B61" s="2" t="s">
        <v>469</v>
      </c>
      <c r="C61" s="3" t="s">
        <v>470</v>
      </c>
      <c r="D61" s="3" t="s">
        <v>1990</v>
      </c>
      <c r="E61" s="3" t="s">
        <v>1991</v>
      </c>
      <c r="F61" s="3" t="s">
        <v>1992</v>
      </c>
      <c r="G61" s="3" t="s">
        <v>1294</v>
      </c>
      <c r="H61" s="3" t="s">
        <v>1294</v>
      </c>
      <c r="I61" s="3" t="s">
        <v>1993</v>
      </c>
      <c r="J61" s="3" t="s">
        <v>1294</v>
      </c>
    </row>
    <row r="62" spans="1:10" ht="25.5" x14ac:dyDescent="0.25">
      <c r="A62" s="2">
        <v>162</v>
      </c>
      <c r="B62" s="2" t="s">
        <v>467</v>
      </c>
      <c r="C62" s="3" t="s">
        <v>468</v>
      </c>
      <c r="D62" s="3" t="s">
        <v>1994</v>
      </c>
      <c r="E62" s="3" t="s">
        <v>1995</v>
      </c>
      <c r="F62" s="3" t="s">
        <v>1996</v>
      </c>
      <c r="G62" s="3" t="s">
        <v>1294</v>
      </c>
      <c r="H62" s="3" t="s">
        <v>1294</v>
      </c>
      <c r="I62" s="3" t="s">
        <v>1997</v>
      </c>
      <c r="J62" s="3" t="s">
        <v>1294</v>
      </c>
    </row>
    <row r="63" spans="1:10" ht="25.5" x14ac:dyDescent="0.25">
      <c r="A63" s="2">
        <v>161</v>
      </c>
      <c r="B63" s="2" t="s">
        <v>465</v>
      </c>
      <c r="C63" s="3" t="s">
        <v>466</v>
      </c>
      <c r="D63" s="3" t="s">
        <v>1998</v>
      </c>
      <c r="E63" s="3" t="s">
        <v>1999</v>
      </c>
      <c r="F63" s="3" t="s">
        <v>2000</v>
      </c>
      <c r="G63" s="3" t="s">
        <v>1294</v>
      </c>
      <c r="H63" s="3" t="s">
        <v>1294</v>
      </c>
      <c r="I63" s="3" t="s">
        <v>2001</v>
      </c>
      <c r="J63" s="3" t="s">
        <v>1294</v>
      </c>
    </row>
    <row r="64" spans="1:10" ht="25.5" x14ac:dyDescent="0.25">
      <c r="A64" s="2">
        <v>160</v>
      </c>
      <c r="B64" s="2" t="s">
        <v>463</v>
      </c>
      <c r="C64" s="3" t="s">
        <v>464</v>
      </c>
      <c r="D64" s="3" t="s">
        <v>1828</v>
      </c>
      <c r="E64" s="3" t="s">
        <v>2002</v>
      </c>
      <c r="F64" s="3" t="s">
        <v>2003</v>
      </c>
      <c r="G64" s="3" t="s">
        <v>1294</v>
      </c>
      <c r="H64" s="3" t="s">
        <v>1294</v>
      </c>
      <c r="I64" s="3" t="s">
        <v>2004</v>
      </c>
      <c r="J64" s="3" t="s">
        <v>1294</v>
      </c>
    </row>
    <row r="65" spans="1:10" ht="25.5" x14ac:dyDescent="0.25">
      <c r="A65" s="2">
        <v>159</v>
      </c>
      <c r="B65" s="2" t="s">
        <v>461</v>
      </c>
      <c r="C65" s="3" t="s">
        <v>462</v>
      </c>
      <c r="D65" s="3" t="s">
        <v>2005</v>
      </c>
      <c r="E65" s="3" t="s">
        <v>2006</v>
      </c>
      <c r="F65" s="3" t="s">
        <v>2007</v>
      </c>
      <c r="G65" s="3" t="s">
        <v>1294</v>
      </c>
      <c r="H65" s="3" t="s">
        <v>1294</v>
      </c>
      <c r="I65" s="3" t="s">
        <v>2008</v>
      </c>
      <c r="J65" s="3" t="s">
        <v>1294</v>
      </c>
    </row>
    <row r="66" spans="1:10" ht="25.5" x14ac:dyDescent="0.25">
      <c r="A66" s="2">
        <v>158</v>
      </c>
      <c r="B66" s="2" t="s">
        <v>459</v>
      </c>
      <c r="C66" s="3" t="s">
        <v>460</v>
      </c>
      <c r="D66" s="3" t="s">
        <v>2009</v>
      </c>
      <c r="E66" s="3" t="s">
        <v>2010</v>
      </c>
      <c r="F66" s="3" t="s">
        <v>2011</v>
      </c>
      <c r="G66" s="3" t="s">
        <v>1294</v>
      </c>
      <c r="H66" s="3" t="s">
        <v>1294</v>
      </c>
      <c r="I66" s="3" t="s">
        <v>2012</v>
      </c>
      <c r="J66" s="3" t="s">
        <v>1294</v>
      </c>
    </row>
    <row r="67" spans="1:10" ht="25.5" x14ac:dyDescent="0.25">
      <c r="A67" s="2">
        <v>157</v>
      </c>
      <c r="B67" s="2" t="s">
        <v>457</v>
      </c>
      <c r="C67" s="3" t="s">
        <v>458</v>
      </c>
      <c r="D67" s="3" t="s">
        <v>1824</v>
      </c>
      <c r="E67" s="3" t="s">
        <v>1825</v>
      </c>
      <c r="F67" s="3" t="s">
        <v>2013</v>
      </c>
      <c r="G67" s="3" t="s">
        <v>1294</v>
      </c>
      <c r="H67" s="3" t="s">
        <v>1294</v>
      </c>
      <c r="I67" s="3" t="s">
        <v>2014</v>
      </c>
      <c r="J67" s="3" t="s">
        <v>1294</v>
      </c>
    </row>
    <row r="68" spans="1:10" ht="25.5" x14ac:dyDescent="0.25">
      <c r="A68" s="2">
        <v>156</v>
      </c>
      <c r="B68" s="2" t="s">
        <v>455</v>
      </c>
      <c r="C68" s="3" t="s">
        <v>456</v>
      </c>
      <c r="D68" s="3" t="s">
        <v>2015</v>
      </c>
      <c r="E68" s="3" t="s">
        <v>2016</v>
      </c>
      <c r="F68" s="3" t="s">
        <v>2017</v>
      </c>
      <c r="G68" s="3" t="s">
        <v>1294</v>
      </c>
      <c r="H68" s="3" t="s">
        <v>1294</v>
      </c>
      <c r="I68" s="3" t="s">
        <v>2018</v>
      </c>
      <c r="J68" s="3" t="s">
        <v>1294</v>
      </c>
    </row>
    <row r="69" spans="1:10" ht="25.5" x14ac:dyDescent="0.25">
      <c r="A69" s="2">
        <v>155</v>
      </c>
      <c r="B69" s="2" t="s">
        <v>453</v>
      </c>
      <c r="C69" s="3" t="s">
        <v>454</v>
      </c>
      <c r="D69" s="3" t="s">
        <v>2019</v>
      </c>
      <c r="E69" s="3" t="s">
        <v>2020</v>
      </c>
      <c r="F69" s="3" t="s">
        <v>2021</v>
      </c>
      <c r="G69" s="3" t="s">
        <v>1294</v>
      </c>
      <c r="H69" s="3" t="s">
        <v>1294</v>
      </c>
      <c r="I69" s="3" t="s">
        <v>2022</v>
      </c>
      <c r="J69" s="3" t="s">
        <v>1294</v>
      </c>
    </row>
    <row r="70" spans="1:10" ht="25.5" x14ac:dyDescent="0.25">
      <c r="A70" s="2">
        <v>154</v>
      </c>
      <c r="B70" s="2" t="s">
        <v>451</v>
      </c>
      <c r="C70" s="3" t="s">
        <v>452</v>
      </c>
      <c r="D70" s="3" t="s">
        <v>2023</v>
      </c>
      <c r="E70" s="3" t="s">
        <v>2024</v>
      </c>
      <c r="F70" s="3" t="s">
        <v>2025</v>
      </c>
      <c r="G70" s="3" t="s">
        <v>1294</v>
      </c>
      <c r="H70" s="3" t="s">
        <v>1294</v>
      </c>
      <c r="I70" s="3" t="s">
        <v>2026</v>
      </c>
      <c r="J70" s="3" t="s">
        <v>1294</v>
      </c>
    </row>
    <row r="71" spans="1:10" ht="25.5" x14ac:dyDescent="0.25">
      <c r="A71" s="2">
        <v>153</v>
      </c>
      <c r="B71" s="2" t="s">
        <v>449</v>
      </c>
      <c r="C71" s="3" t="s">
        <v>450</v>
      </c>
      <c r="D71" s="3" t="s">
        <v>2027</v>
      </c>
      <c r="E71" s="3" t="s">
        <v>2028</v>
      </c>
      <c r="F71" s="3" t="s">
        <v>2029</v>
      </c>
      <c r="G71" s="3" t="s">
        <v>1294</v>
      </c>
      <c r="H71" s="3" t="s">
        <v>1294</v>
      </c>
      <c r="I71" s="3" t="s">
        <v>2030</v>
      </c>
      <c r="J71" s="3" t="s">
        <v>1294</v>
      </c>
    </row>
    <row r="72" spans="1:10" ht="25.5" x14ac:dyDescent="0.25">
      <c r="A72" s="2">
        <v>152</v>
      </c>
      <c r="B72" s="2" t="s">
        <v>447</v>
      </c>
      <c r="C72" s="3" t="s">
        <v>448</v>
      </c>
      <c r="D72" s="3" t="s">
        <v>2031</v>
      </c>
      <c r="E72" s="3" t="s">
        <v>2032</v>
      </c>
      <c r="F72" s="3" t="s">
        <v>2033</v>
      </c>
      <c r="G72" s="3" t="s">
        <v>1294</v>
      </c>
      <c r="H72" s="3" t="s">
        <v>1294</v>
      </c>
      <c r="I72" s="3" t="s">
        <v>2034</v>
      </c>
      <c r="J72" s="3" t="s">
        <v>1294</v>
      </c>
    </row>
    <row r="73" spans="1:10" ht="25.5" x14ac:dyDescent="0.25">
      <c r="A73" s="2">
        <v>151</v>
      </c>
      <c r="B73" s="2" t="s">
        <v>445</v>
      </c>
      <c r="C73" s="3" t="s">
        <v>446</v>
      </c>
      <c r="D73" s="3" t="s">
        <v>2035</v>
      </c>
      <c r="E73" s="3" t="s">
        <v>2036</v>
      </c>
      <c r="F73" s="3" t="s">
        <v>2037</v>
      </c>
      <c r="G73" s="3" t="s">
        <v>1294</v>
      </c>
      <c r="H73" s="3" t="s">
        <v>1294</v>
      </c>
      <c r="I73" s="3" t="s">
        <v>2038</v>
      </c>
      <c r="J73" s="3" t="s">
        <v>1294</v>
      </c>
    </row>
    <row r="74" spans="1:10" ht="25.5" x14ac:dyDescent="0.25">
      <c r="A74" s="2">
        <v>150</v>
      </c>
      <c r="B74" s="2" t="s">
        <v>443</v>
      </c>
      <c r="C74" s="3" t="s">
        <v>444</v>
      </c>
      <c r="D74" s="3" t="s">
        <v>2039</v>
      </c>
      <c r="E74" s="3" t="s">
        <v>2040</v>
      </c>
      <c r="F74" s="3" t="s">
        <v>2041</v>
      </c>
      <c r="G74" s="3" t="s">
        <v>1294</v>
      </c>
      <c r="H74" s="3" t="s">
        <v>1294</v>
      </c>
      <c r="I74" s="3" t="s">
        <v>2042</v>
      </c>
      <c r="J74" s="3" t="s">
        <v>1294</v>
      </c>
    </row>
    <row r="75" spans="1:10" ht="25.5" x14ac:dyDescent="0.25">
      <c r="A75" s="2">
        <v>149</v>
      </c>
      <c r="B75" s="2" t="s">
        <v>441</v>
      </c>
      <c r="C75" s="3" t="s">
        <v>442</v>
      </c>
      <c r="D75" s="3" t="s">
        <v>2043</v>
      </c>
      <c r="E75" s="3" t="s">
        <v>2044</v>
      </c>
      <c r="F75" s="3" t="s">
        <v>2045</v>
      </c>
      <c r="G75" s="3" t="s">
        <v>1294</v>
      </c>
      <c r="H75" s="3" t="s">
        <v>1294</v>
      </c>
      <c r="I75" s="3" t="s">
        <v>2046</v>
      </c>
      <c r="J75" s="3" t="s">
        <v>1294</v>
      </c>
    </row>
    <row r="76" spans="1:10" ht="25.5" x14ac:dyDescent="0.25">
      <c r="A76" s="2">
        <v>148</v>
      </c>
      <c r="B76" s="2" t="s">
        <v>439</v>
      </c>
      <c r="C76" s="3" t="s">
        <v>440</v>
      </c>
      <c r="D76" s="3" t="s">
        <v>1811</v>
      </c>
      <c r="E76" s="3" t="s">
        <v>2047</v>
      </c>
      <c r="F76" s="3" t="s">
        <v>2048</v>
      </c>
      <c r="G76" s="3" t="s">
        <v>1294</v>
      </c>
      <c r="H76" s="3" t="s">
        <v>1294</v>
      </c>
      <c r="I76" s="3" t="s">
        <v>2049</v>
      </c>
      <c r="J76" s="3" t="s">
        <v>1294</v>
      </c>
    </row>
    <row r="77" spans="1:10" ht="25.5" x14ac:dyDescent="0.25">
      <c r="A77" s="2">
        <v>147</v>
      </c>
      <c r="B77" s="2" t="s">
        <v>437</v>
      </c>
      <c r="C77" s="3" t="s">
        <v>438</v>
      </c>
      <c r="D77" s="3" t="s">
        <v>2050</v>
      </c>
      <c r="E77" s="3" t="s">
        <v>2051</v>
      </c>
      <c r="F77" s="3" t="s">
        <v>2052</v>
      </c>
      <c r="G77" s="3" t="s">
        <v>1294</v>
      </c>
      <c r="H77" s="3" t="s">
        <v>1294</v>
      </c>
      <c r="I77" s="3" t="s">
        <v>2053</v>
      </c>
      <c r="J77" s="3" t="s">
        <v>1294</v>
      </c>
    </row>
    <row r="78" spans="1:10" ht="25.5" x14ac:dyDescent="0.25">
      <c r="A78" s="2">
        <v>146</v>
      </c>
      <c r="B78" s="2" t="s">
        <v>435</v>
      </c>
      <c r="C78" s="3" t="s">
        <v>436</v>
      </c>
      <c r="D78" s="3" t="s">
        <v>2054</v>
      </c>
      <c r="E78" s="3" t="s">
        <v>2055</v>
      </c>
      <c r="F78" s="3" t="s">
        <v>2056</v>
      </c>
      <c r="G78" s="3" t="s">
        <v>1294</v>
      </c>
      <c r="H78" s="3" t="s">
        <v>1822</v>
      </c>
      <c r="I78" s="3" t="s">
        <v>2057</v>
      </c>
      <c r="J78" s="3" t="s">
        <v>1294</v>
      </c>
    </row>
    <row r="79" spans="1:10" ht="25.5" x14ac:dyDescent="0.25">
      <c r="A79" s="2">
        <v>145</v>
      </c>
      <c r="B79" s="2" t="s">
        <v>433</v>
      </c>
      <c r="C79" s="3" t="s">
        <v>434</v>
      </c>
      <c r="D79" s="3" t="s">
        <v>2058</v>
      </c>
      <c r="E79" s="3" t="s">
        <v>2059</v>
      </c>
      <c r="F79" s="3" t="s">
        <v>2060</v>
      </c>
      <c r="G79" s="3" t="s">
        <v>1294</v>
      </c>
      <c r="H79" s="3" t="s">
        <v>1822</v>
      </c>
      <c r="I79" s="3" t="s">
        <v>2061</v>
      </c>
      <c r="J79" s="3" t="s">
        <v>1294</v>
      </c>
    </row>
    <row r="80" spans="1:10" ht="25.5" x14ac:dyDescent="0.25">
      <c r="A80" s="2">
        <v>144</v>
      </c>
      <c r="B80" s="2" t="s">
        <v>431</v>
      </c>
      <c r="C80" s="3" t="s">
        <v>432</v>
      </c>
      <c r="D80" s="3" t="s">
        <v>2062</v>
      </c>
      <c r="E80" s="3" t="s">
        <v>2063</v>
      </c>
      <c r="F80" s="3" t="s">
        <v>2064</v>
      </c>
      <c r="G80" s="3" t="s">
        <v>1294</v>
      </c>
      <c r="H80" s="3" t="s">
        <v>1294</v>
      </c>
      <c r="I80" s="3" t="s">
        <v>2065</v>
      </c>
      <c r="J80" s="3" t="s">
        <v>1294</v>
      </c>
    </row>
    <row r="81" spans="1:10" ht="25.5" x14ac:dyDescent="0.25">
      <c r="A81" s="2">
        <v>143</v>
      </c>
      <c r="B81" s="2" t="s">
        <v>429</v>
      </c>
      <c r="C81" s="3" t="s">
        <v>430</v>
      </c>
      <c r="D81" s="3" t="s">
        <v>2066</v>
      </c>
      <c r="E81" s="3" t="s">
        <v>2067</v>
      </c>
      <c r="F81" s="3" t="s">
        <v>2068</v>
      </c>
      <c r="G81" s="3" t="s">
        <v>1294</v>
      </c>
      <c r="H81" s="3" t="s">
        <v>1294</v>
      </c>
      <c r="I81" s="3" t="s">
        <v>2069</v>
      </c>
      <c r="J81" s="3" t="s">
        <v>1294</v>
      </c>
    </row>
    <row r="82" spans="1:10" ht="25.5" x14ac:dyDescent="0.25">
      <c r="A82" s="2">
        <v>142</v>
      </c>
      <c r="B82" s="2" t="s">
        <v>427</v>
      </c>
      <c r="C82" s="3" t="s">
        <v>428</v>
      </c>
      <c r="D82" s="3" t="s">
        <v>2070</v>
      </c>
      <c r="E82" s="3" t="s">
        <v>2071</v>
      </c>
      <c r="F82" s="3" t="s">
        <v>2072</v>
      </c>
      <c r="G82" s="3" t="s">
        <v>1294</v>
      </c>
      <c r="H82" s="3" t="s">
        <v>1294</v>
      </c>
      <c r="I82" s="3" t="s">
        <v>2073</v>
      </c>
      <c r="J82" s="3" t="s">
        <v>1294</v>
      </c>
    </row>
    <row r="83" spans="1:10" ht="25.5" x14ac:dyDescent="0.25">
      <c r="A83" s="2">
        <v>141</v>
      </c>
      <c r="B83" s="2" t="s">
        <v>425</v>
      </c>
      <c r="C83" s="3" t="s">
        <v>426</v>
      </c>
      <c r="D83" s="3" t="s">
        <v>2074</v>
      </c>
      <c r="E83" s="3" t="s">
        <v>2075</v>
      </c>
      <c r="F83" s="3" t="s">
        <v>2076</v>
      </c>
      <c r="G83" s="3" t="s">
        <v>1294</v>
      </c>
      <c r="H83" s="3" t="s">
        <v>1294</v>
      </c>
      <c r="I83" s="3" t="s">
        <v>2077</v>
      </c>
      <c r="J83" s="3" t="s">
        <v>1294</v>
      </c>
    </row>
    <row r="84" spans="1:10" ht="25.5" x14ac:dyDescent="0.25">
      <c r="A84" s="2">
        <v>140</v>
      </c>
      <c r="B84" s="2" t="s">
        <v>423</v>
      </c>
      <c r="C84" s="3" t="s">
        <v>424</v>
      </c>
      <c r="D84" s="3" t="s">
        <v>2078</v>
      </c>
      <c r="E84" s="3" t="s">
        <v>2079</v>
      </c>
      <c r="F84" s="3" t="s">
        <v>2080</v>
      </c>
      <c r="G84" s="3" t="s">
        <v>1294</v>
      </c>
      <c r="H84" s="3" t="s">
        <v>1294</v>
      </c>
      <c r="I84" s="3" t="s">
        <v>2081</v>
      </c>
      <c r="J84" s="3" t="s">
        <v>1294</v>
      </c>
    </row>
    <row r="85" spans="1:10" ht="25.5" x14ac:dyDescent="0.25">
      <c r="A85" s="2">
        <v>139</v>
      </c>
      <c r="B85" s="2" t="s">
        <v>421</v>
      </c>
      <c r="C85" s="3" t="s">
        <v>422</v>
      </c>
      <c r="D85" s="3" t="s">
        <v>2082</v>
      </c>
      <c r="E85" s="3" t="s">
        <v>2083</v>
      </c>
      <c r="F85" s="3" t="s">
        <v>2084</v>
      </c>
      <c r="G85" s="3" t="s">
        <v>2085</v>
      </c>
      <c r="H85" s="3" t="s">
        <v>1822</v>
      </c>
      <c r="I85" s="3" t="s">
        <v>2086</v>
      </c>
      <c r="J85" s="3" t="s">
        <v>1294</v>
      </c>
    </row>
    <row r="86" spans="1:10" ht="25.5" x14ac:dyDescent="0.25">
      <c r="A86" s="2">
        <v>138</v>
      </c>
      <c r="B86" s="2" t="s">
        <v>419</v>
      </c>
      <c r="C86" s="3" t="s">
        <v>420</v>
      </c>
      <c r="D86" s="3" t="s">
        <v>2087</v>
      </c>
      <c r="E86" s="3" t="s">
        <v>2088</v>
      </c>
      <c r="F86" s="3" t="s">
        <v>2089</v>
      </c>
      <c r="G86" s="3" t="s">
        <v>1294</v>
      </c>
      <c r="H86" s="3" t="s">
        <v>1294</v>
      </c>
      <c r="I86" s="3" t="s">
        <v>2090</v>
      </c>
      <c r="J86" s="3" t="s">
        <v>1294</v>
      </c>
    </row>
    <row r="87" spans="1:10" ht="25.5" x14ac:dyDescent="0.25">
      <c r="A87" s="2">
        <v>137</v>
      </c>
      <c r="B87" s="2" t="s">
        <v>417</v>
      </c>
      <c r="C87" s="3" t="s">
        <v>418</v>
      </c>
      <c r="D87" s="3" t="s">
        <v>2091</v>
      </c>
      <c r="E87" s="3" t="s">
        <v>2092</v>
      </c>
      <c r="F87" s="3" t="s">
        <v>2093</v>
      </c>
      <c r="G87" s="3" t="s">
        <v>1294</v>
      </c>
      <c r="H87" s="3" t="s">
        <v>1294</v>
      </c>
      <c r="I87" s="3" t="s">
        <v>2094</v>
      </c>
      <c r="J87" s="3" t="s">
        <v>1294</v>
      </c>
    </row>
    <row r="88" spans="1:10" ht="25.5" x14ac:dyDescent="0.25">
      <c r="A88" s="2">
        <v>136</v>
      </c>
      <c r="B88" s="2" t="s">
        <v>415</v>
      </c>
      <c r="C88" s="3" t="s">
        <v>416</v>
      </c>
      <c r="D88" s="3" t="s">
        <v>2095</v>
      </c>
      <c r="E88" s="3" t="s">
        <v>2096</v>
      </c>
      <c r="F88" s="3" t="s">
        <v>2097</v>
      </c>
      <c r="G88" s="3" t="s">
        <v>1294</v>
      </c>
      <c r="H88" s="3" t="s">
        <v>1294</v>
      </c>
      <c r="I88" s="3" t="s">
        <v>2098</v>
      </c>
      <c r="J88" s="3" t="s">
        <v>1294</v>
      </c>
    </row>
    <row r="89" spans="1:10" ht="25.5" x14ac:dyDescent="0.25">
      <c r="A89" s="2">
        <v>135</v>
      </c>
      <c r="B89" s="2" t="s">
        <v>413</v>
      </c>
      <c r="C89" s="3" t="s">
        <v>414</v>
      </c>
      <c r="D89" s="3" t="s">
        <v>2099</v>
      </c>
      <c r="E89" s="3" t="s">
        <v>2100</v>
      </c>
      <c r="F89" s="3" t="s">
        <v>2101</v>
      </c>
      <c r="G89" s="3" t="s">
        <v>1294</v>
      </c>
      <c r="H89" s="3" t="s">
        <v>1822</v>
      </c>
      <c r="I89" s="3" t="s">
        <v>2102</v>
      </c>
      <c r="J89" s="3" t="s">
        <v>1294</v>
      </c>
    </row>
    <row r="90" spans="1:10" ht="25.5" x14ac:dyDescent="0.25">
      <c r="A90" s="2">
        <v>134</v>
      </c>
      <c r="B90" s="2" t="s">
        <v>411</v>
      </c>
      <c r="C90" s="3" t="s">
        <v>412</v>
      </c>
      <c r="D90" s="3" t="s">
        <v>1848</v>
      </c>
      <c r="E90" s="3" t="s">
        <v>2103</v>
      </c>
      <c r="F90" s="3" t="s">
        <v>2104</v>
      </c>
      <c r="G90" s="3" t="s">
        <v>1294</v>
      </c>
      <c r="H90" s="3" t="s">
        <v>1294</v>
      </c>
      <c r="I90" s="3" t="s">
        <v>2105</v>
      </c>
      <c r="J90" s="3" t="s">
        <v>1294</v>
      </c>
    </row>
    <row r="91" spans="1:10" ht="25.5" x14ac:dyDescent="0.25">
      <c r="A91" s="2">
        <v>133</v>
      </c>
      <c r="B91" s="2" t="s">
        <v>409</v>
      </c>
      <c r="C91" s="3" t="s">
        <v>410</v>
      </c>
      <c r="D91" s="3" t="s">
        <v>2106</v>
      </c>
      <c r="E91" s="3" t="s">
        <v>2107</v>
      </c>
      <c r="F91" s="3" t="s">
        <v>2108</v>
      </c>
      <c r="G91" s="3" t="s">
        <v>1294</v>
      </c>
      <c r="H91" s="3" t="s">
        <v>1294</v>
      </c>
      <c r="I91" s="3" t="s">
        <v>2109</v>
      </c>
      <c r="J91" s="3" t="s">
        <v>1294</v>
      </c>
    </row>
    <row r="92" spans="1:10" ht="25.5" x14ac:dyDescent="0.25">
      <c r="A92" s="2">
        <v>132</v>
      </c>
      <c r="B92" s="2" t="s">
        <v>407</v>
      </c>
      <c r="C92" s="3" t="s">
        <v>408</v>
      </c>
      <c r="D92" s="3" t="s">
        <v>2110</v>
      </c>
      <c r="E92" s="3" t="s">
        <v>2111</v>
      </c>
      <c r="F92" s="3" t="s">
        <v>2112</v>
      </c>
      <c r="G92" s="3" t="s">
        <v>1294</v>
      </c>
      <c r="H92" s="3" t="s">
        <v>1294</v>
      </c>
      <c r="I92" s="3" t="s">
        <v>2113</v>
      </c>
      <c r="J92" s="3" t="s">
        <v>1294</v>
      </c>
    </row>
    <row r="93" spans="1:10" ht="25.5" x14ac:dyDescent="0.25">
      <c r="A93" s="2">
        <v>131</v>
      </c>
      <c r="B93" s="2" t="s">
        <v>405</v>
      </c>
      <c r="C93" s="3" t="s">
        <v>406</v>
      </c>
      <c r="D93" s="3" t="s">
        <v>2114</v>
      </c>
      <c r="E93" s="3" t="s">
        <v>2115</v>
      </c>
      <c r="F93" s="3" t="s">
        <v>2116</v>
      </c>
      <c r="G93" s="3" t="s">
        <v>1294</v>
      </c>
      <c r="H93" s="3" t="s">
        <v>1294</v>
      </c>
      <c r="I93" s="3" t="s">
        <v>2117</v>
      </c>
      <c r="J93" s="3" t="s">
        <v>1294</v>
      </c>
    </row>
    <row r="94" spans="1:10" ht="25.5" x14ac:dyDescent="0.25">
      <c r="A94" s="2">
        <v>130</v>
      </c>
      <c r="B94" s="2" t="s">
        <v>403</v>
      </c>
      <c r="C94" s="3" t="s">
        <v>404</v>
      </c>
      <c r="D94" s="3" t="s">
        <v>2118</v>
      </c>
      <c r="E94" s="3" t="s">
        <v>2119</v>
      </c>
      <c r="F94" s="3" t="s">
        <v>2120</v>
      </c>
      <c r="G94" s="3" t="s">
        <v>1294</v>
      </c>
      <c r="H94" s="3" t="s">
        <v>1294</v>
      </c>
      <c r="I94" s="3" t="s">
        <v>2121</v>
      </c>
      <c r="J94" s="3" t="s">
        <v>1294</v>
      </c>
    </row>
    <row r="95" spans="1:10" ht="25.5" x14ac:dyDescent="0.25">
      <c r="A95" s="2">
        <v>129</v>
      </c>
      <c r="B95" s="2" t="s">
        <v>401</v>
      </c>
      <c r="C95" s="3" t="s">
        <v>402</v>
      </c>
      <c r="D95" s="3" t="s">
        <v>2122</v>
      </c>
      <c r="E95" s="3" t="s">
        <v>2123</v>
      </c>
      <c r="F95" s="3" t="s">
        <v>2124</v>
      </c>
      <c r="G95" s="3" t="s">
        <v>1294</v>
      </c>
      <c r="H95" s="3" t="s">
        <v>1294</v>
      </c>
      <c r="I95" s="3" t="s">
        <v>2125</v>
      </c>
      <c r="J95" s="3" t="s">
        <v>1294</v>
      </c>
    </row>
    <row r="96" spans="1:10" ht="25.5" x14ac:dyDescent="0.25">
      <c r="A96" s="2">
        <v>128</v>
      </c>
      <c r="B96" s="2" t="s">
        <v>399</v>
      </c>
      <c r="C96" s="3" t="s">
        <v>400</v>
      </c>
      <c r="D96" s="3" t="s">
        <v>2126</v>
      </c>
      <c r="E96" s="3" t="s">
        <v>2127</v>
      </c>
      <c r="F96" s="3" t="s">
        <v>2128</v>
      </c>
      <c r="G96" s="3" t="s">
        <v>1294</v>
      </c>
      <c r="H96" s="3" t="s">
        <v>1294</v>
      </c>
      <c r="I96" s="3" t="s">
        <v>2129</v>
      </c>
      <c r="J96" s="3" t="s">
        <v>1294</v>
      </c>
    </row>
    <row r="97" spans="1:10" ht="25.5" x14ac:dyDescent="0.25">
      <c r="A97" s="2">
        <v>127</v>
      </c>
      <c r="B97" s="2" t="s">
        <v>397</v>
      </c>
      <c r="C97" s="3" t="s">
        <v>398</v>
      </c>
      <c r="D97" s="3" t="s">
        <v>2130</v>
      </c>
      <c r="E97" s="3" t="s">
        <v>2131</v>
      </c>
      <c r="F97" s="3" t="s">
        <v>2132</v>
      </c>
      <c r="G97" s="3" t="s">
        <v>1294</v>
      </c>
      <c r="H97" s="3" t="s">
        <v>1294</v>
      </c>
      <c r="I97" s="3" t="s">
        <v>2133</v>
      </c>
      <c r="J97" s="3" t="s">
        <v>1294</v>
      </c>
    </row>
    <row r="98" spans="1:10" ht="25.5" x14ac:dyDescent="0.25">
      <c r="A98" s="2">
        <v>126</v>
      </c>
      <c r="B98" s="2" t="s">
        <v>395</v>
      </c>
      <c r="C98" s="3" t="s">
        <v>396</v>
      </c>
      <c r="D98" s="3" t="s">
        <v>2134</v>
      </c>
      <c r="E98" s="3" t="s">
        <v>2135</v>
      </c>
      <c r="F98" s="3" t="s">
        <v>2136</v>
      </c>
      <c r="G98" s="3" t="s">
        <v>2085</v>
      </c>
      <c r="H98" s="3" t="s">
        <v>1822</v>
      </c>
      <c r="I98" s="3" t="s">
        <v>2137</v>
      </c>
      <c r="J98" s="3" t="s">
        <v>1294</v>
      </c>
    </row>
    <row r="99" spans="1:10" ht="25.5" x14ac:dyDescent="0.25">
      <c r="A99" s="2">
        <v>125</v>
      </c>
      <c r="B99" s="2" t="s">
        <v>393</v>
      </c>
      <c r="C99" s="3" t="s">
        <v>394</v>
      </c>
      <c r="D99" s="3" t="s">
        <v>2138</v>
      </c>
      <c r="E99" s="3" t="s">
        <v>2139</v>
      </c>
      <c r="F99" s="3" t="s">
        <v>2140</v>
      </c>
      <c r="G99" s="3" t="s">
        <v>1294</v>
      </c>
      <c r="H99" s="3" t="s">
        <v>1294</v>
      </c>
      <c r="I99" s="3" t="s">
        <v>2141</v>
      </c>
      <c r="J99" s="3" t="s">
        <v>1294</v>
      </c>
    </row>
    <row r="100" spans="1:10" ht="25.5" x14ac:dyDescent="0.25">
      <c r="A100" s="2">
        <v>124</v>
      </c>
      <c r="B100" s="2" t="s">
        <v>391</v>
      </c>
      <c r="C100" s="3" t="s">
        <v>392</v>
      </c>
      <c r="D100" s="3" t="s">
        <v>2142</v>
      </c>
      <c r="E100" s="3" t="s">
        <v>2143</v>
      </c>
      <c r="F100" s="3" t="s">
        <v>2144</v>
      </c>
      <c r="G100" s="3" t="s">
        <v>1294</v>
      </c>
      <c r="H100" s="3" t="s">
        <v>1294</v>
      </c>
      <c r="I100" s="3" t="s">
        <v>2145</v>
      </c>
      <c r="J100" s="3" t="s">
        <v>1294</v>
      </c>
    </row>
    <row r="101" spans="1:10" ht="25.5" x14ac:dyDescent="0.25">
      <c r="A101" s="2">
        <v>123</v>
      </c>
      <c r="B101" s="2" t="s">
        <v>389</v>
      </c>
      <c r="C101" s="3" t="s">
        <v>390</v>
      </c>
      <c r="D101" s="3" t="s">
        <v>1716</v>
      </c>
      <c r="E101" s="3" t="s">
        <v>1884</v>
      </c>
      <c r="F101" s="3" t="s">
        <v>2146</v>
      </c>
      <c r="G101" s="3" t="s">
        <v>1294</v>
      </c>
      <c r="H101" s="3" t="s">
        <v>1294</v>
      </c>
      <c r="I101" s="3" t="s">
        <v>2147</v>
      </c>
      <c r="J101" s="3" t="s">
        <v>1294</v>
      </c>
    </row>
    <row r="102" spans="1:10" ht="25.5" x14ac:dyDescent="0.25">
      <c r="A102" s="2">
        <v>122</v>
      </c>
      <c r="B102" s="2" t="s">
        <v>387</v>
      </c>
      <c r="C102" s="3" t="s">
        <v>388</v>
      </c>
      <c r="D102" s="3" t="s">
        <v>2148</v>
      </c>
      <c r="E102" s="3" t="s">
        <v>2149</v>
      </c>
      <c r="F102" s="3" t="s">
        <v>2150</v>
      </c>
      <c r="G102" s="3" t="s">
        <v>1294</v>
      </c>
      <c r="H102" s="3" t="s">
        <v>1294</v>
      </c>
      <c r="I102" s="3" t="s">
        <v>2151</v>
      </c>
      <c r="J102" s="3" t="s">
        <v>1294</v>
      </c>
    </row>
    <row r="103" spans="1:10" ht="25.5" x14ac:dyDescent="0.25">
      <c r="A103" s="2">
        <v>121</v>
      </c>
      <c r="B103" s="2" t="s">
        <v>385</v>
      </c>
      <c r="C103" s="3" t="s">
        <v>386</v>
      </c>
      <c r="D103" s="3" t="s">
        <v>2152</v>
      </c>
      <c r="E103" s="3" t="s">
        <v>2153</v>
      </c>
      <c r="F103" s="3" t="s">
        <v>2154</v>
      </c>
      <c r="G103" s="3" t="s">
        <v>1294</v>
      </c>
      <c r="H103" s="3" t="s">
        <v>1294</v>
      </c>
      <c r="I103" s="3" t="s">
        <v>2155</v>
      </c>
      <c r="J103" s="3" t="s">
        <v>1294</v>
      </c>
    </row>
    <row r="104" spans="1:10" ht="25.5" x14ac:dyDescent="0.25">
      <c r="A104" s="2">
        <v>120</v>
      </c>
      <c r="B104" s="2" t="s">
        <v>383</v>
      </c>
      <c r="C104" s="3" t="s">
        <v>384</v>
      </c>
      <c r="D104" s="3" t="s">
        <v>2156</v>
      </c>
      <c r="E104" s="3" t="s">
        <v>2157</v>
      </c>
      <c r="F104" s="3" t="s">
        <v>2158</v>
      </c>
      <c r="G104" s="3" t="s">
        <v>1294</v>
      </c>
      <c r="H104" s="3" t="s">
        <v>1294</v>
      </c>
      <c r="I104" s="3" t="s">
        <v>2159</v>
      </c>
      <c r="J104" s="3" t="s">
        <v>1294</v>
      </c>
    </row>
    <row r="105" spans="1:10" ht="25.5" x14ac:dyDescent="0.25">
      <c r="A105" s="2">
        <v>119</v>
      </c>
      <c r="B105" s="2" t="s">
        <v>381</v>
      </c>
      <c r="C105" s="3" t="s">
        <v>382</v>
      </c>
      <c r="D105" s="3" t="s">
        <v>2019</v>
      </c>
      <c r="E105" s="3" t="s">
        <v>2160</v>
      </c>
      <c r="F105" s="3" t="s">
        <v>2161</v>
      </c>
      <c r="G105" s="3" t="s">
        <v>1294</v>
      </c>
      <c r="H105" s="3" t="s">
        <v>1822</v>
      </c>
      <c r="I105" s="3" t="s">
        <v>2162</v>
      </c>
      <c r="J105" s="3" t="s">
        <v>1294</v>
      </c>
    </row>
    <row r="106" spans="1:10" ht="25.5" x14ac:dyDescent="0.25">
      <c r="A106" s="2">
        <v>118</v>
      </c>
      <c r="B106" s="2" t="s">
        <v>379</v>
      </c>
      <c r="C106" s="3" t="s">
        <v>380</v>
      </c>
      <c r="D106" s="3" t="s">
        <v>2163</v>
      </c>
      <c r="E106" s="3" t="s">
        <v>2164</v>
      </c>
      <c r="F106" s="3" t="s">
        <v>2165</v>
      </c>
      <c r="G106" s="3" t="s">
        <v>1294</v>
      </c>
      <c r="H106" s="3" t="s">
        <v>1822</v>
      </c>
      <c r="I106" s="3" t="s">
        <v>2166</v>
      </c>
      <c r="J106" s="3" t="s">
        <v>1294</v>
      </c>
    </row>
    <row r="107" spans="1:10" ht="25.5" x14ac:dyDescent="0.25">
      <c r="A107" s="2">
        <v>117</v>
      </c>
      <c r="B107" s="2" t="s">
        <v>377</v>
      </c>
      <c r="C107" s="3" t="s">
        <v>378</v>
      </c>
      <c r="D107" s="3" t="s">
        <v>2167</v>
      </c>
      <c r="E107" s="3" t="s">
        <v>2168</v>
      </c>
      <c r="F107" s="3" t="s">
        <v>2169</v>
      </c>
      <c r="G107" s="3" t="s">
        <v>1294</v>
      </c>
      <c r="H107" s="3" t="s">
        <v>1294</v>
      </c>
      <c r="I107" s="3" t="s">
        <v>2170</v>
      </c>
      <c r="J107" s="3" t="s">
        <v>1294</v>
      </c>
    </row>
    <row r="108" spans="1:10" ht="25.5" x14ac:dyDescent="0.25">
      <c r="A108" s="2">
        <v>116</v>
      </c>
      <c r="B108" s="2" t="s">
        <v>375</v>
      </c>
      <c r="C108" s="3" t="s">
        <v>376</v>
      </c>
      <c r="D108" s="3" t="s">
        <v>2171</v>
      </c>
      <c r="E108" s="3" t="s">
        <v>2172</v>
      </c>
      <c r="F108" s="3" t="s">
        <v>2173</v>
      </c>
      <c r="G108" s="3" t="s">
        <v>1294</v>
      </c>
      <c r="H108" s="3" t="s">
        <v>1822</v>
      </c>
      <c r="I108" s="3" t="s">
        <v>2174</v>
      </c>
      <c r="J108" s="3" t="s">
        <v>1294</v>
      </c>
    </row>
    <row r="109" spans="1:10" ht="25.5" x14ac:dyDescent="0.25">
      <c r="A109" s="2">
        <v>115</v>
      </c>
      <c r="B109" s="2" t="s">
        <v>373</v>
      </c>
      <c r="C109" s="3" t="s">
        <v>374</v>
      </c>
      <c r="D109" s="3" t="s">
        <v>2175</v>
      </c>
      <c r="E109" s="3" t="s">
        <v>2176</v>
      </c>
      <c r="F109" s="3" t="s">
        <v>2177</v>
      </c>
      <c r="G109" s="3" t="s">
        <v>1294</v>
      </c>
      <c r="H109" s="3" t="s">
        <v>1294</v>
      </c>
      <c r="I109" s="3" t="s">
        <v>2178</v>
      </c>
      <c r="J109" s="3" t="s">
        <v>1294</v>
      </c>
    </row>
    <row r="110" spans="1:10" ht="25.5" x14ac:dyDescent="0.25">
      <c r="A110" s="2">
        <v>114</v>
      </c>
      <c r="B110" s="2" t="s">
        <v>371</v>
      </c>
      <c r="C110" s="3" t="s">
        <v>372</v>
      </c>
      <c r="D110" s="3" t="s">
        <v>2179</v>
      </c>
      <c r="E110" s="3" t="s">
        <v>2180</v>
      </c>
      <c r="F110" s="3" t="s">
        <v>2181</v>
      </c>
      <c r="G110" s="3" t="s">
        <v>1294</v>
      </c>
      <c r="H110" s="3" t="s">
        <v>1822</v>
      </c>
      <c r="I110" s="3" t="s">
        <v>2182</v>
      </c>
      <c r="J110" s="3" t="s">
        <v>1294</v>
      </c>
    </row>
    <row r="111" spans="1:10" ht="25.5" x14ac:dyDescent="0.25">
      <c r="A111" s="2">
        <v>113</v>
      </c>
      <c r="B111" s="2" t="s">
        <v>369</v>
      </c>
      <c r="C111" s="3" t="s">
        <v>370</v>
      </c>
      <c r="D111" s="3" t="s">
        <v>2183</v>
      </c>
      <c r="E111" s="3" t="s">
        <v>2184</v>
      </c>
      <c r="F111" s="3" t="s">
        <v>2185</v>
      </c>
      <c r="G111" s="3" t="s">
        <v>1294</v>
      </c>
      <c r="H111" s="3" t="s">
        <v>1294</v>
      </c>
      <c r="I111" s="3" t="s">
        <v>2186</v>
      </c>
      <c r="J111" s="3" t="s">
        <v>1294</v>
      </c>
    </row>
    <row r="112" spans="1:10" ht="25.5" x14ac:dyDescent="0.25">
      <c r="A112" s="2">
        <v>112</v>
      </c>
      <c r="B112" s="2" t="s">
        <v>367</v>
      </c>
      <c r="C112" s="3" t="s">
        <v>368</v>
      </c>
      <c r="D112" s="3" t="s">
        <v>2187</v>
      </c>
      <c r="E112" s="3" t="s">
        <v>2188</v>
      </c>
      <c r="F112" s="3" t="s">
        <v>2189</v>
      </c>
      <c r="G112" s="3" t="s">
        <v>1294</v>
      </c>
      <c r="H112" s="3" t="s">
        <v>1822</v>
      </c>
      <c r="I112" s="3" t="s">
        <v>2190</v>
      </c>
      <c r="J112" s="3" t="s">
        <v>1294</v>
      </c>
    </row>
    <row r="113" spans="1:10" ht="25.5" x14ac:dyDescent="0.25">
      <c r="A113" s="2">
        <v>111</v>
      </c>
      <c r="B113" s="2" t="s">
        <v>365</v>
      </c>
      <c r="C113" s="3" t="s">
        <v>366</v>
      </c>
      <c r="D113" s="3" t="s">
        <v>1840</v>
      </c>
      <c r="E113" s="3" t="s">
        <v>2191</v>
      </c>
      <c r="F113" s="3" t="s">
        <v>2192</v>
      </c>
      <c r="G113" s="3" t="s">
        <v>1294</v>
      </c>
      <c r="H113" s="3" t="s">
        <v>1294</v>
      </c>
      <c r="I113" s="3" t="s">
        <v>2193</v>
      </c>
      <c r="J113" s="3" t="s">
        <v>1294</v>
      </c>
    </row>
    <row r="114" spans="1:10" ht="25.5" x14ac:dyDescent="0.25">
      <c r="A114" s="2">
        <v>110</v>
      </c>
      <c r="B114" s="2" t="s">
        <v>363</v>
      </c>
      <c r="C114" s="3" t="s">
        <v>364</v>
      </c>
      <c r="D114" s="3" t="s">
        <v>2194</v>
      </c>
      <c r="E114" s="3" t="s">
        <v>2195</v>
      </c>
      <c r="F114" s="3" t="s">
        <v>2196</v>
      </c>
      <c r="G114" s="3" t="s">
        <v>1294</v>
      </c>
      <c r="H114" s="3" t="s">
        <v>1294</v>
      </c>
      <c r="I114" s="3" t="s">
        <v>2197</v>
      </c>
      <c r="J114" s="3" t="s">
        <v>1294</v>
      </c>
    </row>
    <row r="115" spans="1:10" ht="25.5" x14ac:dyDescent="0.25">
      <c r="A115" s="2">
        <v>109</v>
      </c>
      <c r="B115" s="2" t="s">
        <v>361</v>
      </c>
      <c r="C115" s="3" t="s">
        <v>362</v>
      </c>
      <c r="D115" s="3" t="s">
        <v>2198</v>
      </c>
      <c r="E115" s="3" t="s">
        <v>2199</v>
      </c>
      <c r="F115" s="3" t="s">
        <v>2200</v>
      </c>
      <c r="G115" s="3" t="s">
        <v>1294</v>
      </c>
      <c r="H115" s="3" t="s">
        <v>1294</v>
      </c>
      <c r="I115" s="3" t="s">
        <v>2201</v>
      </c>
      <c r="J115" s="3" t="s">
        <v>1294</v>
      </c>
    </row>
    <row r="116" spans="1:10" ht="25.5" x14ac:dyDescent="0.25">
      <c r="A116" s="2">
        <v>108</v>
      </c>
      <c r="B116" s="2" t="s">
        <v>359</v>
      </c>
      <c r="C116" s="3" t="s">
        <v>360</v>
      </c>
      <c r="D116" s="3" t="s">
        <v>2202</v>
      </c>
      <c r="E116" s="3" t="s">
        <v>2203</v>
      </c>
      <c r="F116" s="3" t="s">
        <v>2204</v>
      </c>
      <c r="G116" s="3" t="s">
        <v>1294</v>
      </c>
      <c r="H116" s="3" t="s">
        <v>1294</v>
      </c>
      <c r="I116" s="3" t="s">
        <v>2205</v>
      </c>
      <c r="J116" s="3" t="s">
        <v>1294</v>
      </c>
    </row>
    <row r="117" spans="1:10" ht="25.5" x14ac:dyDescent="0.25">
      <c r="A117" s="2">
        <v>107</v>
      </c>
      <c r="B117" s="2" t="s">
        <v>357</v>
      </c>
      <c r="C117" s="3" t="s">
        <v>358</v>
      </c>
      <c r="D117" s="3" t="s">
        <v>2206</v>
      </c>
      <c r="E117" s="3" t="s">
        <v>2207</v>
      </c>
      <c r="F117" s="3" t="s">
        <v>2208</v>
      </c>
      <c r="G117" s="3" t="s">
        <v>1294</v>
      </c>
      <c r="H117" s="3" t="s">
        <v>1294</v>
      </c>
      <c r="I117" s="3" t="s">
        <v>2209</v>
      </c>
      <c r="J117" s="3" t="s">
        <v>1294</v>
      </c>
    </row>
    <row r="118" spans="1:10" ht="25.5" x14ac:dyDescent="0.25">
      <c r="A118" s="2">
        <v>106</v>
      </c>
      <c r="B118" s="2" t="s">
        <v>355</v>
      </c>
      <c r="C118" s="3" t="s">
        <v>356</v>
      </c>
      <c r="D118" s="3" t="s">
        <v>2210</v>
      </c>
      <c r="E118" s="3" t="s">
        <v>2211</v>
      </c>
      <c r="F118" s="3" t="s">
        <v>2212</v>
      </c>
      <c r="G118" s="3" t="s">
        <v>1294</v>
      </c>
      <c r="H118" s="3" t="s">
        <v>1294</v>
      </c>
      <c r="I118" s="3" t="s">
        <v>2213</v>
      </c>
      <c r="J118" s="3" t="s">
        <v>1294</v>
      </c>
    </row>
    <row r="119" spans="1:10" ht="25.5" x14ac:dyDescent="0.25">
      <c r="A119" s="2">
        <v>105</v>
      </c>
      <c r="B119" s="2" t="s">
        <v>353</v>
      </c>
      <c r="C119" s="3" t="s">
        <v>354</v>
      </c>
      <c r="D119" s="3" t="s">
        <v>2214</v>
      </c>
      <c r="E119" s="3" t="s">
        <v>2215</v>
      </c>
      <c r="F119" s="3" t="s">
        <v>2216</v>
      </c>
      <c r="G119" s="3" t="s">
        <v>1294</v>
      </c>
      <c r="H119" s="3" t="s">
        <v>1294</v>
      </c>
      <c r="I119" s="3" t="s">
        <v>2217</v>
      </c>
      <c r="J119" s="3" t="s">
        <v>1294</v>
      </c>
    </row>
    <row r="120" spans="1:10" ht="25.5" x14ac:dyDescent="0.25">
      <c r="A120" s="2">
        <v>104</v>
      </c>
      <c r="B120" s="2" t="s">
        <v>351</v>
      </c>
      <c r="C120" s="3" t="s">
        <v>352</v>
      </c>
      <c r="D120" s="3" t="s">
        <v>2218</v>
      </c>
      <c r="E120" s="3" t="s">
        <v>2219</v>
      </c>
      <c r="F120" s="3" t="s">
        <v>2220</v>
      </c>
      <c r="G120" s="3" t="s">
        <v>1294</v>
      </c>
      <c r="H120" s="3" t="s">
        <v>1294</v>
      </c>
      <c r="I120" s="3" t="s">
        <v>2221</v>
      </c>
      <c r="J120" s="3" t="s">
        <v>1294</v>
      </c>
    </row>
    <row r="121" spans="1:10" ht="25.5" x14ac:dyDescent="0.25">
      <c r="A121" s="2">
        <v>103</v>
      </c>
      <c r="B121" s="2" t="s">
        <v>349</v>
      </c>
      <c r="C121" s="3" t="s">
        <v>350</v>
      </c>
      <c r="D121" s="3" t="s">
        <v>2222</v>
      </c>
      <c r="E121" s="3" t="s">
        <v>2223</v>
      </c>
      <c r="F121" s="3" t="s">
        <v>2224</v>
      </c>
      <c r="G121" s="3" t="s">
        <v>1294</v>
      </c>
      <c r="H121" s="3" t="s">
        <v>1294</v>
      </c>
      <c r="I121" s="3" t="s">
        <v>2225</v>
      </c>
      <c r="J121" s="3" t="s">
        <v>1294</v>
      </c>
    </row>
    <row r="122" spans="1:10" ht="25.5" x14ac:dyDescent="0.25">
      <c r="A122" s="2">
        <v>102</v>
      </c>
      <c r="B122" s="2" t="s">
        <v>347</v>
      </c>
      <c r="C122" s="3" t="s">
        <v>348</v>
      </c>
      <c r="D122" s="3" t="s">
        <v>2226</v>
      </c>
      <c r="E122" s="3" t="s">
        <v>2227</v>
      </c>
      <c r="F122" s="3" t="s">
        <v>2228</v>
      </c>
      <c r="G122" s="3" t="s">
        <v>1294</v>
      </c>
      <c r="H122" s="3" t="s">
        <v>1822</v>
      </c>
      <c r="I122" s="3" t="s">
        <v>2229</v>
      </c>
      <c r="J122" s="3" t="s">
        <v>1294</v>
      </c>
    </row>
    <row r="123" spans="1:10" ht="25.5" x14ac:dyDescent="0.25">
      <c r="A123" s="2">
        <v>101</v>
      </c>
      <c r="B123" s="2" t="s">
        <v>345</v>
      </c>
      <c r="C123" s="3" t="s">
        <v>346</v>
      </c>
      <c r="D123" s="3" t="s">
        <v>2230</v>
      </c>
      <c r="E123" s="3" t="s">
        <v>2231</v>
      </c>
      <c r="F123" s="3" t="s">
        <v>2232</v>
      </c>
      <c r="G123" s="3" t="s">
        <v>1294</v>
      </c>
      <c r="H123" s="3" t="s">
        <v>1294</v>
      </c>
      <c r="I123" s="3" t="s">
        <v>2233</v>
      </c>
      <c r="J123" s="3" t="s">
        <v>1294</v>
      </c>
    </row>
    <row r="124" spans="1:10" ht="25.5" x14ac:dyDescent="0.25">
      <c r="A124" s="2">
        <v>100</v>
      </c>
      <c r="B124" s="2" t="s">
        <v>343</v>
      </c>
      <c r="C124" s="3" t="s">
        <v>344</v>
      </c>
      <c r="D124" s="3" t="s">
        <v>2234</v>
      </c>
      <c r="E124" s="3" t="s">
        <v>2235</v>
      </c>
      <c r="F124" s="3" t="s">
        <v>2236</v>
      </c>
      <c r="G124" s="3" t="s">
        <v>1294</v>
      </c>
      <c r="H124" s="3" t="s">
        <v>1294</v>
      </c>
      <c r="I124" s="3" t="s">
        <v>2237</v>
      </c>
      <c r="J124" s="3" t="s">
        <v>1294</v>
      </c>
    </row>
    <row r="125" spans="1:10" ht="25.5" x14ac:dyDescent="0.25">
      <c r="A125" s="2">
        <v>99</v>
      </c>
      <c r="B125" s="2" t="s">
        <v>341</v>
      </c>
      <c r="C125" s="3" t="s">
        <v>342</v>
      </c>
      <c r="D125" s="3" t="s">
        <v>1876</v>
      </c>
      <c r="E125" s="3" t="s">
        <v>2238</v>
      </c>
      <c r="F125" s="3" t="s">
        <v>2239</v>
      </c>
      <c r="G125" s="3" t="s">
        <v>1294</v>
      </c>
      <c r="H125" s="3" t="s">
        <v>1294</v>
      </c>
      <c r="I125" s="3" t="s">
        <v>2240</v>
      </c>
      <c r="J125" s="3" t="s">
        <v>1294</v>
      </c>
    </row>
    <row r="126" spans="1:10" ht="25.5" x14ac:dyDescent="0.25">
      <c r="A126" s="2">
        <v>98</v>
      </c>
      <c r="B126" s="2" t="s">
        <v>339</v>
      </c>
      <c r="C126" s="3" t="s">
        <v>340</v>
      </c>
      <c r="D126" s="3" t="s">
        <v>1844</v>
      </c>
      <c r="E126" s="3" t="s">
        <v>2241</v>
      </c>
      <c r="F126" s="3" t="s">
        <v>2242</v>
      </c>
      <c r="G126" s="3" t="s">
        <v>1294</v>
      </c>
      <c r="H126" s="3" t="s">
        <v>1294</v>
      </c>
      <c r="I126" s="3" t="s">
        <v>2243</v>
      </c>
      <c r="J126" s="3" t="s">
        <v>1294</v>
      </c>
    </row>
    <row r="127" spans="1:10" ht="25.5" x14ac:dyDescent="0.25">
      <c r="A127" s="2">
        <v>97</v>
      </c>
      <c r="B127" s="2" t="s">
        <v>337</v>
      </c>
      <c r="C127" s="3" t="s">
        <v>338</v>
      </c>
      <c r="D127" s="3" t="s">
        <v>1828</v>
      </c>
      <c r="E127" s="3" t="s">
        <v>2244</v>
      </c>
      <c r="F127" s="3" t="s">
        <v>2245</v>
      </c>
      <c r="G127" s="3" t="s">
        <v>1294</v>
      </c>
      <c r="H127" s="3" t="s">
        <v>1294</v>
      </c>
      <c r="I127" s="3" t="s">
        <v>2246</v>
      </c>
      <c r="J127" s="3" t="s">
        <v>1294</v>
      </c>
    </row>
    <row r="128" spans="1:10" ht="25.5" x14ac:dyDescent="0.25">
      <c r="A128" s="2">
        <v>96</v>
      </c>
      <c r="B128" s="2" t="s">
        <v>335</v>
      </c>
      <c r="C128" s="3" t="s">
        <v>336</v>
      </c>
      <c r="D128" s="3" t="s">
        <v>2247</v>
      </c>
      <c r="E128" s="3" t="s">
        <v>2248</v>
      </c>
      <c r="F128" s="3" t="s">
        <v>2249</v>
      </c>
      <c r="G128" s="3" t="s">
        <v>1294</v>
      </c>
      <c r="H128" s="3" t="s">
        <v>1294</v>
      </c>
      <c r="I128" s="3" t="s">
        <v>2250</v>
      </c>
      <c r="J128" s="3" t="s">
        <v>1294</v>
      </c>
    </row>
    <row r="129" spans="1:10" ht="25.5" x14ac:dyDescent="0.25">
      <c r="A129" s="2">
        <v>95</v>
      </c>
      <c r="B129" s="2" t="s">
        <v>333</v>
      </c>
      <c r="C129" s="3" t="s">
        <v>334</v>
      </c>
      <c r="D129" s="3" t="s">
        <v>2251</v>
      </c>
      <c r="E129" s="3" t="s">
        <v>2252</v>
      </c>
      <c r="F129" s="3" t="s">
        <v>2253</v>
      </c>
      <c r="G129" s="3" t="s">
        <v>1294</v>
      </c>
      <c r="H129" s="3" t="s">
        <v>1294</v>
      </c>
      <c r="I129" s="3" t="s">
        <v>2254</v>
      </c>
      <c r="J129" s="3" t="s">
        <v>1294</v>
      </c>
    </row>
    <row r="130" spans="1:10" ht="25.5" x14ac:dyDescent="0.25">
      <c r="A130" s="2">
        <v>94</v>
      </c>
      <c r="B130" s="2" t="s">
        <v>331</v>
      </c>
      <c r="C130" s="3" t="s">
        <v>332</v>
      </c>
      <c r="D130" s="3" t="s">
        <v>2255</v>
      </c>
      <c r="E130" s="3" t="s">
        <v>2256</v>
      </c>
      <c r="F130" s="3" t="s">
        <v>2257</v>
      </c>
      <c r="G130" s="3" t="s">
        <v>1294</v>
      </c>
      <c r="H130" s="3" t="s">
        <v>1294</v>
      </c>
      <c r="I130" s="3" t="s">
        <v>2258</v>
      </c>
      <c r="J130" s="3" t="s">
        <v>1294</v>
      </c>
    </row>
    <row r="131" spans="1:10" ht="25.5" x14ac:dyDescent="0.25">
      <c r="A131" s="2">
        <v>93</v>
      </c>
      <c r="B131" s="2" t="s">
        <v>329</v>
      </c>
      <c r="C131" s="3" t="s">
        <v>330</v>
      </c>
      <c r="D131" s="3" t="s">
        <v>2259</v>
      </c>
      <c r="E131" s="3" t="s">
        <v>2260</v>
      </c>
      <c r="F131" s="3" t="s">
        <v>2261</v>
      </c>
      <c r="G131" s="3" t="s">
        <v>1294</v>
      </c>
      <c r="H131" s="3" t="s">
        <v>1294</v>
      </c>
      <c r="I131" s="3" t="s">
        <v>2262</v>
      </c>
      <c r="J131" s="3" t="s">
        <v>1294</v>
      </c>
    </row>
    <row r="132" spans="1:10" ht="25.5" x14ac:dyDescent="0.25">
      <c r="A132" s="2">
        <v>92</v>
      </c>
      <c r="B132" s="2" t="s">
        <v>327</v>
      </c>
      <c r="C132" s="3" t="s">
        <v>328</v>
      </c>
      <c r="D132" s="3" t="s">
        <v>2263</v>
      </c>
      <c r="E132" s="3" t="s">
        <v>2264</v>
      </c>
      <c r="F132" s="3" t="s">
        <v>2265</v>
      </c>
      <c r="G132" s="3" t="s">
        <v>1294</v>
      </c>
      <c r="H132" s="3" t="s">
        <v>1294</v>
      </c>
      <c r="I132" s="3" t="s">
        <v>2266</v>
      </c>
      <c r="J132" s="3" t="s">
        <v>1294</v>
      </c>
    </row>
    <row r="133" spans="1:10" ht="25.5" x14ac:dyDescent="0.25">
      <c r="A133" s="2">
        <v>91</v>
      </c>
      <c r="B133" s="2" t="s">
        <v>325</v>
      </c>
      <c r="C133" s="3" t="s">
        <v>326</v>
      </c>
      <c r="D133" s="3" t="s">
        <v>2267</v>
      </c>
      <c r="E133" s="3" t="s">
        <v>2268</v>
      </c>
      <c r="F133" s="3" t="s">
        <v>2269</v>
      </c>
      <c r="G133" s="3" t="s">
        <v>1294</v>
      </c>
      <c r="H133" s="3" t="s">
        <v>1294</v>
      </c>
      <c r="I133" s="3" t="s">
        <v>2270</v>
      </c>
      <c r="J133" s="3" t="s">
        <v>1294</v>
      </c>
    </row>
    <row r="134" spans="1:10" ht="25.5" x14ac:dyDescent="0.25">
      <c r="A134" s="2">
        <v>90</v>
      </c>
      <c r="B134" s="2" t="s">
        <v>323</v>
      </c>
      <c r="C134" s="3" t="s">
        <v>324</v>
      </c>
      <c r="D134" s="3" t="s">
        <v>2271</v>
      </c>
      <c r="E134" s="3" t="s">
        <v>2272</v>
      </c>
      <c r="F134" s="3" t="s">
        <v>2273</v>
      </c>
      <c r="G134" s="3" t="s">
        <v>1294</v>
      </c>
      <c r="H134" s="3" t="s">
        <v>1294</v>
      </c>
      <c r="I134" s="3" t="s">
        <v>2274</v>
      </c>
      <c r="J134" s="3" t="s">
        <v>1294</v>
      </c>
    </row>
    <row r="135" spans="1:10" ht="25.5" x14ac:dyDescent="0.25">
      <c r="A135" s="2">
        <v>89</v>
      </c>
      <c r="B135" s="2" t="s">
        <v>321</v>
      </c>
      <c r="C135" s="3" t="s">
        <v>322</v>
      </c>
      <c r="D135" s="3" t="s">
        <v>2275</v>
      </c>
      <c r="E135" s="3" t="s">
        <v>2276</v>
      </c>
      <c r="F135" s="3" t="s">
        <v>2277</v>
      </c>
      <c r="G135" s="3" t="s">
        <v>1294</v>
      </c>
      <c r="H135" s="3" t="s">
        <v>1294</v>
      </c>
      <c r="I135" s="3" t="s">
        <v>2278</v>
      </c>
      <c r="J135" s="3" t="s">
        <v>1294</v>
      </c>
    </row>
    <row r="136" spans="1:10" ht="25.5" x14ac:dyDescent="0.25">
      <c r="A136" s="2">
        <v>88</v>
      </c>
      <c r="B136" s="2" t="s">
        <v>319</v>
      </c>
      <c r="C136" s="3" t="s">
        <v>320</v>
      </c>
      <c r="D136" s="3" t="s">
        <v>2279</v>
      </c>
      <c r="E136" s="3" t="s">
        <v>2280</v>
      </c>
      <c r="F136" s="3" t="s">
        <v>2281</v>
      </c>
      <c r="G136" s="3" t="s">
        <v>1294</v>
      </c>
      <c r="H136" s="3" t="s">
        <v>1294</v>
      </c>
      <c r="I136" s="3" t="s">
        <v>2282</v>
      </c>
      <c r="J136" s="3" t="s">
        <v>1294</v>
      </c>
    </row>
    <row r="137" spans="1:10" ht="25.5" x14ac:dyDescent="0.25">
      <c r="A137" s="2">
        <v>87</v>
      </c>
      <c r="B137" s="2" t="s">
        <v>317</v>
      </c>
      <c r="C137" s="3" t="s">
        <v>318</v>
      </c>
      <c r="D137" s="3" t="s">
        <v>2283</v>
      </c>
      <c r="E137" s="3" t="s">
        <v>2284</v>
      </c>
      <c r="F137" s="3" t="s">
        <v>2285</v>
      </c>
      <c r="G137" s="3" t="s">
        <v>1294</v>
      </c>
      <c r="H137" s="3" t="s">
        <v>1294</v>
      </c>
      <c r="I137" s="3" t="s">
        <v>2286</v>
      </c>
      <c r="J137" s="3" t="s">
        <v>1294</v>
      </c>
    </row>
    <row r="138" spans="1:10" ht="25.5" x14ac:dyDescent="0.25">
      <c r="A138" s="2">
        <v>86</v>
      </c>
      <c r="B138" s="2" t="s">
        <v>315</v>
      </c>
      <c r="C138" s="3" t="s">
        <v>316</v>
      </c>
      <c r="D138" s="3" t="s">
        <v>2287</v>
      </c>
      <c r="E138" s="3" t="s">
        <v>2288</v>
      </c>
      <c r="F138" s="3" t="s">
        <v>2289</v>
      </c>
      <c r="G138" s="3" t="s">
        <v>1294</v>
      </c>
      <c r="H138" s="3" t="s">
        <v>1294</v>
      </c>
      <c r="I138" s="3" t="s">
        <v>2290</v>
      </c>
      <c r="J138" s="3" t="s">
        <v>1294</v>
      </c>
    </row>
    <row r="139" spans="1:10" ht="25.5" x14ac:dyDescent="0.25">
      <c r="A139" s="2">
        <v>85</v>
      </c>
      <c r="B139" s="2" t="s">
        <v>313</v>
      </c>
      <c r="C139" s="3" t="s">
        <v>314</v>
      </c>
      <c r="D139" s="3" t="s">
        <v>2291</v>
      </c>
      <c r="E139" s="3" t="s">
        <v>2292</v>
      </c>
      <c r="F139" s="3" t="s">
        <v>2293</v>
      </c>
      <c r="G139" s="3" t="s">
        <v>1294</v>
      </c>
      <c r="H139" s="3" t="s">
        <v>1294</v>
      </c>
      <c r="I139" s="3" t="s">
        <v>2294</v>
      </c>
      <c r="J139" s="3" t="s">
        <v>1294</v>
      </c>
    </row>
    <row r="140" spans="1:10" ht="25.5" x14ac:dyDescent="0.25">
      <c r="A140" s="2">
        <v>84</v>
      </c>
      <c r="B140" s="2" t="s">
        <v>311</v>
      </c>
      <c r="C140" s="3" t="s">
        <v>312</v>
      </c>
      <c r="D140" s="3" t="s">
        <v>2295</v>
      </c>
      <c r="E140" s="3" t="s">
        <v>2296</v>
      </c>
      <c r="F140" s="3" t="s">
        <v>2297</v>
      </c>
      <c r="G140" s="3" t="s">
        <v>1294</v>
      </c>
      <c r="H140" s="3" t="s">
        <v>1294</v>
      </c>
      <c r="I140" s="3" t="s">
        <v>2298</v>
      </c>
      <c r="J140" s="3" t="s">
        <v>1294</v>
      </c>
    </row>
    <row r="141" spans="1:10" ht="25.5" x14ac:dyDescent="0.25">
      <c r="A141" s="2">
        <v>83</v>
      </c>
      <c r="B141" s="2" t="s">
        <v>309</v>
      </c>
      <c r="C141" s="3" t="s">
        <v>310</v>
      </c>
      <c r="D141" s="3" t="s">
        <v>2299</v>
      </c>
      <c r="E141" s="3" t="s">
        <v>2300</v>
      </c>
      <c r="F141" s="3" t="s">
        <v>2301</v>
      </c>
      <c r="G141" s="3" t="s">
        <v>1294</v>
      </c>
      <c r="H141" s="3" t="s">
        <v>1294</v>
      </c>
      <c r="I141" s="3" t="s">
        <v>2302</v>
      </c>
      <c r="J141" s="3" t="s">
        <v>1294</v>
      </c>
    </row>
    <row r="142" spans="1:10" ht="25.5" x14ac:dyDescent="0.25">
      <c r="A142" s="2">
        <v>82</v>
      </c>
      <c r="B142" s="2" t="s">
        <v>307</v>
      </c>
      <c r="C142" s="3" t="s">
        <v>308</v>
      </c>
      <c r="D142" s="3" t="s">
        <v>2303</v>
      </c>
      <c r="E142" s="3" t="s">
        <v>2304</v>
      </c>
      <c r="F142" s="3" t="s">
        <v>2305</v>
      </c>
      <c r="G142" s="3" t="s">
        <v>1294</v>
      </c>
      <c r="H142" s="3" t="s">
        <v>1294</v>
      </c>
      <c r="I142" s="3" t="s">
        <v>2306</v>
      </c>
      <c r="J142" s="3" t="s">
        <v>1294</v>
      </c>
    </row>
    <row r="143" spans="1:10" ht="25.5" x14ac:dyDescent="0.25">
      <c r="A143" s="2">
        <v>81</v>
      </c>
      <c r="B143" s="2" t="s">
        <v>305</v>
      </c>
      <c r="C143" s="3" t="s">
        <v>306</v>
      </c>
      <c r="D143" s="3" t="s">
        <v>2307</v>
      </c>
      <c r="E143" s="3" t="s">
        <v>2308</v>
      </c>
      <c r="F143" s="3" t="s">
        <v>2309</v>
      </c>
      <c r="G143" s="3" t="s">
        <v>1294</v>
      </c>
      <c r="H143" s="3" t="s">
        <v>1294</v>
      </c>
      <c r="I143" s="3" t="s">
        <v>2310</v>
      </c>
      <c r="J143" s="3" t="s">
        <v>1294</v>
      </c>
    </row>
    <row r="144" spans="1:10" ht="25.5" x14ac:dyDescent="0.25">
      <c r="A144" s="2">
        <v>80</v>
      </c>
      <c r="B144" s="2" t="s">
        <v>303</v>
      </c>
      <c r="C144" s="3" t="s">
        <v>304</v>
      </c>
      <c r="D144" s="3" t="s">
        <v>2311</v>
      </c>
      <c r="E144" s="3" t="s">
        <v>2312</v>
      </c>
      <c r="F144" s="3" t="s">
        <v>2313</v>
      </c>
      <c r="G144" s="3" t="s">
        <v>1294</v>
      </c>
      <c r="H144" s="3" t="s">
        <v>1294</v>
      </c>
      <c r="I144" s="3" t="s">
        <v>2314</v>
      </c>
      <c r="J144" s="3" t="s">
        <v>1294</v>
      </c>
    </row>
    <row r="145" spans="1:10" ht="25.5" x14ac:dyDescent="0.25">
      <c r="A145" s="2">
        <v>79</v>
      </c>
      <c r="B145" s="2" t="s">
        <v>301</v>
      </c>
      <c r="C145" s="3" t="s">
        <v>302</v>
      </c>
      <c r="D145" s="3" t="s">
        <v>2315</v>
      </c>
      <c r="E145" s="3" t="s">
        <v>2316</v>
      </c>
      <c r="F145" s="3" t="s">
        <v>2317</v>
      </c>
      <c r="G145" s="3" t="s">
        <v>1294</v>
      </c>
      <c r="H145" s="3" t="s">
        <v>1294</v>
      </c>
      <c r="I145" s="3" t="s">
        <v>2318</v>
      </c>
      <c r="J145" s="3" t="s">
        <v>1294</v>
      </c>
    </row>
    <row r="146" spans="1:10" ht="25.5" x14ac:dyDescent="0.25">
      <c r="A146" s="2">
        <v>78</v>
      </c>
      <c r="B146" s="2" t="s">
        <v>299</v>
      </c>
      <c r="C146" s="3" t="s">
        <v>300</v>
      </c>
      <c r="D146" s="3" t="s">
        <v>2319</v>
      </c>
      <c r="E146" s="3" t="s">
        <v>2320</v>
      </c>
      <c r="F146" s="3" t="s">
        <v>2321</v>
      </c>
      <c r="G146" s="3" t="s">
        <v>1294</v>
      </c>
      <c r="H146" s="3" t="s">
        <v>1294</v>
      </c>
      <c r="I146" s="3" t="s">
        <v>2322</v>
      </c>
      <c r="J146" s="3" t="s">
        <v>1294</v>
      </c>
    </row>
    <row r="147" spans="1:10" ht="25.5" x14ac:dyDescent="0.25">
      <c r="A147" s="2">
        <v>77</v>
      </c>
      <c r="B147" s="2" t="s">
        <v>297</v>
      </c>
      <c r="C147" s="3" t="s">
        <v>298</v>
      </c>
      <c r="D147" s="3" t="s">
        <v>2323</v>
      </c>
      <c r="E147" s="3" t="s">
        <v>2324</v>
      </c>
      <c r="F147" s="3" t="s">
        <v>2325</v>
      </c>
      <c r="G147" s="3" t="s">
        <v>1294</v>
      </c>
      <c r="H147" s="3" t="s">
        <v>1294</v>
      </c>
      <c r="I147" s="3" t="s">
        <v>2326</v>
      </c>
      <c r="J147" s="3" t="s">
        <v>1294</v>
      </c>
    </row>
    <row r="148" spans="1:10" ht="25.5" x14ac:dyDescent="0.25">
      <c r="A148" s="2">
        <v>76</v>
      </c>
      <c r="B148" s="2" t="s">
        <v>295</v>
      </c>
      <c r="C148" s="3" t="s">
        <v>296</v>
      </c>
      <c r="D148" s="3" t="s">
        <v>2327</v>
      </c>
      <c r="E148" s="3" t="s">
        <v>2328</v>
      </c>
      <c r="F148" s="3" t="s">
        <v>2329</v>
      </c>
      <c r="G148" s="3" t="s">
        <v>1294</v>
      </c>
      <c r="H148" s="3" t="s">
        <v>1294</v>
      </c>
      <c r="I148" s="3" t="s">
        <v>2330</v>
      </c>
      <c r="J148" s="3" t="s">
        <v>1294</v>
      </c>
    </row>
    <row r="149" spans="1:10" ht="25.5" x14ac:dyDescent="0.25">
      <c r="A149" s="2">
        <v>75</v>
      </c>
      <c r="B149" s="2" t="s">
        <v>293</v>
      </c>
      <c r="C149" s="3" t="s">
        <v>294</v>
      </c>
      <c r="D149" s="3" t="s">
        <v>2331</v>
      </c>
      <c r="E149" s="3" t="s">
        <v>2332</v>
      </c>
      <c r="F149" s="3" t="s">
        <v>2333</v>
      </c>
      <c r="G149" s="3" t="s">
        <v>1294</v>
      </c>
      <c r="H149" s="3" t="s">
        <v>1822</v>
      </c>
      <c r="I149" s="3" t="s">
        <v>2334</v>
      </c>
      <c r="J149" s="3" t="s">
        <v>1294</v>
      </c>
    </row>
    <row r="150" spans="1:10" ht="25.5" x14ac:dyDescent="0.25">
      <c r="A150" s="2">
        <v>74</v>
      </c>
      <c r="B150" s="2" t="s">
        <v>291</v>
      </c>
      <c r="C150" s="3" t="s">
        <v>292</v>
      </c>
      <c r="D150" s="3" t="s">
        <v>2335</v>
      </c>
      <c r="E150" s="3" t="s">
        <v>2336</v>
      </c>
      <c r="F150" s="3" t="s">
        <v>2337</v>
      </c>
      <c r="G150" s="3" t="s">
        <v>2085</v>
      </c>
      <c r="H150" s="3" t="s">
        <v>1822</v>
      </c>
      <c r="I150" s="3" t="s">
        <v>2338</v>
      </c>
      <c r="J150" s="3" t="s">
        <v>1294</v>
      </c>
    </row>
    <row r="151" spans="1:10" ht="25.5" x14ac:dyDescent="0.25">
      <c r="A151" s="2">
        <v>73</v>
      </c>
      <c r="B151" s="2" t="s">
        <v>289</v>
      </c>
      <c r="C151" s="3" t="s">
        <v>290</v>
      </c>
      <c r="D151" s="3" t="s">
        <v>2339</v>
      </c>
      <c r="E151" s="3" t="s">
        <v>2340</v>
      </c>
      <c r="F151" s="3" t="s">
        <v>2341</v>
      </c>
      <c r="G151" s="3" t="s">
        <v>1294</v>
      </c>
      <c r="H151" s="3" t="s">
        <v>1294</v>
      </c>
      <c r="I151" s="3" t="s">
        <v>2342</v>
      </c>
      <c r="J151" s="3" t="s">
        <v>1294</v>
      </c>
    </row>
    <row r="152" spans="1:10" ht="25.5" x14ac:dyDescent="0.25">
      <c r="A152" s="2">
        <v>72</v>
      </c>
      <c r="B152" s="2" t="s">
        <v>287</v>
      </c>
      <c r="C152" s="3" t="s">
        <v>288</v>
      </c>
      <c r="D152" s="3" t="s">
        <v>2343</v>
      </c>
      <c r="E152" s="3" t="s">
        <v>2344</v>
      </c>
      <c r="F152" s="3" t="s">
        <v>2345</v>
      </c>
      <c r="G152" s="3" t="s">
        <v>1294</v>
      </c>
      <c r="H152" s="3" t="s">
        <v>1294</v>
      </c>
      <c r="I152" s="3" t="s">
        <v>2346</v>
      </c>
      <c r="J152" s="3" t="s">
        <v>1294</v>
      </c>
    </row>
    <row r="153" spans="1:10" ht="25.5" x14ac:dyDescent="0.25">
      <c r="A153" s="2">
        <v>71</v>
      </c>
      <c r="B153" s="2" t="s">
        <v>285</v>
      </c>
      <c r="C153" s="3" t="s">
        <v>286</v>
      </c>
      <c r="D153" s="3" t="s">
        <v>2347</v>
      </c>
      <c r="E153" s="3" t="s">
        <v>2348</v>
      </c>
      <c r="F153" s="3" t="s">
        <v>2349</v>
      </c>
      <c r="G153" s="3" t="s">
        <v>1294</v>
      </c>
      <c r="H153" s="3" t="s">
        <v>1294</v>
      </c>
      <c r="I153" s="3" t="s">
        <v>2350</v>
      </c>
      <c r="J153" s="3" t="s">
        <v>1294</v>
      </c>
    </row>
    <row r="154" spans="1:10" ht="25.5" x14ac:dyDescent="0.25">
      <c r="A154" s="2">
        <v>70</v>
      </c>
      <c r="B154" s="2" t="s">
        <v>283</v>
      </c>
      <c r="C154" s="3" t="s">
        <v>284</v>
      </c>
      <c r="D154" s="3" t="s">
        <v>2351</v>
      </c>
      <c r="E154" s="3" t="s">
        <v>2352</v>
      </c>
      <c r="F154" s="3" t="s">
        <v>2353</v>
      </c>
      <c r="G154" s="3" t="s">
        <v>1294</v>
      </c>
      <c r="H154" s="3" t="s">
        <v>1294</v>
      </c>
      <c r="I154" s="3" t="s">
        <v>2354</v>
      </c>
      <c r="J154" s="3" t="s">
        <v>1294</v>
      </c>
    </row>
    <row r="155" spans="1:10" ht="25.5" x14ac:dyDescent="0.25">
      <c r="A155" s="2">
        <v>69</v>
      </c>
      <c r="B155" s="2" t="s">
        <v>281</v>
      </c>
      <c r="C155" s="3" t="s">
        <v>282</v>
      </c>
      <c r="D155" s="3" t="s">
        <v>2355</v>
      </c>
      <c r="E155" s="3" t="s">
        <v>2356</v>
      </c>
      <c r="F155" s="3" t="s">
        <v>2357</v>
      </c>
      <c r="G155" s="3" t="s">
        <v>1294</v>
      </c>
      <c r="H155" s="3" t="s">
        <v>1294</v>
      </c>
      <c r="I155" s="3" t="s">
        <v>2358</v>
      </c>
      <c r="J155" s="3" t="s">
        <v>1294</v>
      </c>
    </row>
    <row r="156" spans="1:10" ht="25.5" x14ac:dyDescent="0.25">
      <c r="A156" s="2">
        <v>68</v>
      </c>
      <c r="B156" s="2" t="s">
        <v>279</v>
      </c>
      <c r="C156" s="3" t="s">
        <v>280</v>
      </c>
      <c r="D156" s="3" t="s">
        <v>2359</v>
      </c>
      <c r="E156" s="3" t="s">
        <v>2360</v>
      </c>
      <c r="F156" s="3" t="s">
        <v>2361</v>
      </c>
      <c r="G156" s="3" t="s">
        <v>1294</v>
      </c>
      <c r="H156" s="3" t="s">
        <v>1294</v>
      </c>
      <c r="I156" s="3" t="s">
        <v>2362</v>
      </c>
      <c r="J156" s="3" t="s">
        <v>1294</v>
      </c>
    </row>
    <row r="157" spans="1:10" ht="25.5" x14ac:dyDescent="0.25">
      <c r="A157" s="2">
        <v>67</v>
      </c>
      <c r="B157" s="2" t="s">
        <v>277</v>
      </c>
      <c r="C157" s="3" t="s">
        <v>278</v>
      </c>
      <c r="D157" s="3" t="s">
        <v>2363</v>
      </c>
      <c r="E157" s="3" t="s">
        <v>2364</v>
      </c>
      <c r="F157" s="3" t="s">
        <v>2365</v>
      </c>
      <c r="G157" s="3" t="s">
        <v>1294</v>
      </c>
      <c r="H157" s="3" t="s">
        <v>1294</v>
      </c>
      <c r="I157" s="3" t="s">
        <v>2366</v>
      </c>
      <c r="J157" s="3" t="s">
        <v>1294</v>
      </c>
    </row>
    <row r="158" spans="1:10" ht="25.5" x14ac:dyDescent="0.25">
      <c r="A158" s="2">
        <v>66</v>
      </c>
      <c r="B158" s="2" t="s">
        <v>275</v>
      </c>
      <c r="C158" s="3" t="s">
        <v>276</v>
      </c>
      <c r="D158" s="3" t="s">
        <v>2335</v>
      </c>
      <c r="E158" s="3" t="s">
        <v>2367</v>
      </c>
      <c r="F158" s="3" t="s">
        <v>2368</v>
      </c>
      <c r="G158" s="3" t="s">
        <v>1294</v>
      </c>
      <c r="H158" s="3" t="s">
        <v>1294</v>
      </c>
      <c r="I158" s="3" t="s">
        <v>2369</v>
      </c>
      <c r="J158" s="3" t="s">
        <v>1294</v>
      </c>
    </row>
    <row r="159" spans="1:10" ht="25.5" x14ac:dyDescent="0.25">
      <c r="A159" s="2">
        <v>65</v>
      </c>
      <c r="B159" s="2" t="s">
        <v>273</v>
      </c>
      <c r="C159" s="3" t="s">
        <v>274</v>
      </c>
      <c r="D159" s="3" t="s">
        <v>2370</v>
      </c>
      <c r="E159" s="3" t="s">
        <v>2371</v>
      </c>
      <c r="F159" s="3" t="s">
        <v>2372</v>
      </c>
      <c r="G159" s="3" t="s">
        <v>1294</v>
      </c>
      <c r="H159" s="3" t="s">
        <v>1822</v>
      </c>
      <c r="I159" s="3" t="s">
        <v>2373</v>
      </c>
      <c r="J159" s="3" t="s">
        <v>1294</v>
      </c>
    </row>
    <row r="160" spans="1:10" ht="25.5" x14ac:dyDescent="0.25">
      <c r="A160" s="2">
        <v>64</v>
      </c>
      <c r="B160" s="2" t="s">
        <v>271</v>
      </c>
      <c r="C160" s="3" t="s">
        <v>272</v>
      </c>
      <c r="D160" s="3" t="s">
        <v>2374</v>
      </c>
      <c r="E160" s="3" t="s">
        <v>2375</v>
      </c>
      <c r="F160" s="3" t="s">
        <v>2376</v>
      </c>
      <c r="G160" s="3" t="s">
        <v>1294</v>
      </c>
      <c r="H160" s="3" t="s">
        <v>1294</v>
      </c>
      <c r="I160" s="3" t="s">
        <v>2377</v>
      </c>
      <c r="J160" s="3" t="s">
        <v>1294</v>
      </c>
    </row>
    <row r="161" spans="1:10" ht="25.5" x14ac:dyDescent="0.25">
      <c r="A161" s="2">
        <v>63</v>
      </c>
      <c r="B161" s="2" t="s">
        <v>269</v>
      </c>
      <c r="C161" s="3" t="s">
        <v>270</v>
      </c>
      <c r="D161" s="3" t="s">
        <v>2378</v>
      </c>
      <c r="E161" s="3" t="s">
        <v>2379</v>
      </c>
      <c r="F161" s="3" t="s">
        <v>2380</v>
      </c>
      <c r="G161" s="3" t="s">
        <v>1294</v>
      </c>
      <c r="H161" s="3" t="s">
        <v>1294</v>
      </c>
      <c r="I161" s="3" t="s">
        <v>2381</v>
      </c>
      <c r="J161" s="3" t="s">
        <v>1294</v>
      </c>
    </row>
    <row r="162" spans="1:10" ht="25.5" x14ac:dyDescent="0.25">
      <c r="A162" s="2">
        <v>62</v>
      </c>
      <c r="B162" s="2" t="s">
        <v>267</v>
      </c>
      <c r="C162" s="3" t="s">
        <v>268</v>
      </c>
      <c r="D162" s="3" t="s">
        <v>2382</v>
      </c>
      <c r="E162" s="3" t="s">
        <v>2383</v>
      </c>
      <c r="F162" s="3" t="s">
        <v>2384</v>
      </c>
      <c r="G162" s="3" t="s">
        <v>1294</v>
      </c>
      <c r="H162" s="3" t="s">
        <v>1294</v>
      </c>
      <c r="I162" s="3" t="s">
        <v>2385</v>
      </c>
      <c r="J162" s="3" t="s">
        <v>1294</v>
      </c>
    </row>
    <row r="163" spans="1:10" ht="25.5" x14ac:dyDescent="0.25">
      <c r="A163" s="2">
        <v>61</v>
      </c>
      <c r="B163" s="2" t="s">
        <v>265</v>
      </c>
      <c r="C163" s="3" t="s">
        <v>266</v>
      </c>
      <c r="D163" s="3" t="s">
        <v>2386</v>
      </c>
      <c r="E163" s="3" t="s">
        <v>2387</v>
      </c>
      <c r="F163" s="3" t="s">
        <v>2388</v>
      </c>
      <c r="G163" s="3" t="s">
        <v>1294</v>
      </c>
      <c r="H163" s="3" t="s">
        <v>1294</v>
      </c>
      <c r="I163" s="3" t="s">
        <v>2389</v>
      </c>
      <c r="J163" s="3" t="s">
        <v>1294</v>
      </c>
    </row>
    <row r="164" spans="1:10" ht="25.5" x14ac:dyDescent="0.25">
      <c r="A164" s="2">
        <v>60</v>
      </c>
      <c r="B164" s="2" t="s">
        <v>263</v>
      </c>
      <c r="C164" s="3" t="s">
        <v>264</v>
      </c>
      <c r="D164" s="3" t="s">
        <v>2390</v>
      </c>
      <c r="E164" s="3" t="s">
        <v>2391</v>
      </c>
      <c r="F164" s="3" t="s">
        <v>2392</v>
      </c>
      <c r="G164" s="3" t="s">
        <v>1294</v>
      </c>
      <c r="H164" s="3" t="s">
        <v>1294</v>
      </c>
      <c r="I164" s="3" t="s">
        <v>2393</v>
      </c>
      <c r="J164" s="3" t="s">
        <v>1294</v>
      </c>
    </row>
    <row r="165" spans="1:10" ht="25.5" x14ac:dyDescent="0.25">
      <c r="A165" s="2">
        <v>59</v>
      </c>
      <c r="B165" s="2" t="s">
        <v>261</v>
      </c>
      <c r="C165" s="3" t="s">
        <v>262</v>
      </c>
      <c r="D165" s="3" t="s">
        <v>2394</v>
      </c>
      <c r="E165" s="3" t="s">
        <v>2395</v>
      </c>
      <c r="F165" s="3" t="s">
        <v>2396</v>
      </c>
      <c r="G165" s="3" t="s">
        <v>1294</v>
      </c>
      <c r="H165" s="3" t="s">
        <v>1294</v>
      </c>
      <c r="I165" s="3" t="s">
        <v>2397</v>
      </c>
      <c r="J165" s="3" t="s">
        <v>1294</v>
      </c>
    </row>
    <row r="166" spans="1:10" ht="25.5" x14ac:dyDescent="0.25">
      <c r="A166" s="2">
        <v>58</v>
      </c>
      <c r="B166" s="2" t="s">
        <v>259</v>
      </c>
      <c r="C166" s="3" t="s">
        <v>260</v>
      </c>
      <c r="D166" s="3" t="s">
        <v>2398</v>
      </c>
      <c r="E166" s="3" t="s">
        <v>2399</v>
      </c>
      <c r="F166" s="3" t="s">
        <v>2400</v>
      </c>
      <c r="G166" s="3" t="s">
        <v>1294</v>
      </c>
      <c r="H166" s="3" t="s">
        <v>1294</v>
      </c>
      <c r="I166" s="3" t="s">
        <v>2401</v>
      </c>
      <c r="J166" s="3" t="s">
        <v>1294</v>
      </c>
    </row>
    <row r="167" spans="1:10" ht="25.5" x14ac:dyDescent="0.25">
      <c r="A167" s="2">
        <v>57</v>
      </c>
      <c r="B167" s="2" t="s">
        <v>257</v>
      </c>
      <c r="C167" s="3" t="s">
        <v>258</v>
      </c>
      <c r="D167" s="3" t="s">
        <v>2402</v>
      </c>
      <c r="E167" s="3" t="s">
        <v>2403</v>
      </c>
      <c r="F167" s="3" t="s">
        <v>2404</v>
      </c>
      <c r="G167" s="3" t="s">
        <v>1294</v>
      </c>
      <c r="H167" s="3" t="s">
        <v>1294</v>
      </c>
      <c r="I167" s="3" t="s">
        <v>2405</v>
      </c>
      <c r="J167" s="3" t="s">
        <v>1294</v>
      </c>
    </row>
    <row r="168" spans="1:10" ht="25.5" x14ac:dyDescent="0.25">
      <c r="A168" s="2">
        <v>56</v>
      </c>
      <c r="B168" s="2" t="s">
        <v>255</v>
      </c>
      <c r="C168" s="3" t="s">
        <v>256</v>
      </c>
      <c r="D168" s="3" t="s">
        <v>1691</v>
      </c>
      <c r="E168" s="3" t="s">
        <v>2406</v>
      </c>
      <c r="F168" s="3" t="s">
        <v>2407</v>
      </c>
      <c r="G168" s="3" t="s">
        <v>1294</v>
      </c>
      <c r="H168" s="3" t="s">
        <v>1294</v>
      </c>
      <c r="I168" s="3" t="s">
        <v>2408</v>
      </c>
      <c r="J168" s="3" t="s">
        <v>1294</v>
      </c>
    </row>
    <row r="169" spans="1:10" ht="25.5" x14ac:dyDescent="0.25">
      <c r="A169" s="2">
        <v>55</v>
      </c>
      <c r="B169" s="2" t="s">
        <v>253</v>
      </c>
      <c r="C169" s="3" t="s">
        <v>254</v>
      </c>
      <c r="D169" s="3" t="s">
        <v>2409</v>
      </c>
      <c r="E169" s="3" t="s">
        <v>2410</v>
      </c>
      <c r="F169" s="3" t="s">
        <v>2411</v>
      </c>
      <c r="G169" s="3" t="s">
        <v>1294</v>
      </c>
      <c r="H169" s="3" t="s">
        <v>1294</v>
      </c>
      <c r="I169" s="3" t="s">
        <v>2412</v>
      </c>
      <c r="J169" s="3" t="s">
        <v>1294</v>
      </c>
    </row>
    <row r="170" spans="1:10" ht="25.5" x14ac:dyDescent="0.25">
      <c r="A170" s="2">
        <v>54</v>
      </c>
      <c r="B170" s="2" t="s">
        <v>251</v>
      </c>
      <c r="C170" s="3" t="s">
        <v>252</v>
      </c>
      <c r="D170" s="3" t="s">
        <v>2413</v>
      </c>
      <c r="E170" s="3" t="s">
        <v>2414</v>
      </c>
      <c r="F170" s="3" t="s">
        <v>2415</v>
      </c>
      <c r="G170" s="3" t="s">
        <v>1294</v>
      </c>
      <c r="H170" s="3" t="s">
        <v>1294</v>
      </c>
      <c r="I170" s="3" t="s">
        <v>2416</v>
      </c>
      <c r="J170" s="3" t="s">
        <v>1294</v>
      </c>
    </row>
    <row r="171" spans="1:10" ht="25.5" x14ac:dyDescent="0.25">
      <c r="A171" s="2">
        <v>53</v>
      </c>
      <c r="B171" s="2" t="s">
        <v>249</v>
      </c>
      <c r="C171" s="3" t="s">
        <v>250</v>
      </c>
      <c r="D171" s="3" t="s">
        <v>1702</v>
      </c>
      <c r="E171" s="3" t="s">
        <v>2417</v>
      </c>
      <c r="F171" s="3" t="s">
        <v>2418</v>
      </c>
      <c r="G171" s="3" t="s">
        <v>1294</v>
      </c>
      <c r="H171" s="3" t="s">
        <v>1294</v>
      </c>
      <c r="I171" s="3" t="s">
        <v>2419</v>
      </c>
      <c r="J171" s="3" t="s">
        <v>1294</v>
      </c>
    </row>
    <row r="172" spans="1:10" ht="25.5" x14ac:dyDescent="0.25">
      <c r="A172" s="2">
        <v>52</v>
      </c>
      <c r="B172" s="2" t="s">
        <v>247</v>
      </c>
      <c r="C172" s="3" t="s">
        <v>248</v>
      </c>
      <c r="D172" s="3" t="s">
        <v>2420</v>
      </c>
      <c r="E172" s="3" t="s">
        <v>2421</v>
      </c>
      <c r="F172" s="3" t="s">
        <v>2422</v>
      </c>
      <c r="G172" s="3" t="s">
        <v>1294</v>
      </c>
      <c r="H172" s="3" t="s">
        <v>1294</v>
      </c>
      <c r="I172" s="3" t="s">
        <v>2423</v>
      </c>
      <c r="J172" s="3" t="s">
        <v>1294</v>
      </c>
    </row>
    <row r="173" spans="1:10" ht="25.5" x14ac:dyDescent="0.25">
      <c r="A173" s="2">
        <v>51</v>
      </c>
      <c r="B173" s="2" t="s">
        <v>245</v>
      </c>
      <c r="C173" s="3" t="s">
        <v>246</v>
      </c>
      <c r="D173" s="3" t="s">
        <v>2424</v>
      </c>
      <c r="E173" s="3" t="s">
        <v>2425</v>
      </c>
      <c r="F173" s="3" t="s">
        <v>2426</v>
      </c>
      <c r="G173" s="3" t="s">
        <v>1294</v>
      </c>
      <c r="H173" s="3" t="s">
        <v>1294</v>
      </c>
      <c r="I173" s="3" t="s">
        <v>2427</v>
      </c>
      <c r="J173" s="3" t="s">
        <v>1294</v>
      </c>
    </row>
    <row r="174" spans="1:10" ht="25.5" x14ac:dyDescent="0.25">
      <c r="A174" s="2">
        <v>50</v>
      </c>
      <c r="B174" s="2" t="s">
        <v>243</v>
      </c>
      <c r="C174" s="3" t="s">
        <v>244</v>
      </c>
      <c r="D174" s="3" t="s">
        <v>2428</v>
      </c>
      <c r="E174" s="3" t="s">
        <v>2429</v>
      </c>
      <c r="F174" s="3" t="s">
        <v>2430</v>
      </c>
      <c r="G174" s="3" t="s">
        <v>1294</v>
      </c>
      <c r="H174" s="3" t="s">
        <v>1294</v>
      </c>
      <c r="I174" s="3" t="s">
        <v>2431</v>
      </c>
      <c r="J174" s="3" t="s">
        <v>1294</v>
      </c>
    </row>
    <row r="175" spans="1:10" ht="25.5" x14ac:dyDescent="0.25">
      <c r="A175" s="2">
        <v>49</v>
      </c>
      <c r="B175" s="2" t="s">
        <v>241</v>
      </c>
      <c r="C175" s="3" t="s">
        <v>242</v>
      </c>
      <c r="D175" s="3" t="s">
        <v>2432</v>
      </c>
      <c r="E175" s="3" t="s">
        <v>2433</v>
      </c>
      <c r="F175" s="3" t="s">
        <v>2434</v>
      </c>
      <c r="G175" s="3" t="s">
        <v>1294</v>
      </c>
      <c r="H175" s="3" t="s">
        <v>1294</v>
      </c>
      <c r="I175" s="3" t="s">
        <v>2435</v>
      </c>
      <c r="J175" s="3" t="s">
        <v>1294</v>
      </c>
    </row>
    <row r="176" spans="1:10" ht="25.5" x14ac:dyDescent="0.25">
      <c r="A176" s="2">
        <v>48</v>
      </c>
      <c r="B176" s="2" t="s">
        <v>239</v>
      </c>
      <c r="C176" s="3" t="s">
        <v>240</v>
      </c>
      <c r="D176" s="3" t="s">
        <v>2156</v>
      </c>
      <c r="E176" s="3" t="s">
        <v>2436</v>
      </c>
      <c r="F176" s="3" t="s">
        <v>2437</v>
      </c>
      <c r="G176" s="3" t="s">
        <v>1294</v>
      </c>
      <c r="H176" s="3" t="s">
        <v>1294</v>
      </c>
      <c r="I176" s="3" t="s">
        <v>2438</v>
      </c>
      <c r="J176" s="3" t="s">
        <v>1294</v>
      </c>
    </row>
    <row r="177" spans="1:10" ht="25.5" x14ac:dyDescent="0.25">
      <c r="A177" s="2">
        <v>47</v>
      </c>
      <c r="B177" s="2" t="s">
        <v>237</v>
      </c>
      <c r="C177" s="3" t="s">
        <v>238</v>
      </c>
      <c r="D177" s="3" t="s">
        <v>2439</v>
      </c>
      <c r="E177" s="3" t="s">
        <v>2440</v>
      </c>
      <c r="F177" s="3" t="s">
        <v>2441</v>
      </c>
      <c r="G177" s="3" t="s">
        <v>1294</v>
      </c>
      <c r="H177" s="3" t="s">
        <v>1294</v>
      </c>
      <c r="I177" s="3" t="s">
        <v>2442</v>
      </c>
      <c r="J177" s="3" t="s">
        <v>1294</v>
      </c>
    </row>
    <row r="178" spans="1:10" ht="25.5" x14ac:dyDescent="0.25">
      <c r="A178" s="2">
        <v>46</v>
      </c>
      <c r="B178" s="2" t="s">
        <v>235</v>
      </c>
      <c r="C178" s="3" t="s">
        <v>236</v>
      </c>
      <c r="D178" s="3" t="s">
        <v>2443</v>
      </c>
      <c r="E178" s="3" t="s">
        <v>2444</v>
      </c>
      <c r="F178" s="3" t="s">
        <v>2445</v>
      </c>
      <c r="G178" s="3" t="s">
        <v>1294</v>
      </c>
      <c r="H178" s="3" t="s">
        <v>1294</v>
      </c>
      <c r="I178" s="3" t="s">
        <v>2446</v>
      </c>
      <c r="J178" s="3" t="s">
        <v>1294</v>
      </c>
    </row>
    <row r="179" spans="1:10" ht="25.5" x14ac:dyDescent="0.25">
      <c r="A179" s="2">
        <v>45</v>
      </c>
      <c r="B179" s="2" t="s">
        <v>233</v>
      </c>
      <c r="C179" s="3" t="s">
        <v>234</v>
      </c>
      <c r="D179" s="3" t="s">
        <v>2447</v>
      </c>
      <c r="E179" s="3" t="s">
        <v>2448</v>
      </c>
      <c r="F179" s="3" t="s">
        <v>2449</v>
      </c>
      <c r="G179" s="3" t="s">
        <v>1294</v>
      </c>
      <c r="H179" s="3" t="s">
        <v>1822</v>
      </c>
      <c r="I179" s="3" t="s">
        <v>2450</v>
      </c>
      <c r="J179" s="3" t="s">
        <v>1294</v>
      </c>
    </row>
    <row r="180" spans="1:10" ht="25.5" x14ac:dyDescent="0.25">
      <c r="A180" s="2">
        <v>44</v>
      </c>
      <c r="B180" s="2" t="s">
        <v>231</v>
      </c>
      <c r="C180" s="3" t="s">
        <v>232</v>
      </c>
      <c r="D180" s="3" t="s">
        <v>2451</v>
      </c>
      <c r="E180" s="3" t="s">
        <v>2452</v>
      </c>
      <c r="F180" s="3" t="s">
        <v>2453</v>
      </c>
      <c r="G180" s="3" t="s">
        <v>1294</v>
      </c>
      <c r="H180" s="3" t="s">
        <v>1294</v>
      </c>
      <c r="I180" s="3" t="s">
        <v>2454</v>
      </c>
      <c r="J180" s="3" t="s">
        <v>1294</v>
      </c>
    </row>
    <row r="181" spans="1:10" ht="25.5" x14ac:dyDescent="0.25">
      <c r="A181" s="2">
        <v>43</v>
      </c>
      <c r="B181" s="2" t="s">
        <v>229</v>
      </c>
      <c r="C181" s="3" t="s">
        <v>230</v>
      </c>
      <c r="D181" s="3" t="s">
        <v>2455</v>
      </c>
      <c r="E181" s="3" t="s">
        <v>2456</v>
      </c>
      <c r="F181" s="3" t="s">
        <v>2457</v>
      </c>
      <c r="G181" s="3" t="s">
        <v>2085</v>
      </c>
      <c r="H181" s="3" t="s">
        <v>1822</v>
      </c>
      <c r="I181" s="3" t="s">
        <v>2458</v>
      </c>
      <c r="J181" s="3" t="s">
        <v>1294</v>
      </c>
    </row>
    <row r="182" spans="1:10" ht="25.5" x14ac:dyDescent="0.25">
      <c r="A182" s="2">
        <v>42</v>
      </c>
      <c r="B182" s="2" t="s">
        <v>227</v>
      </c>
      <c r="C182" s="3" t="s">
        <v>228</v>
      </c>
      <c r="D182" s="3" t="s">
        <v>2459</v>
      </c>
      <c r="E182" s="3" t="s">
        <v>2460</v>
      </c>
      <c r="F182" s="3" t="s">
        <v>2461</v>
      </c>
      <c r="G182" s="3" t="s">
        <v>1294</v>
      </c>
      <c r="H182" s="3" t="s">
        <v>1294</v>
      </c>
      <c r="I182" s="3" t="s">
        <v>2462</v>
      </c>
      <c r="J182" s="3" t="s">
        <v>1294</v>
      </c>
    </row>
    <row r="183" spans="1:10" ht="25.5" x14ac:dyDescent="0.25">
      <c r="A183" s="2">
        <v>41</v>
      </c>
      <c r="B183" s="2" t="s">
        <v>225</v>
      </c>
      <c r="C183" s="3" t="s">
        <v>226</v>
      </c>
      <c r="D183" s="3" t="s">
        <v>2463</v>
      </c>
      <c r="E183" s="3" t="s">
        <v>2464</v>
      </c>
      <c r="F183" s="3" t="s">
        <v>2465</v>
      </c>
      <c r="G183" s="3" t="s">
        <v>1294</v>
      </c>
      <c r="H183" s="3" t="s">
        <v>1294</v>
      </c>
      <c r="I183" s="3" t="s">
        <v>2466</v>
      </c>
      <c r="J183" s="3" t="s">
        <v>1294</v>
      </c>
    </row>
    <row r="184" spans="1:10" ht="25.5" x14ac:dyDescent="0.25">
      <c r="A184" s="2">
        <v>40</v>
      </c>
      <c r="B184" s="2" t="s">
        <v>223</v>
      </c>
      <c r="C184" s="3" t="s">
        <v>224</v>
      </c>
      <c r="D184" s="3" t="s">
        <v>2467</v>
      </c>
      <c r="E184" s="3" t="s">
        <v>2468</v>
      </c>
      <c r="F184" s="3" t="s">
        <v>2469</v>
      </c>
      <c r="G184" s="3" t="s">
        <v>1294</v>
      </c>
      <c r="H184" s="3" t="s">
        <v>1294</v>
      </c>
      <c r="I184" s="3" t="s">
        <v>2470</v>
      </c>
      <c r="J184" s="3" t="s">
        <v>1294</v>
      </c>
    </row>
    <row r="185" spans="1:10" ht="25.5" x14ac:dyDescent="0.25">
      <c r="A185" s="2">
        <v>39</v>
      </c>
      <c r="B185" s="2" t="s">
        <v>221</v>
      </c>
      <c r="C185" s="3" t="s">
        <v>222</v>
      </c>
      <c r="D185" s="3" t="s">
        <v>2471</v>
      </c>
      <c r="E185" s="3" t="s">
        <v>2472</v>
      </c>
      <c r="F185" s="3" t="s">
        <v>2473</v>
      </c>
      <c r="G185" s="3" t="s">
        <v>1294</v>
      </c>
      <c r="H185" s="3" t="s">
        <v>1294</v>
      </c>
      <c r="I185" s="3" t="s">
        <v>2474</v>
      </c>
      <c r="J185" s="3" t="s">
        <v>1294</v>
      </c>
    </row>
    <row r="186" spans="1:10" ht="25.5" x14ac:dyDescent="0.25">
      <c r="A186" s="2">
        <v>38</v>
      </c>
      <c r="B186" s="2" t="s">
        <v>219</v>
      </c>
      <c r="C186" s="3" t="s">
        <v>220</v>
      </c>
      <c r="D186" s="3" t="s">
        <v>2475</v>
      </c>
      <c r="E186" s="3" t="s">
        <v>2476</v>
      </c>
      <c r="F186" s="3" t="s">
        <v>2477</v>
      </c>
      <c r="G186" s="3" t="s">
        <v>1294</v>
      </c>
      <c r="H186" s="3" t="s">
        <v>1294</v>
      </c>
      <c r="I186" s="3" t="s">
        <v>2478</v>
      </c>
      <c r="J186" s="3" t="s">
        <v>1294</v>
      </c>
    </row>
    <row r="187" spans="1:10" ht="25.5" x14ac:dyDescent="0.25">
      <c r="A187" s="2">
        <v>37</v>
      </c>
      <c r="B187" s="2" t="s">
        <v>217</v>
      </c>
      <c r="C187" s="3" t="s">
        <v>218</v>
      </c>
      <c r="D187" s="3" t="s">
        <v>2479</v>
      </c>
      <c r="E187" s="3" t="s">
        <v>2480</v>
      </c>
      <c r="F187" s="3" t="s">
        <v>2481</v>
      </c>
      <c r="G187" s="3" t="s">
        <v>1294</v>
      </c>
      <c r="H187" s="3" t="s">
        <v>1294</v>
      </c>
      <c r="I187" s="3" t="s">
        <v>2482</v>
      </c>
      <c r="J187" s="3" t="s">
        <v>1294</v>
      </c>
    </row>
    <row r="188" spans="1:10" ht="25.5" x14ac:dyDescent="0.25">
      <c r="A188" s="2">
        <v>36</v>
      </c>
      <c r="B188" s="2" t="s">
        <v>215</v>
      </c>
      <c r="C188" s="3" t="s">
        <v>216</v>
      </c>
      <c r="D188" s="3" t="s">
        <v>2483</v>
      </c>
      <c r="E188" s="3" t="s">
        <v>2484</v>
      </c>
      <c r="F188" s="3" t="s">
        <v>2485</v>
      </c>
      <c r="G188" s="3" t="s">
        <v>1294</v>
      </c>
      <c r="H188" s="3" t="s">
        <v>1294</v>
      </c>
      <c r="I188" s="3" t="s">
        <v>2486</v>
      </c>
      <c r="J188" s="3" t="s">
        <v>1294</v>
      </c>
    </row>
    <row r="189" spans="1:10" ht="25.5" x14ac:dyDescent="0.25">
      <c r="A189" s="2">
        <v>35</v>
      </c>
      <c r="B189" s="2" t="s">
        <v>213</v>
      </c>
      <c r="C189" s="3" t="s">
        <v>214</v>
      </c>
      <c r="D189" s="3" t="s">
        <v>2487</v>
      </c>
      <c r="E189" s="3" t="s">
        <v>2488</v>
      </c>
      <c r="F189" s="3" t="s">
        <v>2489</v>
      </c>
      <c r="G189" s="3" t="s">
        <v>1294</v>
      </c>
      <c r="H189" s="3" t="s">
        <v>1294</v>
      </c>
      <c r="I189" s="3" t="s">
        <v>2490</v>
      </c>
      <c r="J189" s="3" t="s">
        <v>1294</v>
      </c>
    </row>
    <row r="190" spans="1:10" ht="25.5" x14ac:dyDescent="0.25">
      <c r="A190" s="2">
        <v>34</v>
      </c>
      <c r="B190" s="2" t="s">
        <v>211</v>
      </c>
      <c r="C190" s="3" t="s">
        <v>212</v>
      </c>
      <c r="D190" s="3" t="s">
        <v>2491</v>
      </c>
      <c r="E190" s="3" t="s">
        <v>2492</v>
      </c>
      <c r="F190" s="3" t="s">
        <v>2493</v>
      </c>
      <c r="G190" s="3" t="s">
        <v>1294</v>
      </c>
      <c r="H190" s="3" t="s">
        <v>1822</v>
      </c>
      <c r="I190" s="3" t="s">
        <v>2494</v>
      </c>
      <c r="J190" s="3" t="s">
        <v>1294</v>
      </c>
    </row>
    <row r="191" spans="1:10" ht="25.5" x14ac:dyDescent="0.25">
      <c r="A191" s="2">
        <v>33</v>
      </c>
      <c r="B191" s="2" t="s">
        <v>209</v>
      </c>
      <c r="C191" s="3" t="s">
        <v>210</v>
      </c>
      <c r="D191" s="3" t="s">
        <v>2495</v>
      </c>
      <c r="E191" s="3" t="s">
        <v>2496</v>
      </c>
      <c r="F191" s="3" t="s">
        <v>2497</v>
      </c>
      <c r="G191" s="3" t="s">
        <v>1294</v>
      </c>
      <c r="H191" s="3" t="s">
        <v>1822</v>
      </c>
      <c r="I191" s="3" t="s">
        <v>2498</v>
      </c>
      <c r="J191" s="3" t="s">
        <v>1294</v>
      </c>
    </row>
    <row r="192" spans="1:10" ht="25.5" x14ac:dyDescent="0.25">
      <c r="A192" s="2">
        <v>32</v>
      </c>
      <c r="B192" s="2" t="s">
        <v>207</v>
      </c>
      <c r="C192" s="3" t="s">
        <v>208</v>
      </c>
      <c r="D192" s="3" t="s">
        <v>2499</v>
      </c>
      <c r="E192" s="3" t="s">
        <v>2500</v>
      </c>
      <c r="F192" s="3" t="s">
        <v>2501</v>
      </c>
      <c r="G192" s="3" t="s">
        <v>1294</v>
      </c>
      <c r="H192" s="3" t="s">
        <v>1294</v>
      </c>
      <c r="I192" s="3" t="s">
        <v>2502</v>
      </c>
      <c r="J192" s="3" t="s">
        <v>1294</v>
      </c>
    </row>
    <row r="193" spans="1:10" ht="25.5" x14ac:dyDescent="0.25">
      <c r="A193" s="2">
        <v>31</v>
      </c>
      <c r="B193" s="2" t="s">
        <v>205</v>
      </c>
      <c r="C193" s="3" t="s">
        <v>206</v>
      </c>
      <c r="D193" s="3" t="s">
        <v>2503</v>
      </c>
      <c r="E193" s="3" t="s">
        <v>2504</v>
      </c>
      <c r="F193" s="3" t="s">
        <v>2505</v>
      </c>
      <c r="G193" s="3" t="s">
        <v>1294</v>
      </c>
      <c r="H193" s="3" t="s">
        <v>1294</v>
      </c>
      <c r="I193" s="3" t="s">
        <v>2506</v>
      </c>
      <c r="J193" s="3" t="s">
        <v>1294</v>
      </c>
    </row>
    <row r="194" spans="1:10" ht="25.5" x14ac:dyDescent="0.25">
      <c r="A194" s="2">
        <v>30</v>
      </c>
      <c r="B194" s="2" t="s">
        <v>203</v>
      </c>
      <c r="C194" s="3" t="s">
        <v>204</v>
      </c>
      <c r="D194" s="3" t="s">
        <v>1848</v>
      </c>
      <c r="E194" s="3" t="s">
        <v>2507</v>
      </c>
      <c r="F194" s="3" t="s">
        <v>2508</v>
      </c>
      <c r="G194" s="3" t="s">
        <v>1294</v>
      </c>
      <c r="H194" s="3" t="s">
        <v>1294</v>
      </c>
      <c r="I194" s="3" t="s">
        <v>2509</v>
      </c>
      <c r="J194" s="3" t="s">
        <v>1294</v>
      </c>
    </row>
    <row r="195" spans="1:10" ht="25.5" x14ac:dyDescent="0.25">
      <c r="A195" s="2">
        <v>29</v>
      </c>
      <c r="B195" s="2" t="s">
        <v>201</v>
      </c>
      <c r="C195" s="3" t="s">
        <v>202</v>
      </c>
      <c r="D195" s="3" t="s">
        <v>2510</v>
      </c>
      <c r="E195" s="3" t="s">
        <v>2511</v>
      </c>
      <c r="F195" s="3" t="s">
        <v>2512</v>
      </c>
      <c r="G195" s="3" t="s">
        <v>1294</v>
      </c>
      <c r="H195" s="3" t="s">
        <v>1822</v>
      </c>
      <c r="I195" s="3" t="s">
        <v>2513</v>
      </c>
      <c r="J195" s="3" t="s">
        <v>1294</v>
      </c>
    </row>
    <row r="196" spans="1:10" ht="25.5" x14ac:dyDescent="0.25">
      <c r="A196" s="2">
        <v>28</v>
      </c>
      <c r="B196" s="2" t="s">
        <v>199</v>
      </c>
      <c r="C196" s="3" t="s">
        <v>200</v>
      </c>
      <c r="D196" s="3" t="s">
        <v>2514</v>
      </c>
      <c r="E196" s="3" t="s">
        <v>2515</v>
      </c>
      <c r="F196" s="3" t="s">
        <v>2516</v>
      </c>
      <c r="G196" s="3" t="s">
        <v>1294</v>
      </c>
      <c r="H196" s="3" t="s">
        <v>1294</v>
      </c>
      <c r="I196" s="3" t="s">
        <v>2517</v>
      </c>
      <c r="J196" s="3" t="s">
        <v>1294</v>
      </c>
    </row>
    <row r="197" spans="1:10" ht="25.5" x14ac:dyDescent="0.25">
      <c r="A197" s="2">
        <v>27</v>
      </c>
      <c r="B197" s="2" t="s">
        <v>197</v>
      </c>
      <c r="C197" s="3" t="s">
        <v>198</v>
      </c>
      <c r="D197" s="3" t="s">
        <v>2518</v>
      </c>
      <c r="E197" s="3" t="s">
        <v>2519</v>
      </c>
      <c r="F197" s="3" t="s">
        <v>2520</v>
      </c>
      <c r="G197" s="3" t="s">
        <v>1294</v>
      </c>
      <c r="H197" s="3" t="s">
        <v>1294</v>
      </c>
      <c r="I197" s="3" t="s">
        <v>2521</v>
      </c>
      <c r="J197" s="3" t="s">
        <v>1294</v>
      </c>
    </row>
    <row r="198" spans="1:10" ht="25.5" x14ac:dyDescent="0.25">
      <c r="A198" s="2">
        <v>26</v>
      </c>
      <c r="B198" s="2" t="s">
        <v>195</v>
      </c>
      <c r="C198" s="3" t="s">
        <v>196</v>
      </c>
      <c r="D198" s="3" t="s">
        <v>2522</v>
      </c>
      <c r="E198" s="3" t="s">
        <v>2523</v>
      </c>
      <c r="F198" s="3" t="s">
        <v>2524</v>
      </c>
      <c r="G198" s="3" t="s">
        <v>1294</v>
      </c>
      <c r="H198" s="3" t="s">
        <v>1822</v>
      </c>
      <c r="I198" s="3" t="s">
        <v>2525</v>
      </c>
      <c r="J198" s="3" t="s">
        <v>1294</v>
      </c>
    </row>
    <row r="199" spans="1:10" ht="25.5" x14ac:dyDescent="0.25">
      <c r="A199" s="2">
        <v>25</v>
      </c>
      <c r="B199" s="2" t="s">
        <v>193</v>
      </c>
      <c r="C199" s="3" t="s">
        <v>194</v>
      </c>
      <c r="D199" s="3" t="s">
        <v>2526</v>
      </c>
      <c r="E199" s="3" t="s">
        <v>2527</v>
      </c>
      <c r="F199" s="3" t="s">
        <v>2528</v>
      </c>
      <c r="G199" s="3" t="s">
        <v>1294</v>
      </c>
      <c r="H199" s="3" t="s">
        <v>1294</v>
      </c>
      <c r="I199" s="3" t="s">
        <v>2529</v>
      </c>
      <c r="J199" s="3" t="s">
        <v>1294</v>
      </c>
    </row>
    <row r="200" spans="1:10" ht="25.5" x14ac:dyDescent="0.25">
      <c r="A200" s="2">
        <v>24</v>
      </c>
      <c r="B200" s="2" t="s">
        <v>191</v>
      </c>
      <c r="C200" s="3" t="s">
        <v>192</v>
      </c>
      <c r="D200" s="3" t="s">
        <v>2530</v>
      </c>
      <c r="E200" s="3" t="s">
        <v>2531</v>
      </c>
      <c r="F200" s="3" t="s">
        <v>2532</v>
      </c>
      <c r="G200" s="3" t="s">
        <v>1294</v>
      </c>
      <c r="H200" s="3" t="s">
        <v>1294</v>
      </c>
      <c r="I200" s="3" t="s">
        <v>2533</v>
      </c>
      <c r="J200" s="3" t="s">
        <v>1294</v>
      </c>
    </row>
    <row r="201" spans="1:10" ht="25.5" x14ac:dyDescent="0.25">
      <c r="A201" s="2">
        <v>23</v>
      </c>
      <c r="B201" s="2" t="s">
        <v>189</v>
      </c>
      <c r="C201" s="3" t="s">
        <v>190</v>
      </c>
      <c r="D201" s="3" t="s">
        <v>2534</v>
      </c>
      <c r="E201" s="3" t="s">
        <v>2535</v>
      </c>
      <c r="F201" s="3" t="s">
        <v>2536</v>
      </c>
      <c r="G201" s="3" t="s">
        <v>1294</v>
      </c>
      <c r="H201" s="3" t="s">
        <v>1294</v>
      </c>
      <c r="I201" s="3" t="s">
        <v>2537</v>
      </c>
      <c r="J201" s="3" t="s">
        <v>1294</v>
      </c>
    </row>
    <row r="202" spans="1:10" ht="25.5" x14ac:dyDescent="0.25">
      <c r="A202" s="2">
        <v>22</v>
      </c>
      <c r="B202" s="2" t="s">
        <v>187</v>
      </c>
      <c r="C202" s="3" t="s">
        <v>188</v>
      </c>
      <c r="D202" s="3" t="s">
        <v>2538</v>
      </c>
      <c r="E202" s="3" t="s">
        <v>2539</v>
      </c>
      <c r="F202" s="3" t="s">
        <v>2540</v>
      </c>
      <c r="G202" s="3" t="s">
        <v>1294</v>
      </c>
      <c r="H202" s="3" t="s">
        <v>1294</v>
      </c>
      <c r="I202" s="3" t="s">
        <v>2541</v>
      </c>
      <c r="J202" s="3" t="s">
        <v>1294</v>
      </c>
    </row>
    <row r="203" spans="1:10" ht="25.5" x14ac:dyDescent="0.25">
      <c r="A203" s="2">
        <v>21</v>
      </c>
      <c r="B203" s="2" t="s">
        <v>185</v>
      </c>
      <c r="C203" s="3" t="s">
        <v>186</v>
      </c>
      <c r="D203" s="3" t="s">
        <v>2542</v>
      </c>
      <c r="E203" s="3" t="s">
        <v>2543</v>
      </c>
      <c r="F203" s="3" t="s">
        <v>2544</v>
      </c>
      <c r="G203" s="3" t="s">
        <v>1294</v>
      </c>
      <c r="H203" s="3" t="s">
        <v>1294</v>
      </c>
      <c r="I203" s="3" t="s">
        <v>2545</v>
      </c>
      <c r="J203" s="3" t="s">
        <v>1294</v>
      </c>
    </row>
    <row r="204" spans="1:10" ht="25.5" x14ac:dyDescent="0.25">
      <c r="A204" s="2">
        <v>20</v>
      </c>
      <c r="B204" s="2" t="s">
        <v>183</v>
      </c>
      <c r="C204" s="3" t="s">
        <v>184</v>
      </c>
      <c r="D204" s="3" t="s">
        <v>2546</v>
      </c>
      <c r="E204" s="3" t="s">
        <v>2547</v>
      </c>
      <c r="F204" s="3" t="s">
        <v>2548</v>
      </c>
      <c r="G204" s="3" t="s">
        <v>2085</v>
      </c>
      <c r="H204" s="3" t="s">
        <v>1822</v>
      </c>
      <c r="I204" s="3" t="s">
        <v>2549</v>
      </c>
      <c r="J204" s="3" t="s">
        <v>1294</v>
      </c>
    </row>
    <row r="205" spans="1:10" ht="25.5" x14ac:dyDescent="0.25">
      <c r="A205" s="2">
        <v>19</v>
      </c>
      <c r="B205" s="2" t="s">
        <v>181</v>
      </c>
      <c r="C205" s="3" t="s">
        <v>182</v>
      </c>
      <c r="D205" s="3" t="s">
        <v>2550</v>
      </c>
      <c r="E205" s="3" t="s">
        <v>2551</v>
      </c>
      <c r="F205" s="3" t="s">
        <v>2552</v>
      </c>
      <c r="G205" s="3" t="s">
        <v>1294</v>
      </c>
      <c r="H205" s="3" t="s">
        <v>1294</v>
      </c>
      <c r="I205" s="3" t="s">
        <v>2553</v>
      </c>
      <c r="J205" s="3" t="s">
        <v>1294</v>
      </c>
    </row>
    <row r="206" spans="1:10" ht="25.5" x14ac:dyDescent="0.25">
      <c r="A206" s="2">
        <v>18</v>
      </c>
      <c r="B206" s="2" t="s">
        <v>179</v>
      </c>
      <c r="C206" s="3" t="s">
        <v>180</v>
      </c>
      <c r="D206" s="3" t="s">
        <v>2554</v>
      </c>
      <c r="E206" s="3" t="s">
        <v>2555</v>
      </c>
      <c r="F206" s="3" t="s">
        <v>2556</v>
      </c>
      <c r="G206" s="3" t="s">
        <v>1294</v>
      </c>
      <c r="H206" s="3" t="s">
        <v>1294</v>
      </c>
      <c r="I206" s="3" t="s">
        <v>2557</v>
      </c>
      <c r="J206" s="3" t="s">
        <v>1294</v>
      </c>
    </row>
    <row r="207" spans="1:10" ht="25.5" x14ac:dyDescent="0.25">
      <c r="A207" s="2">
        <v>17</v>
      </c>
      <c r="B207" s="2" t="s">
        <v>177</v>
      </c>
      <c r="C207" s="3" t="s">
        <v>178</v>
      </c>
      <c r="D207" s="3" t="s">
        <v>2558</v>
      </c>
      <c r="E207" s="3" t="s">
        <v>2559</v>
      </c>
      <c r="F207" s="3" t="s">
        <v>2560</v>
      </c>
      <c r="G207" s="3" t="s">
        <v>1294</v>
      </c>
      <c r="H207" s="3" t="s">
        <v>1294</v>
      </c>
      <c r="I207" s="3" t="s">
        <v>2561</v>
      </c>
      <c r="J207" s="3" t="s">
        <v>1294</v>
      </c>
    </row>
    <row r="208" spans="1:10" ht="25.5" x14ac:dyDescent="0.25">
      <c r="A208" s="2">
        <v>16</v>
      </c>
      <c r="B208" s="2" t="s">
        <v>175</v>
      </c>
      <c r="C208" s="3" t="s">
        <v>176</v>
      </c>
      <c r="D208" s="3" t="s">
        <v>2562</v>
      </c>
      <c r="E208" s="3" t="s">
        <v>2563</v>
      </c>
      <c r="F208" s="3" t="s">
        <v>2564</v>
      </c>
      <c r="G208" s="3" t="s">
        <v>1294</v>
      </c>
      <c r="H208" s="3" t="s">
        <v>1294</v>
      </c>
      <c r="I208" s="3" t="s">
        <v>2565</v>
      </c>
      <c r="J208" s="3" t="s">
        <v>1294</v>
      </c>
    </row>
    <row r="209" spans="1:10" ht="25.5" x14ac:dyDescent="0.25">
      <c r="A209" s="2">
        <v>15</v>
      </c>
      <c r="B209" s="2" t="s">
        <v>173</v>
      </c>
      <c r="C209" s="3" t="s">
        <v>174</v>
      </c>
      <c r="D209" s="3" t="s">
        <v>1860</v>
      </c>
      <c r="E209" s="3" t="s">
        <v>2566</v>
      </c>
      <c r="F209" s="3" t="s">
        <v>2567</v>
      </c>
      <c r="G209" s="3" t="s">
        <v>1294</v>
      </c>
      <c r="H209" s="3" t="s">
        <v>1294</v>
      </c>
      <c r="I209" s="3" t="s">
        <v>2568</v>
      </c>
      <c r="J209" s="3" t="s">
        <v>1294</v>
      </c>
    </row>
    <row r="210" spans="1:10" ht="25.5" x14ac:dyDescent="0.25">
      <c r="A210" s="2">
        <v>14</v>
      </c>
      <c r="B210" s="2" t="s">
        <v>171</v>
      </c>
      <c r="C210" s="3" t="s">
        <v>172</v>
      </c>
      <c r="D210" s="3" t="s">
        <v>2569</v>
      </c>
      <c r="E210" s="3" t="s">
        <v>2570</v>
      </c>
      <c r="F210" s="3" t="s">
        <v>2571</v>
      </c>
      <c r="G210" s="3" t="s">
        <v>1294</v>
      </c>
      <c r="H210" s="3" t="s">
        <v>1294</v>
      </c>
      <c r="I210" s="3" t="s">
        <v>2572</v>
      </c>
      <c r="J210" s="3" t="s">
        <v>1294</v>
      </c>
    </row>
    <row r="211" spans="1:10" ht="25.5" x14ac:dyDescent="0.25">
      <c r="A211" s="2">
        <v>13</v>
      </c>
      <c r="B211" s="2" t="s">
        <v>168</v>
      </c>
      <c r="C211" s="3" t="s">
        <v>169</v>
      </c>
      <c r="D211" s="3" t="s">
        <v>2573</v>
      </c>
      <c r="E211" s="3" t="s">
        <v>2574</v>
      </c>
      <c r="F211" s="3" t="s">
        <v>2575</v>
      </c>
      <c r="G211" s="3" t="s">
        <v>1294</v>
      </c>
      <c r="H211" s="3" t="s">
        <v>1294</v>
      </c>
      <c r="I211" s="3" t="s">
        <v>2576</v>
      </c>
      <c r="J211" s="3" t="s">
        <v>1294</v>
      </c>
    </row>
    <row r="212" spans="1:10" ht="25.5" x14ac:dyDescent="0.25">
      <c r="A212" s="2">
        <v>12</v>
      </c>
      <c r="B212" s="2" t="s">
        <v>166</v>
      </c>
      <c r="C212" s="3" t="s">
        <v>167</v>
      </c>
      <c r="D212" s="3" t="s">
        <v>2577</v>
      </c>
      <c r="E212" s="3" t="s">
        <v>2578</v>
      </c>
      <c r="F212" s="3" t="s">
        <v>2579</v>
      </c>
      <c r="G212" s="3" t="s">
        <v>1294</v>
      </c>
      <c r="H212" s="3" t="s">
        <v>1822</v>
      </c>
      <c r="I212" s="3" t="s">
        <v>2580</v>
      </c>
      <c r="J212" s="3" t="s">
        <v>1294</v>
      </c>
    </row>
    <row r="213" spans="1:10" ht="25.5" x14ac:dyDescent="0.25">
      <c r="A213" s="2">
        <v>11</v>
      </c>
      <c r="B213" s="2" t="s">
        <v>164</v>
      </c>
      <c r="C213" s="3" t="s">
        <v>165</v>
      </c>
      <c r="D213" s="3" t="s">
        <v>2581</v>
      </c>
      <c r="E213" s="3" t="s">
        <v>2582</v>
      </c>
      <c r="F213" s="3" t="s">
        <v>2583</v>
      </c>
      <c r="G213" s="3" t="s">
        <v>1294</v>
      </c>
      <c r="H213" s="3" t="s">
        <v>1294</v>
      </c>
      <c r="I213" s="3" t="s">
        <v>2584</v>
      </c>
      <c r="J213" s="3" t="s">
        <v>1294</v>
      </c>
    </row>
    <row r="214" spans="1:10" ht="25.5" x14ac:dyDescent="0.25">
      <c r="A214" s="2">
        <v>10</v>
      </c>
      <c r="B214" s="2" t="s">
        <v>162</v>
      </c>
      <c r="C214" s="3" t="s">
        <v>163</v>
      </c>
      <c r="D214" s="3" t="s">
        <v>1864</v>
      </c>
      <c r="E214" s="3" t="s">
        <v>2585</v>
      </c>
      <c r="F214" s="3" t="s">
        <v>2586</v>
      </c>
      <c r="G214" s="3" t="s">
        <v>1294</v>
      </c>
      <c r="H214" s="3" t="s">
        <v>1294</v>
      </c>
      <c r="I214" s="3" t="s">
        <v>2587</v>
      </c>
      <c r="J214" s="3" t="s">
        <v>1294</v>
      </c>
    </row>
    <row r="215" spans="1:10" ht="25.5" x14ac:dyDescent="0.25">
      <c r="A215" s="2">
        <v>9</v>
      </c>
      <c r="B215" s="2" t="s">
        <v>160</v>
      </c>
      <c r="C215" s="3" t="s">
        <v>161</v>
      </c>
      <c r="D215" s="3" t="s">
        <v>2588</v>
      </c>
      <c r="E215" s="3" t="s">
        <v>2589</v>
      </c>
      <c r="F215" s="3" t="s">
        <v>2590</v>
      </c>
      <c r="G215" s="3" t="s">
        <v>1294</v>
      </c>
      <c r="H215" s="3" t="s">
        <v>1294</v>
      </c>
      <c r="I215" s="3" t="s">
        <v>2591</v>
      </c>
      <c r="J215" s="3" t="s">
        <v>1294</v>
      </c>
    </row>
    <row r="216" spans="1:10" ht="25.5" x14ac:dyDescent="0.25">
      <c r="A216" s="2">
        <v>8</v>
      </c>
      <c r="B216" s="2" t="s">
        <v>158</v>
      </c>
      <c r="C216" s="3" t="s">
        <v>159</v>
      </c>
      <c r="D216" s="3" t="s">
        <v>2592</v>
      </c>
      <c r="E216" s="3" t="s">
        <v>2593</v>
      </c>
      <c r="F216" s="3" t="s">
        <v>2594</v>
      </c>
      <c r="G216" s="3" t="s">
        <v>1294</v>
      </c>
      <c r="H216" s="3" t="s">
        <v>1822</v>
      </c>
      <c r="I216" s="3" t="s">
        <v>2595</v>
      </c>
      <c r="J216" s="3" t="s">
        <v>1294</v>
      </c>
    </row>
    <row r="217" spans="1:10" ht="25.5" x14ac:dyDescent="0.25">
      <c r="A217" s="2">
        <v>7</v>
      </c>
      <c r="B217" s="2" t="s">
        <v>156</v>
      </c>
      <c r="C217" s="3" t="s">
        <v>157</v>
      </c>
      <c r="D217" s="3" t="s">
        <v>2596</v>
      </c>
      <c r="E217" s="3" t="s">
        <v>2597</v>
      </c>
      <c r="F217" s="3" t="s">
        <v>2598</v>
      </c>
      <c r="G217" s="3" t="s">
        <v>1294</v>
      </c>
      <c r="H217" s="3" t="s">
        <v>1294</v>
      </c>
      <c r="I217" s="3" t="s">
        <v>2599</v>
      </c>
      <c r="J217" s="3" t="s">
        <v>1294</v>
      </c>
    </row>
    <row r="218" spans="1:10" ht="25.5" x14ac:dyDescent="0.25">
      <c r="A218" s="2">
        <v>6</v>
      </c>
      <c r="B218" s="2" t="s">
        <v>154</v>
      </c>
      <c r="C218" s="3" t="s">
        <v>155</v>
      </c>
      <c r="D218" s="3" t="s">
        <v>2600</v>
      </c>
      <c r="E218" s="3" t="s">
        <v>2601</v>
      </c>
      <c r="F218" s="3" t="s">
        <v>2602</v>
      </c>
      <c r="G218" s="3" t="s">
        <v>1294</v>
      </c>
      <c r="H218" s="3" t="s">
        <v>1294</v>
      </c>
      <c r="I218" s="3" t="s">
        <v>2603</v>
      </c>
      <c r="J218" s="3" t="s">
        <v>1294</v>
      </c>
    </row>
    <row r="219" spans="1:10" ht="25.5" x14ac:dyDescent="0.25">
      <c r="A219" s="2">
        <v>5</v>
      </c>
      <c r="B219" s="2" t="s">
        <v>152</v>
      </c>
      <c r="C219" s="3" t="s">
        <v>153</v>
      </c>
      <c r="D219" s="3" t="s">
        <v>2604</v>
      </c>
      <c r="E219" s="3" t="s">
        <v>2605</v>
      </c>
      <c r="F219" s="3" t="s">
        <v>2606</v>
      </c>
      <c r="G219" s="3" t="s">
        <v>1294</v>
      </c>
      <c r="H219" s="3" t="s">
        <v>1822</v>
      </c>
      <c r="I219" s="3" t="s">
        <v>2607</v>
      </c>
      <c r="J219" s="3" t="s">
        <v>1294</v>
      </c>
    </row>
    <row r="220" spans="1:10" ht="25.5" x14ac:dyDescent="0.25">
      <c r="A220" s="2">
        <v>4</v>
      </c>
      <c r="B220" s="2" t="s">
        <v>149</v>
      </c>
      <c r="C220" s="3" t="s">
        <v>150</v>
      </c>
      <c r="D220" s="3" t="s">
        <v>2023</v>
      </c>
      <c r="E220" s="3" t="s">
        <v>2608</v>
      </c>
      <c r="F220" s="3" t="s">
        <v>2609</v>
      </c>
      <c r="G220" s="3" t="s">
        <v>1294</v>
      </c>
      <c r="H220" s="3" t="s">
        <v>1294</v>
      </c>
      <c r="I220" s="3" t="s">
        <v>2610</v>
      </c>
      <c r="J220" s="3" t="s">
        <v>1294</v>
      </c>
    </row>
    <row r="221" spans="1:10" ht="25.5" x14ac:dyDescent="0.25">
      <c r="A221" s="2">
        <v>3</v>
      </c>
      <c r="B221" s="2" t="s">
        <v>147</v>
      </c>
      <c r="C221" s="3" t="s">
        <v>148</v>
      </c>
      <c r="D221" s="3" t="s">
        <v>2611</v>
      </c>
      <c r="E221" s="3" t="s">
        <v>2612</v>
      </c>
      <c r="F221" s="3" t="s">
        <v>2613</v>
      </c>
      <c r="G221" s="3" t="s">
        <v>1294</v>
      </c>
      <c r="H221" s="3" t="s">
        <v>1294</v>
      </c>
      <c r="I221" s="3" t="s">
        <v>2614</v>
      </c>
      <c r="J221" s="3" t="s">
        <v>1294</v>
      </c>
    </row>
    <row r="222" spans="1:10" ht="25.5" x14ac:dyDescent="0.25">
      <c r="A222" s="2">
        <v>2</v>
      </c>
      <c r="B222" s="2" t="s">
        <v>144</v>
      </c>
      <c r="C222" s="3" t="s">
        <v>145</v>
      </c>
      <c r="D222" s="3" t="s">
        <v>2615</v>
      </c>
      <c r="E222" s="3" t="s">
        <v>2616</v>
      </c>
      <c r="F222" s="3" t="s">
        <v>2617</v>
      </c>
      <c r="G222" s="3" t="s">
        <v>1294</v>
      </c>
      <c r="H222" s="3" t="s">
        <v>1294</v>
      </c>
      <c r="I222" s="3" t="s">
        <v>2618</v>
      </c>
      <c r="J222" s="3" t="s">
        <v>1294</v>
      </c>
    </row>
    <row r="223" spans="1:10" ht="25.5" x14ac:dyDescent="0.25">
      <c r="A223" s="2">
        <v>1</v>
      </c>
      <c r="B223" s="2" t="s">
        <v>139</v>
      </c>
      <c r="C223" s="3" t="s">
        <v>140</v>
      </c>
      <c r="D223" s="3" t="s">
        <v>2619</v>
      </c>
      <c r="E223" s="3" t="s">
        <v>2620</v>
      </c>
      <c r="F223" s="3" t="s">
        <v>2621</v>
      </c>
      <c r="G223" s="3" t="s">
        <v>1294</v>
      </c>
      <c r="H223" s="3" t="s">
        <v>1294</v>
      </c>
      <c r="I223" s="3" t="s">
        <v>2622</v>
      </c>
      <c r="J223" s="3" t="s">
        <v>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LOC_COPY</vt:lpstr>
      <vt:lpstr>Du_Lieu_2026</vt:lpstr>
      <vt:lpstr>Top20_Dong_Thuan</vt:lpstr>
      <vt:lpstr>Thong_Ke_Theo_Thu</vt:lpstr>
      <vt:lpstr>Thong_Ke_G7_MultiWindow</vt:lpstr>
      <vt:lpstr>Thong_Ke_Nang_Cao_G7</vt:lpstr>
      <vt:lpstr>Lich_Su_Truc_Tiep_2026</vt:lpstr>
      <vt:lpstr>Thong_Ke_Dau_Duoi</vt:lpstr>
      <vt:lpstr>Lich_Su_Nuoi_Khung_3Ngay</vt:lpstr>
      <vt:lpstr>Top_3D_4D_Manh_Nhat</vt:lpstr>
      <vt:lpstr>Lich_Su_3D_4D_2026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Ha</cp:lastModifiedBy>
  <dcterms:created xsi:type="dcterms:W3CDTF">2026-08-16T03:56:20Z</dcterms:created>
  <dcterms:modified xsi:type="dcterms:W3CDTF">2026-08-17T11:02:08Z</dcterms:modified>
</cp:coreProperties>
</file>
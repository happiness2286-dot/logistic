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hidden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hidden" r:id="rId6"/>
    <sheet name="Du_Doan_Tong_Theo_Thu" sheetId="7" state="visible" r:id="rId7"/>
    <sheet name="Thong_Ke_Phong_Do_G7_Thu" sheetId="8" state="hidden" r:id="rId8"/>
    <sheet name="Nhat_Ky_Kiem_Chung_Thu" sheetId="9" state="hidden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hidden" r:id="rId13"/>
    <sheet name="Thong_Ke_Dau_Duoi" sheetId="14" state="visible" r:id="rId14"/>
    <sheet name="Thong_Ke_Top3_Dau_Duoi" sheetId="15" state="hidden" r:id="rId15"/>
    <sheet name="Lich_Su_Nuoi_Khung_3Ngay" sheetId="16" state="visible" r:id="rId16"/>
    <sheet name="Top_3D_4D_Manh_Nhat" sheetId="17" state="hidden" r:id="rId17"/>
    <sheet name="Lich_Su_3D_4D_2026" sheetId="18" state="hidden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9C0006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>
        <f>IF(AND(OR(A$3="Tất cả", 0=INT(A$3), 1=INT(A$3)), OR(B$3="Tất cả", 1=INT(B$3))), "01", "")</f>
        <v/>
      </c>
      <c r="C6" s="3">
        <f>IF(AND(OR(A$3="Tất cả", 0=INT(A$3), 2=INT(A$3)), OR(B$3="Tất cả", 2=INT(B$3))), "02", "")</f>
        <v/>
      </c>
      <c r="D6" s="3">
        <f>IF(AND(OR(A$3="Tất cả", 0=INT(A$3), 3=INT(A$3)), OR(B$3="Tất cả", 3=INT(B$3))), "03", "")</f>
        <v/>
      </c>
      <c r="E6" s="3" t="inlineStr"/>
      <c r="F6" s="3" t="inlineStr"/>
      <c r="G6" s="3">
        <f>IF(AND(OR(A$3="Tất cả", 0=INT(A$3), 6=INT(A$3)), OR(B$3="Tất cả", 6=INT(B$3))), "06", "")</f>
        <v/>
      </c>
      <c r="H6" s="3">
        <f>IF(AND(OR(A$3="Tất cả", 0=INT(A$3), 7=INT(A$3)), OR(B$3="Tất cả", 7=INT(B$3))), "07", "")</f>
        <v/>
      </c>
      <c r="I6" s="3">
        <f>IF(AND(OR(A$3="Tất cả", 0=INT(A$3), 8=INT(A$3)), OR(B$3="Tất cả", 8=INT(B$3))), "08", "")</f>
        <v/>
      </c>
      <c r="J6" s="3" t="inlineStr"/>
    </row>
    <row r="7">
      <c r="A7" s="2">
        <f>IF(AND(OR(A$3="Tất cả", 1=INT(A$3), 0=INT(A$3)), OR(B$3="Tất cả", 1=INT(B$3))), "10", "")</f>
        <v/>
      </c>
      <c r="B7" s="2">
        <f>IF(AND(OR(A$3="Tất cả", 1=INT(A$3), 1=INT(A$3)), OR(B$3="Tất cả", 2=INT(B$3))), "11", "")</f>
        <v/>
      </c>
      <c r="C7" s="3">
        <f>IF(AND(OR(A$3="Tất cả", 1=INT(A$3), 2=INT(A$3)), OR(B$3="Tất cả", 3=INT(B$3))), "12", "")</f>
        <v/>
      </c>
      <c r="D7" s="3" t="inlineStr"/>
      <c r="E7" s="3" t="inlineStr"/>
      <c r="F7" s="3">
        <f>IF(AND(OR(A$3="Tất cả", 1=INT(A$3), 5=INT(A$3)), OR(B$3="Tất cả", 6=INT(B$3))), "15", "")</f>
        <v/>
      </c>
      <c r="G7" s="3">
        <f>IF(AND(OR(A$3="Tất cả", 1=INT(A$3), 6=INT(A$3)), OR(B$3="Tất cả", 7=INT(B$3))), "16", "")</f>
        <v/>
      </c>
      <c r="H7" s="3">
        <f>IF(AND(OR(A$3="Tất cả", 1=INT(A$3), 7=INT(A$3)), OR(B$3="Tất cả", 8=INT(B$3))), "17", "")</f>
        <v/>
      </c>
      <c r="I7" s="3" t="inlineStr"/>
      <c r="J7" s="3" t="inlineStr"/>
    </row>
    <row r="8">
      <c r="A8" s="2">
        <f>IF(AND(OR(A$3="Tất cả", 2=INT(A$3), 0=INT(A$3)), OR(B$3="Tất cả", 2=INT(B$3))), "20", "")</f>
        <v/>
      </c>
      <c r="B8" s="2">
        <f>IF(AND(OR(A$3="Tất cả", 2=INT(A$3), 1=INT(A$3)), OR(B$3="Tất cả", 3=INT(B$3))), "21", "")</f>
        <v/>
      </c>
      <c r="C8" s="3" t="inlineStr"/>
      <c r="D8" s="3" t="inlineStr"/>
      <c r="E8" s="3">
        <f>IF(AND(OR(A$3="Tất cả", 2=INT(A$3), 4=INT(A$3)), OR(B$3="Tất cả", 6=INT(B$3))), "24", "")</f>
        <v/>
      </c>
      <c r="F8" s="3">
        <f>IF(AND(OR(A$3="Tất cả", 2=INT(A$3), 5=INT(A$3)), OR(B$3="Tất cả", 7=INT(B$3))), "25", "")</f>
        <v/>
      </c>
      <c r="G8" s="3">
        <f>IF(AND(OR(A$3="Tất cả", 2=INT(A$3), 6=INT(A$3)), OR(B$3="Tất cả", 8=INT(B$3))), "26", "")</f>
        <v/>
      </c>
      <c r="H8" s="3" t="inlineStr"/>
      <c r="I8" s="3" t="inlineStr"/>
      <c r="J8" s="3">
        <f>IF(AND(OR(A$3="Tất cả", 2=INT(A$3), 9=INT(A$3)), OR(B$3="Tất cả", 1=INT(B$3))), "29", "")</f>
        <v/>
      </c>
    </row>
    <row r="9">
      <c r="A9" s="2">
        <f>IF(AND(OR(A$3="Tất cả", 3=INT(A$3), 0=INT(A$3)), OR(B$3="Tất cả", 3=INT(B$3))), "30", "")</f>
        <v/>
      </c>
      <c r="B9" s="2" t="inlineStr"/>
      <c r="C9" s="3" t="inlineStr"/>
      <c r="D9" s="3">
        <f>IF(AND(OR(A$3="Tất cả", 3=INT(A$3), 3=INT(A$3)), OR(B$3="Tất cả", 6=INT(B$3))), "33", "")</f>
        <v/>
      </c>
      <c r="E9" s="3">
        <f>IF(AND(OR(A$3="Tất cả", 3=INT(A$3), 4=INT(A$3)), OR(B$3="Tất cả", 7=INT(B$3))), "34", "")</f>
        <v/>
      </c>
      <c r="F9" s="3">
        <f>IF(AND(OR(A$3="Tất cả", 3=INT(A$3), 5=INT(A$3)), OR(B$3="Tất cả", 8=INT(B$3))), "35", "")</f>
        <v/>
      </c>
      <c r="G9" s="3" t="inlineStr"/>
      <c r="H9" s="3" t="inlineStr"/>
      <c r="I9" s="3">
        <f>IF(AND(OR(A$3="Tất cả", 3=INT(A$3), 8=INT(A$3)), OR(B$3="Tất cả", 1=INT(B$3))), "38", "")</f>
        <v/>
      </c>
      <c r="J9" s="3">
        <f>IF(AND(OR(A$3="Tất cả", 3=INT(A$3), 9=INT(A$3)), OR(B$3="Tất cả", 2=INT(B$3))), "39", "")</f>
        <v/>
      </c>
    </row>
    <row r="10">
      <c r="A10" s="2" t="inlineStr"/>
      <c r="B10" s="2" t="inlineStr"/>
      <c r="C10" s="3">
        <f>IF(AND(OR(A$3="Tất cả", 4=INT(A$3), 2=INT(A$3)), OR(B$3="Tất cả", 6=INT(B$3))), "42", "")</f>
        <v/>
      </c>
      <c r="D10" s="3">
        <f>IF(AND(OR(A$3="Tất cả", 4=INT(A$3), 3=INT(A$3)), OR(B$3="Tất cả", 7=INT(B$3))), "43", "")</f>
        <v/>
      </c>
      <c r="E10" s="3">
        <f>IF(AND(OR(A$3="Tất cả", 4=INT(A$3), 4=INT(A$3)), OR(B$3="Tất cả", 8=INT(B$3))), "44", "")</f>
        <v/>
      </c>
      <c r="F10" s="3" t="inlineStr"/>
      <c r="G10" s="3" t="inlineStr"/>
      <c r="H10" s="3">
        <f>IF(AND(OR(A$3="Tất cả", 4=INT(A$3), 7=INT(A$3)), OR(B$3="Tất cả", 1=INT(B$3))), "47", "")</f>
        <v/>
      </c>
      <c r="I10" s="3">
        <f>IF(AND(OR(A$3="Tất cả", 4=INT(A$3), 8=INT(A$3)), OR(B$3="Tất cả", 2=INT(B$3))), "48", "")</f>
        <v/>
      </c>
      <c r="J10" s="3">
        <f>IF(AND(OR(A$3="Tất cả", 4=INT(A$3), 9=INT(A$3)), OR(B$3="Tất cả", 3=INT(B$3))), "49", "")</f>
        <v/>
      </c>
    </row>
    <row r="11">
      <c r="A11" s="2" t="inlineStr"/>
      <c r="B11" s="2">
        <f>IF(AND(OR(A$3="Tất cả", 5=INT(A$3), 1=INT(A$3)), OR(B$3="Tất cả", 6=INT(B$3))), "51", "")</f>
        <v/>
      </c>
      <c r="C11" s="3">
        <f>IF(AND(OR(A$3="Tất cả", 5=INT(A$3), 2=INT(A$3)), OR(B$3="Tất cả", 7=INT(B$3))), "52", "")</f>
        <v/>
      </c>
      <c r="D11" s="3">
        <f>IF(AND(OR(A$3="Tất cả", 5=INT(A$3), 3=INT(A$3)), OR(B$3="Tất cả", 8=INT(B$3))), "53", "")</f>
        <v/>
      </c>
      <c r="E11" s="3" t="inlineStr"/>
      <c r="F11" s="3" t="inlineStr"/>
      <c r="G11" s="3">
        <f>IF(AND(OR(A$3="Tất cả", 5=INT(A$3), 6=INT(A$3)), OR(B$3="Tất cả", 1=INT(B$3))), "56", "")</f>
        <v/>
      </c>
      <c r="H11" s="3">
        <f>IF(AND(OR(A$3="Tất cả", 5=INT(A$3), 7=INT(A$3)), OR(B$3="Tất cả", 2=INT(B$3))), "57", "")</f>
        <v/>
      </c>
      <c r="I11" s="3">
        <f>IF(AND(OR(A$3="Tất cả", 5=INT(A$3), 8=INT(A$3)), OR(B$3="Tất cả", 3=INT(B$3))), "58", "")</f>
        <v/>
      </c>
      <c r="J11" s="3" t="inlineStr"/>
    </row>
    <row r="12">
      <c r="A12" s="2">
        <f>IF(AND(OR(A$3="Tất cả", 6=INT(A$3), 0=INT(A$3)), OR(B$3="Tất cả", 6=INT(B$3))), "60", "")</f>
        <v/>
      </c>
      <c r="B12" s="2">
        <f>IF(AND(OR(A$3="Tất cả", 6=INT(A$3), 1=INT(A$3)), OR(B$3="Tất cả", 7=INT(B$3))), "61", "")</f>
        <v/>
      </c>
      <c r="C12" s="3">
        <f>IF(AND(OR(A$3="Tất cả", 6=INT(A$3), 2=INT(A$3)), OR(B$3="Tất cả", 8=INT(B$3))), "62", "")</f>
        <v/>
      </c>
      <c r="D12" s="3" t="inlineStr"/>
      <c r="E12" s="3" t="inlineStr"/>
      <c r="F12" s="3">
        <f>IF(AND(OR(A$3="Tất cả", 6=INT(A$3), 5=INT(A$3)), OR(B$3="Tất cả", 1=INT(B$3))), "65", "")</f>
        <v/>
      </c>
      <c r="G12" s="3">
        <f>IF(AND(OR(A$3="Tất cả", 6=INT(A$3), 6=INT(A$3)), OR(B$3="Tất cả", 2=INT(B$3))), "66", "")</f>
        <v/>
      </c>
      <c r="H12" s="3">
        <f>IF(AND(OR(A$3="Tất cả", 6=INT(A$3), 7=INT(A$3)), OR(B$3="Tất cả", 3=INT(B$3))), "67", "")</f>
        <v/>
      </c>
      <c r="I12" s="3" t="inlineStr"/>
      <c r="J12" s="3" t="inlineStr"/>
    </row>
    <row r="13">
      <c r="A13" s="2">
        <f>IF(AND(OR(A$3="Tất cả", 7=INT(A$3), 0=INT(A$3)), OR(B$3="Tất cả", 7=INT(B$3))), "70", "")</f>
        <v/>
      </c>
      <c r="B13" s="2">
        <f>IF(AND(OR(A$3="Tất cả", 7=INT(A$3), 1=INT(A$3)), OR(B$3="Tất cả", 8=INT(B$3))), "71", "")</f>
        <v/>
      </c>
      <c r="C13" s="3" t="inlineStr"/>
      <c r="D13" s="3" t="inlineStr"/>
      <c r="E13" s="3">
        <f>IF(AND(OR(A$3="Tất cả", 7=INT(A$3), 4=INT(A$3)), OR(B$3="Tất cả", 1=INT(B$3))), "74", "")</f>
        <v/>
      </c>
      <c r="F13" s="3">
        <f>IF(AND(OR(A$3="Tất cả", 7=INT(A$3), 5=INT(A$3)), OR(B$3="Tất cả", 2=INT(B$3))), "75", "")</f>
        <v/>
      </c>
      <c r="G13" s="3">
        <f>IF(AND(OR(A$3="Tất cả", 7=INT(A$3), 6=INT(A$3)), OR(B$3="Tất cả", 3=INT(B$3))), "76", "")</f>
        <v/>
      </c>
      <c r="H13" s="3" t="inlineStr"/>
      <c r="I13" s="3" t="inlineStr"/>
      <c r="J13" s="3">
        <f>IF(AND(OR(A$3="Tất cả", 7=INT(A$3), 9=INT(A$3)), OR(B$3="Tất cả", 6=INT(B$3))), "79", "")</f>
        <v/>
      </c>
    </row>
    <row r="14">
      <c r="A14" s="2">
        <f>IF(AND(OR(A$3="Tất cả", 8=INT(A$3), 0=INT(A$3)), OR(B$3="Tất cả", 8=INT(B$3))), "80", "")</f>
        <v/>
      </c>
      <c r="B14" s="2" t="inlineStr"/>
      <c r="C14" s="3" t="inlineStr"/>
      <c r="D14" s="3">
        <f>IF(AND(OR(A$3="Tất cả", 8=INT(A$3), 3=INT(A$3)), OR(B$3="Tất cả", 1=INT(B$3))), "83", "")</f>
        <v/>
      </c>
      <c r="E14" s="3">
        <f>IF(AND(OR(A$3="Tất cả", 8=INT(A$3), 4=INT(A$3)), OR(B$3="Tất cả", 2=INT(B$3))), "84", "")</f>
        <v/>
      </c>
      <c r="F14" s="3">
        <f>IF(AND(OR(A$3="Tất cả", 8=INT(A$3), 5=INT(A$3)), OR(B$3="Tất cả", 3=INT(B$3))), "85", "")</f>
        <v/>
      </c>
      <c r="G14" s="3" t="inlineStr"/>
      <c r="H14" s="3" t="inlineStr"/>
      <c r="I14" s="3">
        <f>IF(AND(OR(A$3="Tất cả", 8=INT(A$3), 8=INT(A$3)), OR(B$3="Tất cả", 6=INT(B$3))), "88", "")</f>
        <v/>
      </c>
      <c r="J14" s="3">
        <f>IF(AND(OR(A$3="Tất cả", 8=INT(A$3), 9=INT(A$3)), OR(B$3="Tất cả", 7=INT(B$3))), "89", "")</f>
        <v/>
      </c>
    </row>
    <row r="15">
      <c r="A15" s="2" t="inlineStr"/>
      <c r="B15" s="2" t="inlineStr"/>
      <c r="C15" s="3">
        <f>IF(AND(OR(A$3="Tất cả", 9=INT(A$3), 2=INT(A$3)), OR(B$3="Tất cả", 1=INT(B$3))), "92", "")</f>
        <v/>
      </c>
      <c r="D15" s="3">
        <f>IF(AND(OR(A$3="Tất cả", 9=INT(A$3), 3=INT(A$3)), OR(B$3="Tất cả", 2=INT(B$3))), "93", "")</f>
        <v/>
      </c>
      <c r="E15" s="3">
        <f>IF(AND(OR(A$3="Tất cả", 9=INT(A$3), 4=INT(A$3)), OR(B$3="Tất cả", 3=INT(B$3))), "94", "")</f>
        <v/>
      </c>
      <c r="F15" s="3" t="inlineStr"/>
      <c r="G15" s="3" t="inlineStr"/>
      <c r="H15" s="3">
        <f>IF(AND(OR(A$3="Tất cả", 9=INT(A$3), 7=INT(A$3)), OR(B$3="Tất cả", 6=INT(B$3))), "97", "")</f>
        <v/>
      </c>
      <c r="I15" s="3">
        <f>IF(AND(OR(A$3="Tất cả", 9=INT(A$3), 8=INT(A$3)), OR(B$3="Tất cả", 7=INT(B$3))), "98", "")</f>
        <v/>
      </c>
      <c r="J15" s="3">
        <f>IF(AND(OR(A$3="Tất cả", 9=INT(A$3), 9=INT(A$3)), OR(B$3="Tất cả", 8=INT(B$3))), "99", "")</f>
        <v/>
      </c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Không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Không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Không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Không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19</t>
        </is>
      </c>
      <c r="F228" s="3" t="inlineStr">
        <is>
          <t>T0-B5</t>
        </is>
      </c>
      <c r="G228" s="3" t="inlineStr">
        <is>
          <t>Trúng</t>
        </is>
      </c>
      <c r="H228" s="3" t="inlineStr">
        <is>
          <t>11</t>
        </is>
      </c>
      <c r="I228" s="3" t="inlineStr">
        <is>
          <t>T2-B7</t>
        </is>
      </c>
      <c r="J228" s="3" t="inlineStr">
        <is>
          <t>Không</t>
        </is>
      </c>
      <c r="K228" s="3" t="inlineStr">
        <is>
          <t>73</t>
        </is>
      </c>
      <c r="L228" s="3" t="inlineStr">
        <is>
          <t>T0-B5</t>
        </is>
      </c>
      <c r="M228" s="3" t="inlineStr">
        <is>
          <t>Trúng</t>
        </is>
      </c>
      <c r="N228" s="3" t="inlineStr">
        <is>
          <t>54</t>
        </is>
      </c>
      <c r="O228" s="3" t="inlineStr">
        <is>
          <t>T9-B4</t>
        </is>
      </c>
      <c r="P228" s="3" t="inlineStr">
        <is>
          <t>Không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88</t>
        </is>
      </c>
      <c r="F229" s="3" t="inlineStr">
        <is>
          <t>T6-B1</t>
        </is>
      </c>
      <c r="G229" s="3" t="inlineStr">
        <is>
          <t>Trúng</t>
        </is>
      </c>
      <c r="H229" s="3" t="inlineStr">
        <is>
          <t>34</t>
        </is>
      </c>
      <c r="I229" s="3" t="inlineStr">
        <is>
          <t>T7-B2</t>
        </is>
      </c>
      <c r="J229" s="3" t="inlineStr">
        <is>
          <t>Không</t>
        </is>
      </c>
      <c r="K229" s="3" t="inlineStr">
        <is>
          <t>47</t>
        </is>
      </c>
      <c r="L229" s="3" t="inlineStr">
        <is>
          <t>T1-B6</t>
        </is>
      </c>
      <c r="M229" s="3" t="inlineStr">
        <is>
          <t>Trúng</t>
        </is>
      </c>
      <c r="N229" s="3" t="inlineStr">
        <is>
          <t>00</t>
        </is>
      </c>
      <c r="O229" s="3" t="inlineStr">
        <is>
          <t>T0-B5</t>
        </is>
      </c>
      <c r="P229" s="3" t="inlineStr">
        <is>
          <t>Không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95</t>
        </is>
      </c>
      <c r="F230" s="3" t="inlineStr">
        <is>
          <t>T4-B9</t>
        </is>
      </c>
      <c r="G230" s="3" t="inlineStr">
        <is>
          <t>Trúng</t>
        </is>
      </c>
      <c r="H230" s="3" t="inlineStr">
        <is>
          <t>35</t>
        </is>
      </c>
      <c r="I230" s="3" t="inlineStr">
        <is>
          <t>T8-B3</t>
        </is>
      </c>
      <c r="J230" s="3" t="inlineStr">
        <is>
          <t>Không</t>
        </is>
      </c>
      <c r="K230" s="3" t="inlineStr">
        <is>
          <t>99</t>
        </is>
      </c>
      <c r="L230" s="3" t="inlineStr">
        <is>
          <t>T8-B3</t>
        </is>
      </c>
      <c r="M230" s="3" t="inlineStr">
        <is>
          <t>Không</t>
        </is>
      </c>
      <c r="N230" s="3" t="inlineStr">
        <is>
          <t>67</t>
        </is>
      </c>
      <c r="O230" s="3" t="inlineStr">
        <is>
          <t>T3-B8</t>
        </is>
      </c>
      <c r="P230" s="3" t="inlineStr">
        <is>
          <t>Không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26</t>
        </is>
      </c>
      <c r="F231" s="3" t="inlineStr">
        <is>
          <t>T8-B3</t>
        </is>
      </c>
      <c r="G231" s="3" t="inlineStr">
        <is>
          <t>Không</t>
        </is>
      </c>
      <c r="H231" s="3" t="inlineStr">
        <is>
          <t>09</t>
        </is>
      </c>
      <c r="I231" s="3" t="inlineStr">
        <is>
          <t>T9-B4</t>
        </is>
      </c>
      <c r="J231" s="3" t="inlineStr">
        <is>
          <t>Không</t>
        </is>
      </c>
      <c r="K231" s="3" t="inlineStr">
        <is>
          <t>06</t>
        </is>
      </c>
      <c r="L231" s="3" t="inlineStr">
        <is>
          <t>T6-B1</t>
        </is>
      </c>
      <c r="M231" s="3" t="inlineStr">
        <is>
          <t>Trúng</t>
        </is>
      </c>
      <c r="N231" s="3" t="inlineStr">
        <is>
          <t>64</t>
        </is>
      </c>
      <c r="O231" s="3" t="inlineStr">
        <is>
          <t>T0-B5</t>
        </is>
      </c>
      <c r="P231" s="3" t="inlineStr">
        <is>
          <t>Không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68</t>
        </is>
      </c>
      <c r="F232" s="3" t="inlineStr">
        <is>
          <t>T4-B9</t>
        </is>
      </c>
      <c r="G232" s="3" t="inlineStr">
        <is>
          <t>Không</t>
        </is>
      </c>
      <c r="H232" s="3" t="inlineStr">
        <is>
          <t>87</t>
        </is>
      </c>
      <c r="I232" s="3" t="inlineStr">
        <is>
          <t>T5-B0</t>
        </is>
      </c>
      <c r="J232" s="3" t="inlineStr">
        <is>
          <t>Không</t>
        </is>
      </c>
      <c r="K232" s="3" t="inlineStr">
        <is>
          <t>38</t>
        </is>
      </c>
      <c r="L232" s="3" t="inlineStr">
        <is>
          <t>T1-B6</t>
        </is>
      </c>
      <c r="M232" s="3" t="inlineStr">
        <is>
          <t>Không</t>
        </is>
      </c>
      <c r="N232" s="3" t="inlineStr">
        <is>
          <t>99</t>
        </is>
      </c>
      <c r="O232" s="3" t="inlineStr">
        <is>
          <t>T8-B3</t>
        </is>
      </c>
      <c r="P232" s="3" t="inlineStr">
        <is>
          <t>Trúng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19</t>
        </is>
      </c>
      <c r="F233" s="3" t="inlineStr">
        <is>
          <t>T0-B5</t>
        </is>
      </c>
      <c r="G233" s="3" t="inlineStr">
        <is>
          <t>Không</t>
        </is>
      </c>
      <c r="H233" s="3" t="inlineStr">
        <is>
          <t>85</t>
        </is>
      </c>
      <c r="I233" s="3" t="inlineStr">
        <is>
          <t>T3-B8</t>
        </is>
      </c>
      <c r="J233" s="3" t="inlineStr">
        <is>
          <t>Trúng</t>
        </is>
      </c>
      <c r="K233" s="3" t="inlineStr">
        <is>
          <t>40</t>
        </is>
      </c>
      <c r="L233" s="3" t="inlineStr">
        <is>
          <t>T4-B9</t>
        </is>
      </c>
      <c r="M233" s="3" t="inlineStr">
        <is>
          <t>Không</t>
        </is>
      </c>
      <c r="N233" s="3" t="inlineStr">
        <is>
          <t>71</t>
        </is>
      </c>
      <c r="O233" s="3" t="inlineStr">
        <is>
          <t>T8-B3</t>
        </is>
      </c>
      <c r="P233" s="3" t="inlineStr">
        <is>
          <t>Trúng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91</t>
        </is>
      </c>
      <c r="F234" s="3" t="inlineStr">
        <is>
          <t>T0-B5</t>
        </is>
      </c>
      <c r="G234" s="3" t="inlineStr">
        <is>
          <t>Không</t>
        </is>
      </c>
      <c r="H234" s="3" t="inlineStr">
        <is>
          <t>09</t>
        </is>
      </c>
      <c r="I234" s="3" t="inlineStr">
        <is>
          <t>T9-B4</t>
        </is>
      </c>
      <c r="J234" s="3" t="inlineStr">
        <is>
          <t>Không</t>
        </is>
      </c>
      <c r="K234" s="3" t="inlineStr">
        <is>
          <t>45</t>
        </is>
      </c>
      <c r="L234" s="3" t="inlineStr">
        <is>
          <t>T9-B4</t>
        </is>
      </c>
      <c r="M234" s="3" t="inlineStr">
        <is>
          <t>Không</t>
        </is>
      </c>
      <c r="N234" s="3" t="inlineStr">
        <is>
          <t>84</t>
        </is>
      </c>
      <c r="O234" s="3" t="inlineStr">
        <is>
          <t>T2-B7</t>
        </is>
      </c>
      <c r="P234" s="3" t="inlineStr">
        <is>
          <t>Trúng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23</t>
        </is>
      </c>
      <c r="F235" s="3" t="inlineStr">
        <is>
          <t>T5-B0</t>
        </is>
      </c>
      <c r="G235" s="3" t="inlineStr">
        <is>
          <t>Không</t>
        </is>
      </c>
      <c r="H235" s="3" t="inlineStr">
        <is>
          <t>68</t>
        </is>
      </c>
      <c r="I235" s="3" t="inlineStr">
        <is>
          <t>T4-B9</t>
        </is>
      </c>
      <c r="J235" s="3" t="inlineStr">
        <is>
          <t>Trúng</t>
        </is>
      </c>
      <c r="K235" s="3" t="inlineStr">
        <is>
          <t>96</t>
        </is>
      </c>
      <c r="L235" s="3" t="inlineStr">
        <is>
          <t>T5-B0</t>
        </is>
      </c>
      <c r="M235" s="3" t="inlineStr">
        <is>
          <t>Không</t>
        </is>
      </c>
      <c r="N235" s="3" t="inlineStr">
        <is>
          <t>69</t>
        </is>
      </c>
      <c r="O235" s="3" t="inlineStr">
        <is>
          <t>T5-B0</t>
        </is>
      </c>
      <c r="P235" s="3" t="inlineStr">
        <is>
          <t>Không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03</t>
        </is>
      </c>
      <c r="F236" s="3" t="inlineStr">
        <is>
          <t>T3-B8</t>
        </is>
      </c>
      <c r="G236" s="3" t="inlineStr">
        <is>
          <t>Không</t>
        </is>
      </c>
      <c r="H236" s="3" t="inlineStr">
        <is>
          <t>86</t>
        </is>
      </c>
      <c r="I236" s="3" t="inlineStr">
        <is>
          <t>T4-B9</t>
        </is>
      </c>
      <c r="J236" s="3" t="inlineStr">
        <is>
          <t>Trúng</t>
        </is>
      </c>
      <c r="K236" s="3" t="inlineStr">
        <is>
          <t>61</t>
        </is>
      </c>
      <c r="L236" s="3" t="inlineStr">
        <is>
          <t>T7-B2</t>
        </is>
      </c>
      <c r="M236" s="3" t="inlineStr">
        <is>
          <t>Không</t>
        </is>
      </c>
      <c r="N236" s="3" t="inlineStr">
        <is>
          <t>71</t>
        </is>
      </c>
      <c r="O236" s="3" t="inlineStr">
        <is>
          <t>T8-B3</t>
        </is>
      </c>
      <c r="P236" s="3" t="inlineStr">
        <is>
          <t>Không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96</t>
        </is>
      </c>
      <c r="F237" s="3" t="inlineStr">
        <is>
          <t>T5-B0</t>
        </is>
      </c>
      <c r="G237" s="3" t="inlineStr">
        <is>
          <t>Trúng</t>
        </is>
      </c>
      <c r="H237" s="3" t="inlineStr">
        <is>
          <t>59</t>
        </is>
      </c>
      <c r="I237" s="3" t="inlineStr">
        <is>
          <t>T4-B9</t>
        </is>
      </c>
      <c r="J237" s="3" t="inlineStr">
        <is>
          <t>Không</t>
        </is>
      </c>
      <c r="K237" s="3" t="inlineStr">
        <is>
          <t>82</t>
        </is>
      </c>
      <c r="L237" s="3" t="inlineStr">
        <is>
          <t>T0-B5</t>
        </is>
      </c>
      <c r="M237" s="3" t="inlineStr">
        <is>
          <t>Trúng</t>
        </is>
      </c>
      <c r="N237" s="3" t="inlineStr">
        <is>
          <t>07</t>
        </is>
      </c>
      <c r="O237" s="3" t="inlineStr">
        <is>
          <t>T7-B2</t>
        </is>
      </c>
      <c r="P237" s="3" t="inlineStr">
        <is>
          <t>Không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62</t>
        </is>
      </c>
      <c r="F238" s="3" t="inlineStr">
        <is>
          <t>T8-B3</t>
        </is>
      </c>
      <c r="G238" s="3" t="inlineStr">
        <is>
          <t>Không</t>
        </is>
      </c>
      <c r="H238" s="3" t="inlineStr">
        <is>
          <t>43</t>
        </is>
      </c>
      <c r="I238" s="3" t="inlineStr">
        <is>
          <t>T7-B2</t>
        </is>
      </c>
      <c r="J238" s="3" t="inlineStr">
        <is>
          <t>Không</t>
        </is>
      </c>
      <c r="K238" s="3" t="inlineStr">
        <is>
          <t>34</t>
        </is>
      </c>
      <c r="L238" s="3" t="inlineStr">
        <is>
          <t>T7-B2</t>
        </is>
      </c>
      <c r="M238" s="3" t="inlineStr">
        <is>
          <t>Không</t>
        </is>
      </c>
      <c r="N238" s="3" t="inlineStr">
        <is>
          <t>01</t>
        </is>
      </c>
      <c r="O238" s="3" t="inlineStr">
        <is>
          <t>T1-B6</t>
        </is>
      </c>
      <c r="P238" s="3" t="inlineStr">
        <is>
          <t>Không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66</t>
        </is>
      </c>
      <c r="F239" s="3" t="inlineStr">
        <is>
          <t>T2-B7</t>
        </is>
      </c>
      <c r="G239" s="3" t="inlineStr">
        <is>
          <t>Không</t>
        </is>
      </c>
      <c r="H239" s="3" t="inlineStr">
        <is>
          <t>21</t>
        </is>
      </c>
      <c r="I239" s="3" t="inlineStr">
        <is>
          <t>T3-B8</t>
        </is>
      </c>
      <c r="J239" s="3" t="inlineStr">
        <is>
          <t>Trúng</t>
        </is>
      </c>
      <c r="K239" s="3" t="inlineStr">
        <is>
          <t>34</t>
        </is>
      </c>
      <c r="L239" s="3" t="inlineStr">
        <is>
          <t>T7-B2</t>
        </is>
      </c>
      <c r="M239" s="3" t="inlineStr">
        <is>
          <t>Không</t>
        </is>
      </c>
      <c r="N239" s="3" t="inlineStr">
        <is>
          <t>78</t>
        </is>
      </c>
      <c r="O239" s="3" t="inlineStr">
        <is>
          <t>T5-B0</t>
        </is>
      </c>
      <c r="P239" s="3" t="inlineStr">
        <is>
          <t>Không</t>
        </is>
      </c>
    </row>
    <row r="240">
      <c r="A240" s="2" t="n">
        <v>239</v>
      </c>
      <c r="B240" s="2" t="inlineStr">
        <is>
          <t>Thứ hai ngày 31-08-2026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77</t>
        </is>
      </c>
      <c r="F240" s="3" t="inlineStr">
        <is>
          <t>T4-B9</t>
        </is>
      </c>
      <c r="G240" s="3" t="inlineStr">
        <is>
          <t>Không</t>
        </is>
      </c>
      <c r="H240" s="3" t="inlineStr">
        <is>
          <t>34</t>
        </is>
      </c>
      <c r="I240" s="3" t="inlineStr">
        <is>
          <t>T7-B2</t>
        </is>
      </c>
      <c r="J240" s="3" t="inlineStr">
        <is>
          <t>Không</t>
        </is>
      </c>
      <c r="K240" s="3" t="inlineStr">
        <is>
          <t>70</t>
        </is>
      </c>
      <c r="L240" s="3" t="inlineStr">
        <is>
          <t>T7-B2</t>
        </is>
      </c>
      <c r="M240" s="3" t="inlineStr">
        <is>
          <t>Không</t>
        </is>
      </c>
      <c r="N240" s="3" t="inlineStr">
        <is>
          <t>20</t>
        </is>
      </c>
      <c r="O240" s="3" t="inlineStr">
        <is>
          <t>T2-B7</t>
        </is>
      </c>
      <c r="P240" s="3" t="inlineStr">
        <is>
          <t>Không</t>
        </is>
      </c>
    </row>
    <row r="241">
      <c r="A241" s="2" t="n">
        <v>240</v>
      </c>
      <c r="B241" s="2" t="inlineStr">
        <is>
          <t>Thứ ba ngày 01-09-2026</t>
        </is>
      </c>
      <c r="C241" s="3" t="inlineStr">
        <is>
          <t>05521</t>
        </is>
      </c>
      <c r="D241" s="3" t="inlineStr">
        <is>
          <t>21</t>
        </is>
      </c>
      <c r="E241" s="3" t="inlineStr">
        <is>
          <t>63</t>
        </is>
      </c>
      <c r="F241" s="3" t="inlineStr">
        <is>
          <t>T9-B4</t>
        </is>
      </c>
      <c r="G241" s="3" t="inlineStr">
        <is>
          <t>Không</t>
        </is>
      </c>
      <c r="H241" s="3" t="inlineStr">
        <is>
          <t>93</t>
        </is>
      </c>
      <c r="I241" s="3" t="inlineStr">
        <is>
          <t>T2-B7</t>
        </is>
      </c>
      <c r="J241" s="3" t="inlineStr">
        <is>
          <t>Không</t>
        </is>
      </c>
      <c r="K241" s="3" t="inlineStr">
        <is>
          <t>51</t>
        </is>
      </c>
      <c r="L241" s="3" t="inlineStr">
        <is>
          <t>T6-B1</t>
        </is>
      </c>
      <c r="M241" s="3" t="inlineStr">
        <is>
          <t>Trúng</t>
        </is>
      </c>
      <c r="N241" s="3" t="inlineStr">
        <is>
          <t>68</t>
        </is>
      </c>
      <c r="O241" s="3" t="inlineStr">
        <is>
          <t>T4-B9</t>
        </is>
      </c>
      <c r="P241" s="3" t="inlineStr">
        <is>
          <t>Không</t>
        </is>
      </c>
    </row>
    <row r="242">
      <c r="A242" s="2" t="n">
        <v>241</v>
      </c>
      <c r="B242" s="2" t="inlineStr">
        <is>
          <t>Thứ tư ngày 02-09-2026</t>
        </is>
      </c>
      <c r="C242" s="3" t="inlineStr">
        <is>
          <t>44542</t>
        </is>
      </c>
      <c r="D242" s="3" t="inlineStr">
        <is>
          <t>42</t>
        </is>
      </c>
      <c r="E242" s="3" t="inlineStr">
        <is>
          <t>15</t>
        </is>
      </c>
      <c r="F242" s="3" t="inlineStr">
        <is>
          <t>T6-B1</t>
        </is>
      </c>
      <c r="G242" s="3" t="inlineStr">
        <is>
          <t>Không</t>
        </is>
      </c>
      <c r="H242" s="3" t="inlineStr">
        <is>
          <t>64</t>
        </is>
      </c>
      <c r="I242" s="3" t="inlineStr">
        <is>
          <t>T0-B5</t>
        </is>
      </c>
      <c r="J242" s="3" t="inlineStr">
        <is>
          <t>Không</t>
        </is>
      </c>
      <c r="K242" s="3" t="inlineStr">
        <is>
          <t>32</t>
        </is>
      </c>
      <c r="L242" s="3" t="inlineStr">
        <is>
          <t>T5-B0</t>
        </is>
      </c>
      <c r="M242" s="3" t="inlineStr">
        <is>
          <t>Không</t>
        </is>
      </c>
      <c r="N242" s="3" t="inlineStr">
        <is>
          <t>10</t>
        </is>
      </c>
      <c r="O242" s="3" t="inlineStr">
        <is>
          <t>T1-B6</t>
        </is>
      </c>
      <c r="P242" s="3" t="inlineStr">
        <is>
          <t>Không</t>
        </is>
      </c>
    </row>
    <row r="243">
      <c r="A243" s="2" t="n">
        <v>242</v>
      </c>
      <c r="B243" s="2" t="inlineStr">
        <is>
          <t>Thứ năm ngày 03-09-2026</t>
        </is>
      </c>
      <c r="C243" s="3" t="inlineStr">
        <is>
          <t>39511</t>
        </is>
      </c>
      <c r="D243" s="3" t="inlineStr">
        <is>
          <t>11</t>
        </is>
      </c>
      <c r="E243" s="3" t="inlineStr">
        <is>
          <t>08</t>
        </is>
      </c>
      <c r="F243" s="3" t="inlineStr">
        <is>
          <t>T8-B3</t>
        </is>
      </c>
      <c r="G243" s="3" t="inlineStr">
        <is>
          <t>Không</t>
        </is>
      </c>
      <c r="H243" s="3" t="inlineStr">
        <is>
          <t>44</t>
        </is>
      </c>
      <c r="I243" s="3" t="inlineStr">
        <is>
          <t>T8-B3</t>
        </is>
      </c>
      <c r="J243" s="3" t="inlineStr">
        <is>
          <t>Không</t>
        </is>
      </c>
      <c r="K243" s="3" t="inlineStr">
        <is>
          <t>73</t>
        </is>
      </c>
      <c r="L243" s="3" t="inlineStr">
        <is>
          <t>T0-B5</t>
        </is>
      </c>
      <c r="M243" s="3" t="inlineStr">
        <is>
          <t>Không</t>
        </is>
      </c>
      <c r="N243" s="3" t="inlineStr">
        <is>
          <t>71</t>
        </is>
      </c>
      <c r="O243" s="3" t="inlineStr">
        <is>
          <t>T8-B3</t>
        </is>
      </c>
      <c r="P243" s="3" t="inlineStr">
        <is>
          <t>Không</t>
        </is>
      </c>
    </row>
    <row r="244">
      <c r="A244" s="2" t="n">
        <v>243</v>
      </c>
      <c r="B244" s="2" t="inlineStr">
        <is>
          <t>Thứ sáu ngày 04-09-2026</t>
        </is>
      </c>
      <c r="C244" s="3" t="inlineStr">
        <is>
          <t>50066</t>
        </is>
      </c>
      <c r="D244" s="3" t="inlineStr">
        <is>
          <t>66</t>
        </is>
      </c>
      <c r="E244" s="3" t="inlineStr">
        <is>
          <t>06</t>
        </is>
      </c>
      <c r="F244" s="3" t="inlineStr">
        <is>
          <t>T6-B1</t>
        </is>
      </c>
      <c r="G244" s="3" t="inlineStr">
        <is>
          <t>Không</t>
        </is>
      </c>
      <c r="H244" s="3" t="inlineStr">
        <is>
          <t>14</t>
        </is>
      </c>
      <c r="I244" s="3" t="inlineStr">
        <is>
          <t>T5-B0</t>
        </is>
      </c>
      <c r="J244" s="3" t="inlineStr">
        <is>
          <t>Trúng</t>
        </is>
      </c>
      <c r="K244" s="3" t="inlineStr">
        <is>
          <t>74</t>
        </is>
      </c>
      <c r="L244" s="3" t="inlineStr">
        <is>
          <t>T1-B6</t>
        </is>
      </c>
      <c r="M244" s="3" t="inlineStr">
        <is>
          <t>Không</t>
        </is>
      </c>
      <c r="N244" s="3" t="inlineStr">
        <is>
          <t>88</t>
        </is>
      </c>
      <c r="O244" s="3" t="inlineStr">
        <is>
          <t>T6-B1</t>
        </is>
      </c>
      <c r="P244" s="3" t="inlineStr">
        <is>
          <t>Không</t>
        </is>
      </c>
    </row>
    <row r="245">
      <c r="A245" s="2" t="n">
        <v>244</v>
      </c>
      <c r="B245" s="2" t="inlineStr">
        <is>
          <t>Thứ bảy ngày 05-09-2026</t>
        </is>
      </c>
      <c r="C245" s="3" t="inlineStr">
        <is>
          <t>24037</t>
        </is>
      </c>
      <c r="D245" s="3" t="inlineStr">
        <is>
          <t>37</t>
        </is>
      </c>
      <c r="E245" s="3" t="inlineStr">
        <is>
          <t>88</t>
        </is>
      </c>
      <c r="F245" s="3" t="inlineStr">
        <is>
          <t>T6-B1</t>
        </is>
      </c>
      <c r="G245" s="3" t="inlineStr">
        <is>
          <t>Không</t>
        </is>
      </c>
      <c r="H245" s="3" t="inlineStr">
        <is>
          <t>59</t>
        </is>
      </c>
      <c r="I245" s="3" t="inlineStr">
        <is>
          <t>T4-B9</t>
        </is>
      </c>
      <c r="J245" s="3" t="inlineStr">
        <is>
          <t>Không</t>
        </is>
      </c>
      <c r="K245" s="3" t="inlineStr">
        <is>
          <t>31</t>
        </is>
      </c>
      <c r="L245" s="3" t="inlineStr">
        <is>
          <t>T4-B9</t>
        </is>
      </c>
      <c r="M245" s="3" t="inlineStr">
        <is>
          <t>Không</t>
        </is>
      </c>
      <c r="N245" s="3" t="inlineStr">
        <is>
          <t>21</t>
        </is>
      </c>
      <c r="O245" s="3" t="inlineStr">
        <is>
          <t>T3-B8</t>
        </is>
      </c>
      <c r="P245" s="3" t="inlineStr">
        <is>
          <t>Trúng</t>
        </is>
      </c>
    </row>
    <row r="246">
      <c r="A246" s="2" t="n">
        <v>245</v>
      </c>
      <c r="B246" s="2" t="inlineStr">
        <is>
          <t>Chủ nhật ngày 06-09-2026</t>
        </is>
      </c>
      <c r="C246" s="3" t="inlineStr">
        <is>
          <t>61435</t>
        </is>
      </c>
      <c r="D246" s="3" t="inlineStr">
        <is>
          <t>35</t>
        </is>
      </c>
      <c r="E246" s="3" t="inlineStr">
        <is>
          <t>58</t>
        </is>
      </c>
      <c r="F246" s="3" t="inlineStr">
        <is>
          <t>T3-B8</t>
        </is>
      </c>
      <c r="G246" s="3" t="inlineStr">
        <is>
          <t>Không</t>
        </is>
      </c>
      <c r="H246" s="3" t="inlineStr">
        <is>
          <t>64</t>
        </is>
      </c>
      <c r="I246" s="3" t="inlineStr">
        <is>
          <t>T0-B5</t>
        </is>
      </c>
      <c r="J246" s="3" t="inlineStr">
        <is>
          <t>Không</t>
        </is>
      </c>
      <c r="K246" s="3" t="inlineStr">
        <is>
          <t>38</t>
        </is>
      </c>
      <c r="L246" s="3" t="inlineStr">
        <is>
          <t>T1-B6</t>
        </is>
      </c>
      <c r="M246" s="3" t="inlineStr">
        <is>
          <t>Không</t>
        </is>
      </c>
      <c r="N246" s="3" t="inlineStr">
        <is>
          <t>33</t>
        </is>
      </c>
      <c r="O246" s="3" t="inlineStr">
        <is>
          <t>T6-B1</t>
        </is>
      </c>
      <c r="P246" s="3" t="inlineStr">
        <is>
          <t>Không</t>
        </is>
      </c>
    </row>
    <row r="247">
      <c r="A247" s="2" t="n">
        <v>246</v>
      </c>
      <c r="B247" s="2" t="inlineStr">
        <is>
          <t>Thứ hai ngày 07-09-2026</t>
        </is>
      </c>
      <c r="C247" s="3" t="inlineStr">
        <is>
          <t>34990</t>
        </is>
      </c>
      <c r="D247" s="3" t="inlineStr">
        <is>
          <t>90</t>
        </is>
      </c>
      <c r="E247" s="3" t="inlineStr">
        <is>
          <t>48</t>
        </is>
      </c>
      <c r="F247" s="3" t="inlineStr">
        <is>
          <t>T2-B7</t>
        </is>
      </c>
      <c r="G247" s="3" t="inlineStr">
        <is>
          <t>Không</t>
        </is>
      </c>
      <c r="H247" s="3" t="inlineStr">
        <is>
          <t>16</t>
        </is>
      </c>
      <c r="I247" s="3" t="inlineStr">
        <is>
          <t>T7-B2</t>
        </is>
      </c>
      <c r="J247" s="3" t="inlineStr">
        <is>
          <t>Không</t>
        </is>
      </c>
      <c r="K247" s="3" t="inlineStr">
        <is>
          <t>50</t>
        </is>
      </c>
      <c r="L247" s="3" t="inlineStr">
        <is>
          <t>T5-B0</t>
        </is>
      </c>
      <c r="M247" s="3" t="inlineStr">
        <is>
          <t>Trúng</t>
        </is>
      </c>
      <c r="N247" s="3" t="inlineStr">
        <is>
          <t>19</t>
        </is>
      </c>
      <c r="O247" s="3" t="inlineStr">
        <is>
          <t>T0-B5</t>
        </is>
      </c>
      <c r="P247" s="3" t="inlineStr">
        <is>
          <t>Trúng</t>
        </is>
      </c>
    </row>
    <row r="248">
      <c r="A248" s="2" t="n">
        <v>247</v>
      </c>
      <c r="B248" s="2" t="inlineStr">
        <is>
          <t>Thứ ba ngày 08-09-2026</t>
        </is>
      </c>
      <c r="C248" s="3" t="inlineStr">
        <is>
          <t>39687</t>
        </is>
      </c>
      <c r="D248" s="3" t="inlineStr">
        <is>
          <t>87</t>
        </is>
      </c>
      <c r="E248" s="3" t="inlineStr">
        <is>
          <t>08</t>
        </is>
      </c>
      <c r="F248" s="3" t="inlineStr">
        <is>
          <t>T8-B3</t>
        </is>
      </c>
      <c r="G248" s="3" t="inlineStr">
        <is>
          <t>Không</t>
        </is>
      </c>
      <c r="H248" s="3" t="inlineStr">
        <is>
          <t>38</t>
        </is>
      </c>
      <c r="I248" s="3" t="inlineStr">
        <is>
          <t>T1-B6</t>
        </is>
      </c>
      <c r="J248" s="3" t="inlineStr">
        <is>
          <t>Không</t>
        </is>
      </c>
      <c r="K248" s="3" t="inlineStr">
        <is>
          <t>60</t>
        </is>
      </c>
      <c r="L248" s="3" t="inlineStr">
        <is>
          <t>T6-B1</t>
        </is>
      </c>
      <c r="M248" s="3" t="inlineStr">
        <is>
          <t>Không</t>
        </is>
      </c>
      <c r="N248" s="3" t="inlineStr">
        <is>
          <t>07</t>
        </is>
      </c>
      <c r="O248" s="3" t="inlineStr">
        <is>
          <t>T7-B2</t>
        </is>
      </c>
      <c r="P248" s="3" t="inlineStr">
        <is>
          <t>Không</t>
        </is>
      </c>
    </row>
    <row r="249">
      <c r="A249" s="2" t="n">
        <v>248</v>
      </c>
      <c r="B249" s="2" t="inlineStr">
        <is>
          <t>Thứ tư ngày 09-09-2026</t>
        </is>
      </c>
      <c r="C249" s="3" t="inlineStr">
        <is>
          <t>94504</t>
        </is>
      </c>
      <c r="D249" s="3" t="inlineStr">
        <is>
          <t>04</t>
        </is>
      </c>
      <c r="E249" s="3" t="inlineStr">
        <is>
          <t>18</t>
        </is>
      </c>
      <c r="F249" s="3" t="inlineStr">
        <is>
          <t>T9-B4</t>
        </is>
      </c>
      <c r="G249" s="3" t="inlineStr">
        <is>
          <t>Trúng</t>
        </is>
      </c>
      <c r="H249" s="3" t="inlineStr">
        <is>
          <t>20</t>
        </is>
      </c>
      <c r="I249" s="3" t="inlineStr">
        <is>
          <t>T2-B7</t>
        </is>
      </c>
      <c r="J249" s="3" t="inlineStr">
        <is>
          <t>Không</t>
        </is>
      </c>
      <c r="K249" s="3" t="inlineStr">
        <is>
          <t>87</t>
        </is>
      </c>
      <c r="L249" s="3" t="inlineStr">
        <is>
          <t>T5-B0</t>
        </is>
      </c>
      <c r="M249" s="3" t="inlineStr">
        <is>
          <t>Không</t>
        </is>
      </c>
      <c r="N249" s="3" t="inlineStr">
        <is>
          <t>62</t>
        </is>
      </c>
      <c r="O249" s="3" t="inlineStr">
        <is>
          <t>T8-B3</t>
        </is>
      </c>
      <c r="P249" s="3" t="inlineStr">
        <is>
          <t>Không</t>
        </is>
      </c>
    </row>
    <row r="250">
      <c r="A250" s="2" t="n">
        <v>249</v>
      </c>
      <c r="B250" s="2" t="inlineStr">
        <is>
          <t>Thứ năm ngày 10-09-2026</t>
        </is>
      </c>
      <c r="C250" s="3" t="inlineStr">
        <is>
          <t>30981</t>
        </is>
      </c>
      <c r="D250" s="3" t="inlineStr">
        <is>
          <t>81</t>
        </is>
      </c>
      <c r="E250" s="3" t="inlineStr">
        <is>
          <t>53</t>
        </is>
      </c>
      <c r="F250" s="3" t="inlineStr">
        <is>
          <t>T8-B3</t>
        </is>
      </c>
      <c r="G250" s="3" t="inlineStr">
        <is>
          <t>Không</t>
        </is>
      </c>
      <c r="H250" s="3" t="inlineStr">
        <is>
          <t>94</t>
        </is>
      </c>
      <c r="I250" s="3" t="inlineStr">
        <is>
          <t>T3-B8</t>
        </is>
      </c>
      <c r="J250" s="3" t="inlineStr">
        <is>
          <t>Không</t>
        </is>
      </c>
      <c r="K250" s="3" t="inlineStr">
        <is>
          <t>14</t>
        </is>
      </c>
      <c r="L250" s="3" t="inlineStr">
        <is>
          <t>T5-B0</t>
        </is>
      </c>
      <c r="M250" s="3" t="inlineStr">
        <is>
          <t>Không</t>
        </is>
      </c>
      <c r="N250" s="3" t="inlineStr">
        <is>
          <t>47</t>
        </is>
      </c>
      <c r="O250" s="3" t="inlineStr">
        <is>
          <t>T1-B6</t>
        </is>
      </c>
      <c r="P250" s="3" t="inlineStr">
        <is>
          <t>Không</t>
        </is>
      </c>
    </row>
    <row r="251">
      <c r="A251" s="2" t="n">
        <v>250</v>
      </c>
      <c r="B251" s="2" t="inlineStr">
        <is>
          <t>Thứ sáu ngày 11-09-2026</t>
        </is>
      </c>
      <c r="C251" s="3" t="inlineStr">
        <is>
          <t>29352</t>
        </is>
      </c>
      <c r="D251" s="3" t="inlineStr">
        <is>
          <t>52</t>
        </is>
      </c>
      <c r="E251" s="3" t="inlineStr">
        <is>
          <t>00</t>
        </is>
      </c>
      <c r="F251" s="3" t="inlineStr">
        <is>
          <t>T0-B5</t>
        </is>
      </c>
      <c r="G251" s="3" t="inlineStr">
        <is>
          <t>Không</t>
        </is>
      </c>
      <c r="H251" s="3" t="inlineStr">
        <is>
          <t>41</t>
        </is>
      </c>
      <c r="I251" s="3" t="inlineStr">
        <is>
          <t>T5-B0</t>
        </is>
      </c>
      <c r="J251" s="3" t="inlineStr">
        <is>
          <t>Không</t>
        </is>
      </c>
      <c r="K251" s="3" t="inlineStr">
        <is>
          <t>89</t>
        </is>
      </c>
      <c r="L251" s="3" t="inlineStr">
        <is>
          <t>T7-B2</t>
        </is>
      </c>
      <c r="M251" s="3" t="inlineStr">
        <is>
          <t>Không</t>
        </is>
      </c>
      <c r="N251" s="3" t="inlineStr">
        <is>
          <t>12</t>
        </is>
      </c>
      <c r="O251" s="3" t="inlineStr">
        <is>
          <t>T3-B8</t>
        </is>
      </c>
      <c r="P251" s="3" t="inlineStr">
        <is>
          <t>Không</t>
        </is>
      </c>
    </row>
    <row r="252">
      <c r="A252" s="2" t="n">
        <v>251</v>
      </c>
      <c r="B252" s="2" t="inlineStr">
        <is>
          <t>Thứ bảy ngày 12-09-2026</t>
        </is>
      </c>
      <c r="C252" s="3" t="inlineStr">
        <is>
          <t>58851</t>
        </is>
      </c>
      <c r="D252" s="3" t="inlineStr">
        <is>
          <t>51</t>
        </is>
      </c>
      <c r="E252" s="3" t="inlineStr">
        <is>
          <t>01</t>
        </is>
      </c>
      <c r="F252" s="3" t="inlineStr">
        <is>
          <t>T1-B6</t>
        </is>
      </c>
      <c r="G252" s="3" t="inlineStr">
        <is>
          <t>Không</t>
        </is>
      </c>
      <c r="H252" s="3" t="inlineStr">
        <is>
          <t>39</t>
        </is>
      </c>
      <c r="I252" s="3" t="inlineStr">
        <is>
          <t>T2-B7</t>
        </is>
      </c>
      <c r="J252" s="3" t="inlineStr">
        <is>
          <t>Không</t>
        </is>
      </c>
      <c r="K252" s="3" t="inlineStr">
        <is>
          <t>43</t>
        </is>
      </c>
      <c r="L252" s="3" t="inlineStr">
        <is>
          <t>T7-B2</t>
        </is>
      </c>
      <c r="M252" s="3" t="inlineStr">
        <is>
          <t>Không</t>
        </is>
      </c>
      <c r="N252" s="3" t="inlineStr">
        <is>
          <t>23</t>
        </is>
      </c>
      <c r="O252" s="3" t="inlineStr">
        <is>
          <t>T5-B0</t>
        </is>
      </c>
      <c r="P252" s="3" t="inlineStr">
        <is>
          <t>Không</t>
        </is>
      </c>
    </row>
    <row r="253">
      <c r="A253" s="2" t="n">
        <v>252</v>
      </c>
      <c r="B253" s="2" t="inlineStr">
        <is>
          <t>Chủ nhật ngày 13-09-2026</t>
        </is>
      </c>
      <c r="C253" s="3" t="inlineStr">
        <is>
          <t>83799</t>
        </is>
      </c>
      <c r="D253" s="3" t="inlineStr">
        <is>
          <t>99</t>
        </is>
      </c>
      <c r="E253" s="3" t="inlineStr">
        <is>
          <t>21</t>
        </is>
      </c>
      <c r="F253" s="3" t="inlineStr">
        <is>
          <t>T3-B8</t>
        </is>
      </c>
      <c r="G253" s="3" t="inlineStr">
        <is>
          <t>Không</t>
        </is>
      </c>
      <c r="H253" s="3" t="inlineStr">
        <is>
          <t>88</t>
        </is>
      </c>
      <c r="I253" s="3" t="inlineStr">
        <is>
          <t>T6-B1</t>
        </is>
      </c>
      <c r="J253" s="3" t="inlineStr">
        <is>
          <t>Không</t>
        </is>
      </c>
      <c r="K253" s="3" t="inlineStr">
        <is>
          <t>40</t>
        </is>
      </c>
      <c r="L253" s="3" t="inlineStr">
        <is>
          <t>T4-B9</t>
        </is>
      </c>
      <c r="M253" s="3" t="inlineStr">
        <is>
          <t>Trúng</t>
        </is>
      </c>
      <c r="N253" s="3" t="inlineStr">
        <is>
          <t>27</t>
        </is>
      </c>
      <c r="O253" s="3" t="inlineStr">
        <is>
          <t>T9-B4</t>
        </is>
      </c>
      <c r="P253" s="3" t="inlineStr">
        <is>
          <t>Trúng</t>
        </is>
      </c>
    </row>
    <row r="254">
      <c r="A254" s="2" t="n">
        <v>253</v>
      </c>
      <c r="B254" s="2" t="inlineStr">
        <is>
          <t>Thứ hai ngày 14-09-2026</t>
        </is>
      </c>
      <c r="C254" s="3" t="inlineStr">
        <is>
          <t>74522</t>
        </is>
      </c>
      <c r="D254" s="3" t="inlineStr">
        <is>
          <t>22</t>
        </is>
      </c>
      <c r="E254" s="3" t="inlineStr">
        <is>
          <t>75</t>
        </is>
      </c>
      <c r="F254" s="3" t="inlineStr">
        <is>
          <t>T2-B7</t>
        </is>
      </c>
      <c r="G254" s="3" t="inlineStr">
        <is>
          <t>Không</t>
        </is>
      </c>
      <c r="H254" s="3" t="inlineStr">
        <is>
          <t>94</t>
        </is>
      </c>
      <c r="I254" s="3" t="inlineStr">
        <is>
          <t>T3-B8</t>
        </is>
      </c>
      <c r="J254" s="3" t="inlineStr">
        <is>
          <t>Không</t>
        </is>
      </c>
      <c r="K254" s="3" t="inlineStr">
        <is>
          <t>24</t>
        </is>
      </c>
      <c r="L254" s="3" t="inlineStr">
        <is>
          <t>T6-B1</t>
        </is>
      </c>
      <c r="M254" s="3" t="inlineStr">
        <is>
          <t>Trúng</t>
        </is>
      </c>
      <c r="N254" s="3" t="inlineStr">
        <is>
          <t>31</t>
        </is>
      </c>
      <c r="O254" s="3" t="inlineStr">
        <is>
          <t>T4-B9</t>
        </is>
      </c>
      <c r="P254" s="3" t="inlineStr">
        <is>
          <t>Không</t>
        </is>
      </c>
    </row>
    <row r="255">
      <c r="A255" s="2" t="n">
        <v>254</v>
      </c>
      <c r="B255" s="2" t="inlineStr">
        <is>
          <t>Thứ ba ngày 15-09-2026</t>
        </is>
      </c>
      <c r="C255" s="3" t="inlineStr">
        <is>
          <t>31429</t>
        </is>
      </c>
      <c r="D255" s="3" t="inlineStr">
        <is>
          <t>29</t>
        </is>
      </c>
      <c r="E255" s="3" t="inlineStr">
        <is>
          <t>27</t>
        </is>
      </c>
      <c r="F255" s="3" t="inlineStr">
        <is>
          <t>T9-B4</t>
        </is>
      </c>
      <c r="G255" s="3" t="inlineStr">
        <is>
          <t>Không</t>
        </is>
      </c>
      <c r="H255" s="3" t="inlineStr">
        <is>
          <t>15</t>
        </is>
      </c>
      <c r="I255" s="3" t="inlineStr">
        <is>
          <t>T6-B1</t>
        </is>
      </c>
      <c r="J255" s="3" t="inlineStr">
        <is>
          <t>Không</t>
        </is>
      </c>
      <c r="K255" s="3" t="inlineStr">
        <is>
          <t>44</t>
        </is>
      </c>
      <c r="L255" s="3" t="inlineStr">
        <is>
          <t>T8-B3</t>
        </is>
      </c>
      <c r="M255" s="3" t="inlineStr">
        <is>
          <t>Trúng</t>
        </is>
      </c>
      <c r="N255" s="3" t="inlineStr">
        <is>
          <t>13</t>
        </is>
      </c>
      <c r="O255" s="3" t="inlineStr">
        <is>
          <t>T4-B9</t>
        </is>
      </c>
      <c r="P255" s="3" t="inlineStr">
        <is>
          <t>Không</t>
        </is>
      </c>
    </row>
    <row r="256">
      <c r="A256" s="2" t="n">
        <v>255</v>
      </c>
      <c r="B256" s="2" t="inlineStr">
        <is>
          <t>Thứ tư ngày 16-09-2026</t>
        </is>
      </c>
      <c r="C256" s="3" t="inlineStr">
        <is>
          <t>96344</t>
        </is>
      </c>
      <c r="D256" s="3" t="inlineStr">
        <is>
          <t>44</t>
        </is>
      </c>
      <c r="E256" s="3" t="inlineStr">
        <is>
          <t>24</t>
        </is>
      </c>
      <c r="F256" s="3" t="inlineStr">
        <is>
          <t>T6-B1</t>
        </is>
      </c>
      <c r="G256" s="3" t="inlineStr">
        <is>
          <t>Trúng</t>
        </is>
      </c>
      <c r="H256" s="3" t="inlineStr">
        <is>
          <t>21</t>
        </is>
      </c>
      <c r="I256" s="3" t="inlineStr">
        <is>
          <t>T3-B8</t>
        </is>
      </c>
      <c r="J256" s="3" t="inlineStr">
        <is>
          <t>Không</t>
        </is>
      </c>
      <c r="K256" s="3" t="inlineStr">
        <is>
          <t>46</t>
        </is>
      </c>
      <c r="L256" s="3" t="inlineStr">
        <is>
          <t>T0-B5</t>
        </is>
      </c>
      <c r="M256" s="3" t="inlineStr">
        <is>
          <t>Không</t>
        </is>
      </c>
      <c r="N256" s="3" t="inlineStr">
        <is>
          <t>31</t>
        </is>
      </c>
      <c r="O256" s="3" t="inlineStr">
        <is>
          <t>T4-B9</t>
        </is>
      </c>
      <c r="P256" s="3" t="inlineStr">
        <is>
          <t>Không</t>
        </is>
      </c>
    </row>
    <row r="257">
      <c r="A257" s="2" t="n">
        <v>256</v>
      </c>
      <c r="B257" s="2" t="inlineStr">
        <is>
          <t>Thứ năm ngày 17-09-2026</t>
        </is>
      </c>
      <c r="C257" s="3" t="inlineStr">
        <is>
          <t>71960</t>
        </is>
      </c>
      <c r="D257" s="3" t="inlineStr">
        <is>
          <t>60</t>
        </is>
      </c>
      <c r="E257" s="3" t="inlineStr">
        <is>
          <t>66</t>
        </is>
      </c>
      <c r="F257" s="3" t="inlineStr">
        <is>
          <t>T2-B7</t>
        </is>
      </c>
      <c r="G257" s="3" t="inlineStr">
        <is>
          <t>Không</t>
        </is>
      </c>
      <c r="H257" s="3" t="inlineStr">
        <is>
          <t>92</t>
        </is>
      </c>
      <c r="I257" s="3" t="inlineStr">
        <is>
          <t>T1-B6</t>
        </is>
      </c>
      <c r="J257" s="3" t="inlineStr">
        <is>
          <t>Không</t>
        </is>
      </c>
      <c r="K257" s="3" t="inlineStr">
        <is>
          <t>36</t>
        </is>
      </c>
      <c r="L257" s="3" t="inlineStr">
        <is>
          <t>T9-B4</t>
        </is>
      </c>
      <c r="M257" s="3" t="inlineStr">
        <is>
          <t>Không</t>
        </is>
      </c>
      <c r="N257" s="3" t="inlineStr">
        <is>
          <t>12</t>
        </is>
      </c>
      <c r="O257" s="3" t="inlineStr">
        <is>
          <t>T3-B8</t>
        </is>
      </c>
      <c r="P257" s="3" t="inlineStr">
        <is>
          <t>Trúng</t>
        </is>
      </c>
    </row>
    <row r="258">
      <c r="A258" s="2" t="n">
        <v>257</v>
      </c>
      <c r="B258" s="2" t="inlineStr">
        <is>
          <t>Thứ sáu ngày 18-09-2026</t>
        </is>
      </c>
      <c r="C258" s="3" t="inlineStr">
        <is>
          <t>27367</t>
        </is>
      </c>
      <c r="D258" s="3" t="inlineStr">
        <is>
          <t>67</t>
        </is>
      </c>
      <c r="E258" s="3" t="inlineStr">
        <is>
          <t>40</t>
        </is>
      </c>
      <c r="F258" s="3" t="inlineStr">
        <is>
          <t>T4-B9</t>
        </is>
      </c>
      <c r="G258" s="3" t="inlineStr">
        <is>
          <t>Không</t>
        </is>
      </c>
      <c r="H258" s="3" t="inlineStr">
        <is>
          <t>93</t>
        </is>
      </c>
      <c r="I258" s="3" t="inlineStr">
        <is>
          <t>T2-B7</t>
        </is>
      </c>
      <c r="J258" s="3" t="inlineStr">
        <is>
          <t>Không</t>
        </is>
      </c>
      <c r="K258" s="3" t="inlineStr">
        <is>
          <t>79</t>
        </is>
      </c>
      <c r="L258" s="3" t="inlineStr">
        <is>
          <t>T6-B1</t>
        </is>
      </c>
      <c r="M258" s="3" t="inlineStr">
        <is>
          <t>Không</t>
        </is>
      </c>
      <c r="N258" s="3" t="inlineStr">
        <is>
          <t>82</t>
        </is>
      </c>
      <c r="O258" s="3" t="inlineStr">
        <is>
          <t>T0-B5</t>
        </is>
      </c>
      <c r="P258" s="3" t="inlineStr">
        <is>
          <t>Không</t>
        </is>
      </c>
    </row>
    <row r="259">
      <c r="A259" s="2" t="n">
        <v>258</v>
      </c>
      <c r="B259" s="2" t="inlineStr">
        <is>
          <t>Thứ bảy ngày 19-09-2026</t>
        </is>
      </c>
      <c r="C259" s="3" t="inlineStr">
        <is>
          <t>73412</t>
        </is>
      </c>
      <c r="D259" s="3" t="inlineStr">
        <is>
          <t>12</t>
        </is>
      </c>
      <c r="E259" s="3" t="inlineStr">
        <is>
          <t>73</t>
        </is>
      </c>
      <c r="F259" s="3" t="inlineStr">
        <is>
          <t>T0-B5</t>
        </is>
      </c>
      <c r="G259" s="3" t="inlineStr">
        <is>
          <t>Không</t>
        </is>
      </c>
      <c r="H259" s="3" t="inlineStr">
        <is>
          <t>55</t>
        </is>
      </c>
      <c r="I259" s="3" t="inlineStr">
        <is>
          <t>T0-B5</t>
        </is>
      </c>
      <c r="J259" s="3" t="inlineStr">
        <is>
          <t>Không</t>
        </is>
      </c>
      <c r="K259" s="3" t="inlineStr">
        <is>
          <t>76</t>
        </is>
      </c>
      <c r="L259" s="3" t="inlineStr">
        <is>
          <t>T3-B8</t>
        </is>
      </c>
      <c r="M259" s="3" t="inlineStr">
        <is>
          <t>Không</t>
        </is>
      </c>
      <c r="N259" s="3" t="inlineStr">
        <is>
          <t>64</t>
        </is>
      </c>
      <c r="O259" s="3" t="inlineStr">
        <is>
          <t>T0-B5</t>
        </is>
      </c>
      <c r="P259" s="3" t="inlineStr">
        <is>
          <t>Không</t>
        </is>
      </c>
    </row>
    <row r="260">
      <c r="A260" s="2" t="n">
        <v>259</v>
      </c>
      <c r="B260" s="2" t="inlineStr">
        <is>
          <t>Chủ nhật ngày 20-09-2026</t>
        </is>
      </c>
      <c r="C260" s="3" t="inlineStr">
        <is>
          <t>21538</t>
        </is>
      </c>
      <c r="D260" s="3" t="inlineStr">
        <is>
          <t>38</t>
        </is>
      </c>
      <c r="E260" s="3" t="inlineStr">
        <is>
          <t>50</t>
        </is>
      </c>
      <c r="F260" s="3" t="inlineStr">
        <is>
          <t>T5-B0</t>
        </is>
      </c>
      <c r="G260" s="3" t="inlineStr">
        <is>
          <t>Trúng</t>
        </is>
      </c>
      <c r="H260" s="3" t="inlineStr">
        <is>
          <t>28</t>
        </is>
      </c>
      <c r="I260" s="3" t="inlineStr">
        <is>
          <t>T0-B5</t>
        </is>
      </c>
      <c r="J260" s="3" t="inlineStr">
        <is>
          <t>Trúng</t>
        </is>
      </c>
      <c r="K260" s="3" t="inlineStr">
        <is>
          <t>71</t>
        </is>
      </c>
      <c r="L260" s="3" t="inlineStr">
        <is>
          <t>T8-B3</t>
        </is>
      </c>
      <c r="M260" s="3" t="inlineStr">
        <is>
          <t>Không</t>
        </is>
      </c>
      <c r="N260" s="3" t="inlineStr">
        <is>
          <t>35</t>
        </is>
      </c>
      <c r="O260" s="3" t="inlineStr">
        <is>
          <t>T8-B3</t>
        </is>
      </c>
      <c r="P260" s="3" t="inlineStr">
        <is>
          <t>Không</t>
        </is>
      </c>
    </row>
    <row r="261">
      <c r="A261" s="2" t="n">
        <v>260</v>
      </c>
      <c r="B261" s="2" t="inlineStr">
        <is>
          <t>Thứ hai ngày 21-09-2026</t>
        </is>
      </c>
      <c r="C261" s="3" t="inlineStr">
        <is>
          <t>40432</t>
        </is>
      </c>
      <c r="D261" s="3" t="inlineStr">
        <is>
          <t>32</t>
        </is>
      </c>
      <c r="E261" s="3" t="inlineStr">
        <is>
          <t>56</t>
        </is>
      </c>
      <c r="F261" s="3" t="inlineStr">
        <is>
          <t>T1-B6</t>
        </is>
      </c>
      <c r="G261" s="3" t="inlineStr">
        <is>
          <t>Không</t>
        </is>
      </c>
      <c r="H261" s="3" t="inlineStr">
        <is>
          <t>78</t>
        </is>
      </c>
      <c r="I261" s="3" t="inlineStr">
        <is>
          <t>T5-B0</t>
        </is>
      </c>
      <c r="J261" s="3" t="inlineStr">
        <is>
          <t>Không</t>
        </is>
      </c>
      <c r="K261" s="3" t="inlineStr">
        <is>
          <t>32</t>
        </is>
      </c>
      <c r="L261" s="3" t="inlineStr">
        <is>
          <t>T5-B0</t>
        </is>
      </c>
      <c r="M261" s="3" t="inlineStr">
        <is>
          <t>Không</t>
        </is>
      </c>
      <c r="N261" s="3" t="inlineStr">
        <is>
          <t>75</t>
        </is>
      </c>
      <c r="O261" s="3" t="inlineStr">
        <is>
          <t>T2-B7</t>
        </is>
      </c>
      <c r="P261" s="3" t="inlineStr">
        <is>
          <t>Không</t>
        </is>
      </c>
    </row>
    <row r="262">
      <c r="A262" s="2" t="n">
        <v>261</v>
      </c>
      <c r="B262" s="2" t="inlineStr">
        <is>
          <t>Thứ ba ngày 22-09-2026</t>
        </is>
      </c>
      <c r="C262" s="3" t="inlineStr">
        <is>
          <t>31922</t>
        </is>
      </c>
      <c r="D262" s="3" t="inlineStr">
        <is>
          <t>22</t>
        </is>
      </c>
      <c r="E262" s="3" t="inlineStr">
        <is>
          <t>92</t>
        </is>
      </c>
      <c r="F262" s="3" t="inlineStr">
        <is>
          <t>T1-B6</t>
        </is>
      </c>
      <c r="G262" s="3" t="inlineStr">
        <is>
          <t>Trúng</t>
        </is>
      </c>
      <c r="H262" s="3" t="inlineStr">
        <is>
          <t>07</t>
        </is>
      </c>
      <c r="I262" s="3" t="inlineStr">
        <is>
          <t>T7-B2</t>
        </is>
      </c>
      <c r="J262" s="3" t="inlineStr">
        <is>
          <t>Không</t>
        </is>
      </c>
      <c r="K262" s="3" t="inlineStr">
        <is>
          <t>35</t>
        </is>
      </c>
      <c r="L262" s="3" t="inlineStr">
        <is>
          <t>T8-B3</t>
        </is>
      </c>
      <c r="M262" s="3" t="inlineStr">
        <is>
          <t>Không</t>
        </is>
      </c>
      <c r="N262" s="3" t="inlineStr">
        <is>
          <t>44</t>
        </is>
      </c>
      <c r="O262" s="3" t="inlineStr">
        <is>
          <t>T8-B3</t>
        </is>
      </c>
      <c r="P262" s="3" t="inlineStr">
        <is>
          <t>Không</t>
        </is>
      </c>
    </row>
    <row r="263">
      <c r="A263" s="2" t="n">
        <v>262</v>
      </c>
      <c r="B263" s="2" t="inlineStr">
        <is>
          <t>Thứ tư ngày 23-09-2026</t>
        </is>
      </c>
      <c r="C263" s="3" t="inlineStr">
        <is>
          <t>76406</t>
        </is>
      </c>
      <c r="D263" s="3" t="inlineStr">
        <is>
          <t>06</t>
        </is>
      </c>
      <c r="E263" s="3" t="inlineStr">
        <is>
          <t>34</t>
        </is>
      </c>
      <c r="F263" s="3" t="inlineStr">
        <is>
          <t>T7-B2</t>
        </is>
      </c>
      <c r="G263" s="3" t="inlineStr">
        <is>
          <t>Không</t>
        </is>
      </c>
      <c r="H263" s="3" t="inlineStr">
        <is>
          <t>21</t>
        </is>
      </c>
      <c r="I263" s="3" t="inlineStr">
        <is>
          <t>T3-B8</t>
        </is>
      </c>
      <c r="J263" s="3" t="inlineStr">
        <is>
          <t>Không</t>
        </is>
      </c>
      <c r="K263" s="3" t="inlineStr">
        <is>
          <t>60</t>
        </is>
      </c>
      <c r="L263" s="3" t="inlineStr">
        <is>
          <t>T6-B1</t>
        </is>
      </c>
      <c r="M263" s="3" t="inlineStr">
        <is>
          <t>Không</t>
        </is>
      </c>
      <c r="N263" s="3" t="inlineStr">
        <is>
          <t>89</t>
        </is>
      </c>
      <c r="O263" s="3" t="inlineStr">
        <is>
          <t>T7-B2</t>
        </is>
      </c>
      <c r="P263" s="3" t="inlineStr">
        <is>
          <t>Không</t>
        </is>
      </c>
    </row>
    <row r="264">
      <c r="A264" s="2" t="n">
        <v>263</v>
      </c>
      <c r="B264" s="2" t="inlineStr">
        <is>
          <t>Thứ năm ngày 24-09-2026</t>
        </is>
      </c>
      <c r="C264" s="3" t="inlineStr">
        <is>
          <t>78196</t>
        </is>
      </c>
      <c r="D264" s="3" t="inlineStr">
        <is>
          <t>96</t>
        </is>
      </c>
      <c r="E264" s="3" t="inlineStr">
        <is>
          <t>40</t>
        </is>
      </c>
      <c r="F264" s="3" t="inlineStr">
        <is>
          <t>T4-B9</t>
        </is>
      </c>
      <c r="G264" s="3" t="inlineStr">
        <is>
          <t>Không</t>
        </is>
      </c>
      <c r="H264" s="3" t="inlineStr">
        <is>
          <t>28</t>
        </is>
      </c>
      <c r="I264" s="3" t="inlineStr">
        <is>
          <t>T0-B5</t>
        </is>
      </c>
      <c r="J264" s="3" t="inlineStr">
        <is>
          <t>Không</t>
        </is>
      </c>
      <c r="K264" s="3" t="inlineStr">
        <is>
          <t>16</t>
        </is>
      </c>
      <c r="L264" s="3" t="inlineStr">
        <is>
          <t>T7-B2</t>
        </is>
      </c>
      <c r="M264" s="3" t="inlineStr">
        <is>
          <t>Không</t>
        </is>
      </c>
      <c r="N264" s="3" t="inlineStr">
        <is>
          <t>11</t>
        </is>
      </c>
      <c r="O264" s="3" t="inlineStr">
        <is>
          <t>T2-B7</t>
        </is>
      </c>
      <c r="P264" s="3" t="inlineStr">
        <is>
          <t>Không</t>
        </is>
      </c>
    </row>
    <row r="265">
      <c r="A265" s="2" t="n">
        <v>264</v>
      </c>
      <c r="B265" s="2" t="inlineStr">
        <is>
          <t>Thứ sáu ngày 25-09-2026</t>
        </is>
      </c>
      <c r="C265" s="3" t="inlineStr">
        <is>
          <t>34465</t>
        </is>
      </c>
      <c r="D265" s="3" t="inlineStr">
        <is>
          <t>65</t>
        </is>
      </c>
      <c r="E265" s="3" t="inlineStr">
        <is>
          <t>74</t>
        </is>
      </c>
      <c r="F265" s="3" t="inlineStr">
        <is>
          <t>T1-B6</t>
        </is>
      </c>
      <c r="G265" s="3" t="inlineStr">
        <is>
          <t>Không</t>
        </is>
      </c>
      <c r="H265" s="3" t="inlineStr">
        <is>
          <t>64</t>
        </is>
      </c>
      <c r="I265" s="3" t="inlineStr">
        <is>
          <t>T0-B5</t>
        </is>
      </c>
      <c r="J265" s="3" t="inlineStr">
        <is>
          <t>Trúng</t>
        </is>
      </c>
      <c r="K265" s="3" t="inlineStr">
        <is>
          <t>48</t>
        </is>
      </c>
      <c r="L265" s="3" t="inlineStr">
        <is>
          <t>T2-B7</t>
        </is>
      </c>
      <c r="M265" s="3" t="inlineStr">
        <is>
          <t>Không</t>
        </is>
      </c>
      <c r="N265" s="3" t="inlineStr">
        <is>
          <t>50</t>
        </is>
      </c>
      <c r="O265" s="3" t="inlineStr">
        <is>
          <t>T5-B0</t>
        </is>
      </c>
      <c r="P265" s="3" t="inlineStr">
        <is>
          <t>Trúng</t>
        </is>
      </c>
    </row>
    <row r="266">
      <c r="A266" s="2" t="n">
        <v>265</v>
      </c>
      <c r="B266" s="2" t="inlineStr">
        <is>
          <t>Thứ bảy ngày 26-09-2026</t>
        </is>
      </c>
      <c r="C266" s="3" t="inlineStr">
        <is>
          <t>18132</t>
        </is>
      </c>
      <c r="D266" s="3" t="inlineStr">
        <is>
          <t>32</t>
        </is>
      </c>
      <c r="E266" s="3" t="inlineStr">
        <is>
          <t>66</t>
        </is>
      </c>
      <c r="F266" s="3" t="inlineStr">
        <is>
          <t>T2-B7</t>
        </is>
      </c>
      <c r="G266" s="3" t="inlineStr">
        <is>
          <t>Không</t>
        </is>
      </c>
      <c r="H266" s="3" t="inlineStr">
        <is>
          <t>49</t>
        </is>
      </c>
      <c r="I266" s="3" t="inlineStr">
        <is>
          <t>T3-B8</t>
        </is>
      </c>
      <c r="J266" s="3" t="inlineStr">
        <is>
          <t>Không</t>
        </is>
      </c>
      <c r="K266" s="3" t="inlineStr">
        <is>
          <t>22</t>
        </is>
      </c>
      <c r="L266" s="3" t="inlineStr">
        <is>
          <t>T4-B9</t>
        </is>
      </c>
      <c r="M266" s="3" t="inlineStr">
        <is>
          <t>Không</t>
        </is>
      </c>
      <c r="N266" s="3" t="inlineStr">
        <is>
          <t>45</t>
        </is>
      </c>
      <c r="O266" s="3" t="inlineStr">
        <is>
          <t>T9-B4</t>
        </is>
      </c>
      <c r="P266" s="3" t="inlineStr">
        <is>
          <t>Không</t>
        </is>
      </c>
    </row>
    <row r="267">
      <c r="A267" s="2" t="n">
        <v>266</v>
      </c>
      <c r="B267" s="2" t="inlineStr">
        <is>
          <t>Chủ nhật ngày 27-09-2026</t>
        </is>
      </c>
      <c r="C267" s="3" t="inlineStr">
        <is>
          <t>55473</t>
        </is>
      </c>
      <c r="D267" s="3" t="inlineStr">
        <is>
          <t>73</t>
        </is>
      </c>
      <c r="E267" s="3" t="inlineStr">
        <is>
          <t>70</t>
        </is>
      </c>
      <c r="F267" s="3" t="inlineStr">
        <is>
          <t>T7-B2</t>
        </is>
      </c>
      <c r="G267" s="3" t="inlineStr">
        <is>
          <t>Không</t>
        </is>
      </c>
      <c r="H267" s="3" t="inlineStr">
        <is>
          <t>34</t>
        </is>
      </c>
      <c r="I267" s="3" t="inlineStr">
        <is>
          <t>T7-B2</t>
        </is>
      </c>
      <c r="J267" s="3" t="inlineStr">
        <is>
          <t>Không</t>
        </is>
      </c>
      <c r="K267" s="3" t="inlineStr">
        <is>
          <t>24</t>
        </is>
      </c>
      <c r="L267" s="3" t="inlineStr">
        <is>
          <t>T6-B1</t>
        </is>
      </c>
      <c r="M267" s="3" t="inlineStr">
        <is>
          <t>Trúng</t>
        </is>
      </c>
      <c r="N267" s="3" t="inlineStr">
        <is>
          <t>41</t>
        </is>
      </c>
      <c r="O267" s="3" t="inlineStr">
        <is>
          <t>T5-B0</t>
        </is>
      </c>
      <c r="P267" s="3" t="inlineStr">
        <is>
          <t>Không</t>
        </is>
      </c>
    </row>
    <row r="268">
      <c r="A268" s="2" t="n">
        <v>267</v>
      </c>
      <c r="B268" s="2" t="inlineStr">
        <is>
          <t>Thứ Hai ngày 28-09-2026</t>
        </is>
      </c>
      <c r="C268" s="3" t="inlineStr">
        <is>
          <t>77115</t>
        </is>
      </c>
      <c r="D268" s="3" t="inlineStr">
        <is>
          <t>15</t>
        </is>
      </c>
      <c r="E268" s="3" t="inlineStr">
        <is>
          <t>87</t>
        </is>
      </c>
      <c r="F268" s="3" t="inlineStr">
        <is>
          <t>T5-B0</t>
        </is>
      </c>
      <c r="G268" s="3" t="inlineStr">
        <is>
          <t>Không</t>
        </is>
      </c>
      <c r="H268" s="3" t="inlineStr">
        <is>
          <t>97</t>
        </is>
      </c>
      <c r="I268" s="3" t="inlineStr">
        <is>
          <t>T6-B1</t>
        </is>
      </c>
      <c r="J268" s="3" t="inlineStr">
        <is>
          <t>Trúng</t>
        </is>
      </c>
      <c r="K268" s="3" t="inlineStr">
        <is>
          <t>75</t>
        </is>
      </c>
      <c r="L268" s="3" t="inlineStr">
        <is>
          <t>T2-B7</t>
        </is>
      </c>
      <c r="M268" s="3" t="inlineStr">
        <is>
          <t>Không</t>
        </is>
      </c>
      <c r="N268" s="3" t="inlineStr">
        <is>
          <t>22</t>
        </is>
      </c>
      <c r="O268" s="3" t="inlineStr">
        <is>
          <t>T4-B9</t>
        </is>
      </c>
      <c r="P268" s="3" t="inlineStr">
        <is>
          <t>Không</t>
        </is>
      </c>
    </row>
    <row r="269">
      <c r="A269" s="2" t="n">
        <v>268</v>
      </c>
      <c r="B269" s="2" t="inlineStr">
        <is>
          <t>Thứ Ba ngày 29-09-2026</t>
        </is>
      </c>
      <c r="C269" s="3" t="inlineStr">
        <is>
          <t>05651</t>
        </is>
      </c>
      <c r="D269" s="3" t="inlineStr">
        <is>
          <t>51</t>
        </is>
      </c>
      <c r="E269" s="3" t="inlineStr">
        <is>
          <t>63</t>
        </is>
      </c>
      <c r="F269" s="3" t="inlineStr">
        <is>
          <t>T9-B4</t>
        </is>
      </c>
      <c r="G269" s="3" t="inlineStr">
        <is>
          <t>Không</t>
        </is>
      </c>
      <c r="H269" s="3" t="inlineStr">
        <is>
          <t>19</t>
        </is>
      </c>
      <c r="I269" s="3" t="inlineStr">
        <is>
          <t>T0-B5</t>
        </is>
      </c>
      <c r="J269" s="3" t="inlineStr">
        <is>
          <t>Không</t>
        </is>
      </c>
      <c r="K269" s="3" t="inlineStr">
        <is>
          <t>26</t>
        </is>
      </c>
      <c r="L269" s="3" t="inlineStr">
        <is>
          <t>T8-B3</t>
        </is>
      </c>
      <c r="M269" s="3" t="inlineStr">
        <is>
          <t>Không</t>
        </is>
      </c>
      <c r="N269" s="3" t="inlineStr">
        <is>
          <t>67</t>
        </is>
      </c>
      <c r="O269" s="3" t="inlineStr">
        <is>
          <t>T3-B8</t>
        </is>
      </c>
      <c r="P269" s="3" t="inlineStr">
        <is>
          <t>Không</t>
        </is>
      </c>
    </row>
    <row r="270">
      <c r="A270" s="2" t="n">
        <v>269</v>
      </c>
      <c r="B270" s="2" t="inlineStr">
        <is>
          <t>Thứ Tư ngày 30-09-2026</t>
        </is>
      </c>
      <c r="C270" s="3" t="inlineStr">
        <is>
          <t>95242</t>
        </is>
      </c>
      <c r="D270" s="3" t="inlineStr">
        <is>
          <t>42</t>
        </is>
      </c>
      <c r="E270" s="3" t="inlineStr">
        <is>
          <t>17</t>
        </is>
      </c>
      <c r="F270" s="3" t="inlineStr">
        <is>
          <t>T8-B3</t>
        </is>
      </c>
      <c r="G270" s="3" t="inlineStr">
        <is>
          <t>Trúng</t>
        </is>
      </c>
      <c r="H270" s="3" t="inlineStr">
        <is>
          <t>63</t>
        </is>
      </c>
      <c r="I270" s="3" t="inlineStr">
        <is>
          <t>T9-B4</t>
        </is>
      </c>
      <c r="J270" s="3" t="inlineStr">
        <is>
          <t>Không</t>
        </is>
      </c>
      <c r="K270" s="3" t="inlineStr">
        <is>
          <t>60</t>
        </is>
      </c>
      <c r="L270" s="3" t="inlineStr">
        <is>
          <t>T6-B1</t>
        </is>
      </c>
      <c r="M270" s="3" t="inlineStr">
        <is>
          <t>Không</t>
        </is>
      </c>
      <c r="N270" s="3" t="inlineStr">
        <is>
          <t>90</t>
        </is>
      </c>
      <c r="O270" s="3" t="inlineStr">
        <is>
          <t>T9-B4</t>
        </is>
      </c>
      <c r="P270" s="3" t="inlineStr">
        <is>
          <t>Không</t>
        </is>
      </c>
    </row>
    <row r="271">
      <c r="A271" s="2" t="n">
        <v>270</v>
      </c>
      <c r="B271" s="2" t="inlineStr">
        <is>
          <t>Thứ Năm ngày 01-10-2026</t>
        </is>
      </c>
      <c r="C271" s="3" t="inlineStr">
        <is>
          <t>40208</t>
        </is>
      </c>
      <c r="D271" s="3" t="inlineStr">
        <is>
          <t>08</t>
        </is>
      </c>
      <c r="E271" s="3" t="inlineStr">
        <is>
          <t>50</t>
        </is>
      </c>
      <c r="F271" s="3" t="inlineStr">
        <is>
          <t>T5-B0</t>
        </is>
      </c>
      <c r="G271" s="3" t="inlineStr">
        <is>
          <t>Không</t>
        </is>
      </c>
      <c r="H271" s="3" t="inlineStr">
        <is>
          <t>15</t>
        </is>
      </c>
      <c r="I271" s="3" t="inlineStr">
        <is>
          <t>T6-B1</t>
        </is>
      </c>
      <c r="J271" s="3" t="inlineStr">
        <is>
          <t>Trúng</t>
        </is>
      </c>
      <c r="K271" s="3" t="inlineStr">
        <is>
          <t>07</t>
        </is>
      </c>
      <c r="L271" s="3" t="inlineStr">
        <is>
          <t>T7-B2</t>
        </is>
      </c>
      <c r="M271" s="3" t="inlineStr">
        <is>
          <t>Không</t>
        </is>
      </c>
      <c r="N271" s="3" t="inlineStr">
        <is>
          <t>04</t>
        </is>
      </c>
      <c r="O271" s="3" t="inlineStr">
        <is>
          <t>T4-B9</t>
        </is>
      </c>
      <c r="P271" s="3" t="inlineStr">
        <is>
          <t>Không</t>
        </is>
      </c>
    </row>
    <row r="272">
      <c r="A272" s="2" t="n">
        <v>271</v>
      </c>
      <c r="B272" s="2" t="inlineStr">
        <is>
          <t>Thứ Sáu ngày 02-10-2026</t>
        </is>
      </c>
      <c r="C272" s="3" t="inlineStr">
        <is>
          <t>24483</t>
        </is>
      </c>
      <c r="D272" s="3" t="inlineStr">
        <is>
          <t>83</t>
        </is>
      </c>
      <c r="E272" s="3" t="inlineStr">
        <is>
          <t>84</t>
        </is>
      </c>
      <c r="F272" s="3" t="inlineStr">
        <is>
          <t>T2-B7</t>
        </is>
      </c>
      <c r="G272" s="3" t="inlineStr">
        <is>
          <t>Trúng</t>
        </is>
      </c>
      <c r="H272" s="3" t="inlineStr">
        <is>
          <t>65</t>
        </is>
      </c>
      <c r="I272" s="3" t="inlineStr">
        <is>
          <t>T1-B6</t>
        </is>
      </c>
      <c r="J272" s="3" t="inlineStr">
        <is>
          <t>Không</t>
        </is>
      </c>
      <c r="K272" s="3" t="inlineStr">
        <is>
          <t>87</t>
        </is>
      </c>
      <c r="L272" s="3" t="inlineStr">
        <is>
          <t>T5-B0</t>
        </is>
      </c>
      <c r="M272" s="3" t="inlineStr">
        <is>
          <t>Không</t>
        </is>
      </c>
      <c r="N272" s="3" t="inlineStr">
        <is>
          <t>63</t>
        </is>
      </c>
      <c r="O272" s="3" t="inlineStr">
        <is>
          <t>T9-B4</t>
        </is>
      </c>
      <c r="P272" s="3" t="inlineStr">
        <is>
          <t>Không</t>
        </is>
      </c>
    </row>
    <row r="273">
      <c r="A273" s="2" t="n">
        <v>272</v>
      </c>
      <c r="B273" s="2" t="inlineStr">
        <is>
          <t>Thứ Bảy ngày 03-10-2026</t>
        </is>
      </c>
      <c r="C273" s="3" t="inlineStr">
        <is>
          <t>77961</t>
        </is>
      </c>
      <c r="D273" s="3" t="inlineStr">
        <is>
          <t>61</t>
        </is>
      </c>
      <c r="E273" s="3" t="inlineStr">
        <is>
          <t>38</t>
        </is>
      </c>
      <c r="F273" s="3" t="inlineStr">
        <is>
          <t>T1-B6</t>
        </is>
      </c>
      <c r="G273" s="3" t="inlineStr">
        <is>
          <t>Trúng</t>
        </is>
      </c>
      <c r="H273" s="3" t="inlineStr">
        <is>
          <t>43</t>
        </is>
      </c>
      <c r="I273" s="3" t="inlineStr">
        <is>
          <t>T7-B2</t>
        </is>
      </c>
      <c r="J273" s="3" t="inlineStr">
        <is>
          <t>Không</t>
        </is>
      </c>
      <c r="K273" s="3" t="inlineStr">
        <is>
          <t>37</t>
        </is>
      </c>
      <c r="L273" s="3" t="inlineStr">
        <is>
          <t>T0-B5</t>
        </is>
      </c>
      <c r="M273" s="3" t="inlineStr">
        <is>
          <t>Không</t>
        </is>
      </c>
      <c r="N273" s="3" t="inlineStr">
        <is>
          <t>27</t>
        </is>
      </c>
      <c r="O273" s="3" t="inlineStr">
        <is>
          <t>T9-B4</t>
        </is>
      </c>
      <c r="P273" s="3" t="inlineStr">
        <is>
          <t>Không</t>
        </is>
      </c>
    </row>
    <row r="274">
      <c r="A274" s="2" t="n">
        <v>273</v>
      </c>
      <c r="B274" s="2" t="inlineStr">
        <is>
          <t>Chủ Nhật ngày 04-10-2026</t>
        </is>
      </c>
      <c r="C274" s="3" t="inlineStr">
        <is>
          <t>82951</t>
        </is>
      </c>
      <c r="D274" s="3" t="inlineStr">
        <is>
          <t>51</t>
        </is>
      </c>
      <c r="E274" s="3" t="inlineStr">
        <is>
          <t>90</t>
        </is>
      </c>
      <c r="F274" s="3" t="inlineStr">
        <is>
          <t>T9-B4</t>
        </is>
      </c>
      <c r="G274" s="3" t="inlineStr">
        <is>
          <t>Trúng</t>
        </is>
      </c>
      <c r="H274" s="3" t="inlineStr">
        <is>
          <t>89</t>
        </is>
      </c>
      <c r="I274" s="3" t="inlineStr">
        <is>
          <t>T7-B2</t>
        </is>
      </c>
      <c r="J274" s="3" t="inlineStr">
        <is>
          <t>Không</t>
        </is>
      </c>
      <c r="K274" s="3" t="inlineStr">
        <is>
          <t>26</t>
        </is>
      </c>
      <c r="L274" s="3" t="inlineStr">
        <is>
          <t>T8-B3</t>
        </is>
      </c>
      <c r="M274" s="3" t="inlineStr">
        <is>
          <t>Không</t>
        </is>
      </c>
      <c r="N274" s="3" t="inlineStr">
        <is>
          <t>59</t>
        </is>
      </c>
      <c r="O274" s="3" t="inlineStr">
        <is>
          <t>T4-B9</t>
        </is>
      </c>
      <c r="P274" s="3" t="inlineStr">
        <is>
          <t>Trúng</t>
        </is>
      </c>
    </row>
    <row r="275">
      <c r="A275" s="2" t="n">
        <v>274</v>
      </c>
      <c r="B275" s="2" t="inlineStr">
        <is>
          <t>Thứ Hai ngày 05-10-2026</t>
        </is>
      </c>
      <c r="C275" s="3" t="inlineStr">
        <is>
          <t>19654</t>
        </is>
      </c>
      <c r="D275" s="3" t="inlineStr">
        <is>
          <t>54</t>
        </is>
      </c>
      <c r="E275" s="3" t="inlineStr">
        <is>
          <t>44</t>
        </is>
      </c>
      <c r="F275" s="3" t="inlineStr">
        <is>
          <t>T8-B3</t>
        </is>
      </c>
      <c r="G275" s="3" t="inlineStr">
        <is>
          <t>Không</t>
        </is>
      </c>
      <c r="H275" s="3" t="inlineStr">
        <is>
          <t>70</t>
        </is>
      </c>
      <c r="I275" s="3" t="inlineStr">
        <is>
          <t>T7-B2</t>
        </is>
      </c>
      <c r="J275" s="3" t="inlineStr">
        <is>
          <t>Không</t>
        </is>
      </c>
      <c r="K275" s="3" t="inlineStr">
        <is>
          <t>72</t>
        </is>
      </c>
      <c r="L275" s="3" t="inlineStr">
        <is>
          <t>T9-B4</t>
        </is>
      </c>
      <c r="M275" s="3" t="inlineStr">
        <is>
          <t>Trúng</t>
        </is>
      </c>
      <c r="N275" s="3" t="inlineStr">
        <is>
          <t>15</t>
        </is>
      </c>
      <c r="O275" s="3" t="inlineStr">
        <is>
          <t>T6-B1</t>
        </is>
      </c>
      <c r="P275" s="3" t="inlineStr">
        <is>
          <t>Không</t>
        </is>
      </c>
    </row>
    <row r="276">
      <c r="A276" s="2" t="n">
        <v>275</v>
      </c>
      <c r="B276" s="2" t="inlineStr">
        <is>
          <t>Thứ Ba ngày 06-10-2026</t>
        </is>
      </c>
      <c r="C276" s="3" t="inlineStr">
        <is>
          <t>12554</t>
        </is>
      </c>
      <c r="D276" s="3" t="inlineStr">
        <is>
          <t>54</t>
        </is>
      </c>
      <c r="E276" s="3" t="inlineStr">
        <is>
          <t>49</t>
        </is>
      </c>
      <c r="F276" s="3" t="inlineStr">
        <is>
          <t>T3-B8</t>
        </is>
      </c>
      <c r="G276" s="3" t="inlineStr">
        <is>
          <t>Không</t>
        </is>
      </c>
      <c r="H276" s="3" t="inlineStr">
        <is>
          <t>97</t>
        </is>
      </c>
      <c r="I276" s="3" t="inlineStr">
        <is>
          <t>T6-B1</t>
        </is>
      </c>
      <c r="J276" s="3" t="inlineStr">
        <is>
          <t>Trúng</t>
        </is>
      </c>
      <c r="K276" s="3" t="inlineStr">
        <is>
          <t>79</t>
        </is>
      </c>
      <c r="L276" s="3" t="inlineStr">
        <is>
          <t>T6-B1</t>
        </is>
      </c>
      <c r="M276" s="3" t="inlineStr">
        <is>
          <t>Trúng</t>
        </is>
      </c>
      <c r="N276" s="3" t="inlineStr">
        <is>
          <t>70</t>
        </is>
      </c>
      <c r="O276" s="3" t="inlineStr">
        <is>
          <t>T7-B2</t>
        </is>
      </c>
      <c r="P276" s="3" t="inlineStr">
        <is>
          <t>Không</t>
        </is>
      </c>
    </row>
    <row r="277">
      <c r="A277" s="2" t="n">
        <v>276</v>
      </c>
      <c r="B277" s="2" t="inlineStr">
        <is>
          <t>Thứ Tư ngày 07-10-2026</t>
        </is>
      </c>
      <c r="C277" s="3" t="inlineStr">
        <is>
          <t>56488</t>
        </is>
      </c>
      <c r="D277" s="3" t="inlineStr">
        <is>
          <t>88</t>
        </is>
      </c>
      <c r="E277" s="3" t="inlineStr">
        <is>
          <t>48</t>
        </is>
      </c>
      <c r="F277" s="3" t="inlineStr">
        <is>
          <t>T2-B7</t>
        </is>
      </c>
      <c r="G277" s="3" t="inlineStr">
        <is>
          <t>Trúng</t>
        </is>
      </c>
      <c r="H277" s="3" t="inlineStr">
        <is>
          <t>60</t>
        </is>
      </c>
      <c r="I277" s="3" t="inlineStr">
        <is>
          <t>T6-B1</t>
        </is>
      </c>
      <c r="J277" s="3" t="inlineStr">
        <is>
          <t>Không</t>
        </is>
      </c>
      <c r="K277" s="3" t="inlineStr">
        <is>
          <t>14</t>
        </is>
      </c>
      <c r="L277" s="3" t="inlineStr">
        <is>
          <t>T5-B0</t>
        </is>
      </c>
      <c r="M277" s="3" t="inlineStr">
        <is>
          <t>Không</t>
        </is>
      </c>
      <c r="N277" s="3" t="inlineStr">
        <is>
          <t>58</t>
        </is>
      </c>
      <c r="O277" s="3" t="inlineStr">
        <is>
          <t>T3-B8</t>
        </is>
      </c>
      <c r="P277" s="3" t="inlineStr">
        <is>
          <t>Không</t>
        </is>
      </c>
    </row>
    <row r="278">
      <c r="A278" s="2" t="n">
        <v>277</v>
      </c>
      <c r="B278" s="2" t="inlineStr">
        <is>
          <t>Thứ Năm ngày 08-10-2026</t>
        </is>
      </c>
      <c r="C278" s="3" t="inlineStr">
        <is>
          <t>43339</t>
        </is>
      </c>
      <c r="D278" s="3" t="inlineStr">
        <is>
          <t>39</t>
        </is>
      </c>
      <c r="E278" s="3" t="inlineStr">
        <is>
          <t>26</t>
        </is>
      </c>
      <c r="F278" s="3" t="inlineStr">
        <is>
          <t>T8-B3</t>
        </is>
      </c>
      <c r="G278" s="3" t="inlineStr">
        <is>
          <t>Trúng</t>
        </is>
      </c>
      <c r="H278" s="3" t="inlineStr">
        <is>
          <t>35</t>
        </is>
      </c>
      <c r="I278" s="3" t="inlineStr">
        <is>
          <t>T8-B3</t>
        </is>
      </c>
      <c r="J278" s="3" t="inlineStr">
        <is>
          <t>Trúng</t>
        </is>
      </c>
      <c r="K278" s="3" t="inlineStr">
        <is>
          <t>37</t>
        </is>
      </c>
      <c r="L278" s="3" t="inlineStr">
        <is>
          <t>T0-B5</t>
        </is>
      </c>
      <c r="M278" s="3" t="inlineStr">
        <is>
          <t>Không</t>
        </is>
      </c>
      <c r="N278" s="3" t="inlineStr">
        <is>
          <t>06</t>
        </is>
      </c>
      <c r="O278" s="3" t="inlineStr">
        <is>
          <t>T6-B1</t>
        </is>
      </c>
      <c r="P278" s="3" t="inlineStr">
        <is>
          <t>Không</t>
        </is>
      </c>
    </row>
    <row r="279">
      <c r="A279" s="2" t="n">
        <v>278</v>
      </c>
      <c r="B279" s="2" t="inlineStr">
        <is>
          <t>Thứ Sáu ngày 09-10-2026</t>
        </is>
      </c>
      <c r="C279" s="3" t="inlineStr">
        <is>
          <t>20635</t>
        </is>
      </c>
      <c r="D279" s="3" t="inlineStr">
        <is>
          <t>35</t>
        </is>
      </c>
      <c r="E279" s="3" t="inlineStr">
        <is>
          <t>02</t>
        </is>
      </c>
      <c r="F279" s="3" t="inlineStr">
        <is>
          <t>T2-B7</t>
        </is>
      </c>
      <c r="G279" s="3" t="inlineStr">
        <is>
          <t>Không</t>
        </is>
      </c>
      <c r="H279" s="3" t="inlineStr">
        <is>
          <t>13</t>
        </is>
      </c>
      <c r="I279" s="3" t="inlineStr">
        <is>
          <t>T4-B9</t>
        </is>
      </c>
      <c r="J279" s="3" t="inlineStr">
        <is>
          <t>Không</t>
        </is>
      </c>
      <c r="K279" s="3" t="inlineStr">
        <is>
          <t>03</t>
        </is>
      </c>
      <c r="L279" s="3" t="inlineStr">
        <is>
          <t>T3-B8</t>
        </is>
      </c>
      <c r="M279" s="3" t="inlineStr">
        <is>
          <t>Trúng</t>
        </is>
      </c>
      <c r="N279" s="3" t="inlineStr">
        <is>
          <t>63</t>
        </is>
      </c>
      <c r="O279" s="3" t="inlineStr">
        <is>
          <t>T9-B4</t>
        </is>
      </c>
      <c r="P279" s="3" t="inlineStr">
        <is>
          <t>Không</t>
        </is>
      </c>
    </row>
    <row r="280">
      <c r="A280" s="2" t="n">
        <v>279</v>
      </c>
      <c r="B280" s="2" t="inlineStr">
        <is>
          <t>Thứ Bảy ngày 10-10-2026</t>
        </is>
      </c>
      <c r="C280" s="3" t="inlineStr">
        <is>
          <t>82153</t>
        </is>
      </c>
      <c r="D280" s="3" t="inlineStr">
        <is>
          <t>53</t>
        </is>
      </c>
      <c r="E280" s="3" t="inlineStr">
        <is>
          <t>30</t>
        </is>
      </c>
      <c r="F280" s="3" t="inlineStr">
        <is>
          <t>T3-B8</t>
        </is>
      </c>
      <c r="G280" s="3" t="inlineStr">
        <is>
          <t>Không</t>
        </is>
      </c>
      <c r="H280" s="3" t="inlineStr">
        <is>
          <t>71</t>
        </is>
      </c>
      <c r="I280" s="3" t="inlineStr">
        <is>
          <t>T8-B3</t>
        </is>
      </c>
      <c r="J280" s="3" t="inlineStr">
        <is>
          <t>Không</t>
        </is>
      </c>
      <c r="K280" s="3" t="inlineStr">
        <is>
          <t>18</t>
        </is>
      </c>
      <c r="L280" s="3" t="inlineStr">
        <is>
          <t>T9-B4</t>
        </is>
      </c>
      <c r="M280" s="3" t="inlineStr">
        <is>
          <t>Trúng</t>
        </is>
      </c>
      <c r="N280" s="3" t="inlineStr">
        <is>
          <t>43</t>
        </is>
      </c>
      <c r="O280" s="3" t="inlineStr">
        <is>
          <t>T7-B2</t>
        </is>
      </c>
      <c r="P280" s="3" t="inlineStr">
        <is>
          <t>Không</t>
        </is>
      </c>
    </row>
    <row r="281">
      <c r="A281" s="2" t="n">
        <v>280</v>
      </c>
      <c r="B281" s="2" t="inlineStr">
        <is>
          <t>Chủ Nhật ngày 11-10-2026</t>
        </is>
      </c>
      <c r="C281" s="3" t="inlineStr">
        <is>
          <t>07363</t>
        </is>
      </c>
      <c r="D281" s="3" t="inlineStr">
        <is>
          <t>63</t>
        </is>
      </c>
      <c r="E281" s="3" t="inlineStr">
        <is>
          <t>53</t>
        </is>
      </c>
      <c r="F281" s="3" t="inlineStr">
        <is>
          <t>T8-B3</t>
        </is>
      </c>
      <c r="G281" s="3" t="inlineStr">
        <is>
          <t>Không</t>
        </is>
      </c>
      <c r="H281" s="3" t="inlineStr">
        <is>
          <t>89</t>
        </is>
      </c>
      <c r="I281" s="3" t="inlineStr">
        <is>
          <t>T7-B2</t>
        </is>
      </c>
      <c r="J281" s="3" t="inlineStr">
        <is>
          <t>Không</t>
        </is>
      </c>
      <c r="K281" s="3" t="inlineStr">
        <is>
          <t>06</t>
        </is>
      </c>
      <c r="L281" s="3" t="inlineStr">
        <is>
          <t>T6-B1</t>
        </is>
      </c>
      <c r="M281" s="3" t="inlineStr">
        <is>
          <t>Không</t>
        </is>
      </c>
      <c r="N281" s="3" t="inlineStr">
        <is>
          <t>41</t>
        </is>
      </c>
      <c r="O281" s="3" t="inlineStr">
        <is>
          <t>T5-B0</t>
        </is>
      </c>
      <c r="P281" s="3" t="inlineStr">
        <is>
          <t>Trúng</t>
        </is>
      </c>
    </row>
    <row r="282">
      <c r="A282" s="2" t="n">
        <v>281</v>
      </c>
      <c r="B282" s="2" t="inlineStr">
        <is>
          <t>Thứ Hai ngày 12-10-2026</t>
        </is>
      </c>
      <c r="C282" s="3" t="inlineStr">
        <is>
          <t>38287</t>
        </is>
      </c>
      <c r="D282" s="3" t="inlineStr">
        <is>
          <t>87</t>
        </is>
      </c>
      <c r="E282" s="3" t="inlineStr">
        <is>
          <t>49</t>
        </is>
      </c>
      <c r="F282" s="3" t="inlineStr">
        <is>
          <t>T3-B8</t>
        </is>
      </c>
      <c r="G282" s="3" t="inlineStr">
        <is>
          <t>Không</t>
        </is>
      </c>
      <c r="H282" s="3" t="inlineStr">
        <is>
          <t>86</t>
        </is>
      </c>
      <c r="I282" s="3" t="inlineStr">
        <is>
          <t>T4-B9</t>
        </is>
      </c>
      <c r="J282" s="3" t="inlineStr">
        <is>
          <t>Trúng</t>
        </is>
      </c>
      <c r="K282" s="3" t="inlineStr">
        <is>
          <t>38</t>
        </is>
      </c>
      <c r="L282" s="3" t="inlineStr">
        <is>
          <t>T1-B6</t>
        </is>
      </c>
      <c r="M282" s="3" t="inlineStr">
        <is>
          <t>Không</t>
        </is>
      </c>
      <c r="N282" s="3" t="inlineStr">
        <is>
          <t>75</t>
        </is>
      </c>
      <c r="O282" s="3" t="inlineStr">
        <is>
          <t>T2-B7</t>
        </is>
      </c>
      <c r="P282" s="3" t="inlineStr">
        <is>
          <t>Không</t>
        </is>
      </c>
    </row>
    <row r="283">
      <c r="A283" s="2" t="n">
        <v>282</v>
      </c>
      <c r="B283" s="2" t="inlineStr">
        <is>
          <t>Thứ Ba ngày 13-10-2026</t>
        </is>
      </c>
      <c r="C283" s="3" t="inlineStr">
        <is>
          <t>53618</t>
        </is>
      </c>
      <c r="D283" s="3" t="inlineStr">
        <is>
          <t>18</t>
        </is>
      </c>
      <c r="E283" s="3" t="inlineStr">
        <is>
          <t>78</t>
        </is>
      </c>
      <c r="F283" s="3" t="inlineStr">
        <is>
          <t>T5-B0</t>
        </is>
      </c>
      <c r="G283" s="3" t="inlineStr">
        <is>
          <t>Không</t>
        </is>
      </c>
      <c r="H283" s="3" t="inlineStr">
        <is>
          <t>95</t>
        </is>
      </c>
      <c r="I283" s="3" t="inlineStr">
        <is>
          <t>T4-B9</t>
        </is>
      </c>
      <c r="J283" s="3" t="inlineStr">
        <is>
          <t>Trúng</t>
        </is>
      </c>
      <c r="K283" s="3" t="inlineStr">
        <is>
          <t>84</t>
        </is>
      </c>
      <c r="L283" s="3" t="inlineStr">
        <is>
          <t>T2-B7</t>
        </is>
      </c>
      <c r="M283" s="3" t="inlineStr">
        <is>
          <t>Không</t>
        </is>
      </c>
      <c r="N283" s="3" t="inlineStr">
        <is>
          <t>51</t>
        </is>
      </c>
      <c r="O283" s="3" t="inlineStr">
        <is>
          <t>T6-B1</t>
        </is>
      </c>
      <c r="P283" s="3" t="inlineStr">
        <is>
          <t>Không</t>
        </is>
      </c>
    </row>
    <row r="284">
      <c r="A284" s="2" t="n">
        <v>283</v>
      </c>
      <c r="B284" s="2" t="inlineStr">
        <is>
          <t>Thứ Tư ngày 14-10-2026</t>
        </is>
      </c>
      <c r="C284" s="3" t="inlineStr">
        <is>
          <t>28259</t>
        </is>
      </c>
      <c r="D284" s="3" t="inlineStr">
        <is>
          <t>59</t>
        </is>
      </c>
      <c r="E284" s="3" t="inlineStr">
        <is>
          <t>04</t>
        </is>
      </c>
      <c r="F284" s="3" t="inlineStr">
        <is>
          <t>T4-B9</t>
        </is>
      </c>
      <c r="G284" s="3" t="inlineStr">
        <is>
          <t>Không</t>
        </is>
      </c>
      <c r="H284" s="3" t="inlineStr">
        <is>
          <t>86</t>
        </is>
      </c>
      <c r="I284" s="3" t="inlineStr">
        <is>
          <t>T4-B9</t>
        </is>
      </c>
      <c r="J284" s="3" t="inlineStr">
        <is>
          <t>Không</t>
        </is>
      </c>
      <c r="K284" s="3" t="inlineStr">
        <is>
          <t>69</t>
        </is>
      </c>
      <c r="L284" s="3" t="inlineStr">
        <is>
          <t>T5-B0</t>
        </is>
      </c>
      <c r="M284" s="3" t="inlineStr">
        <is>
          <t>Không</t>
        </is>
      </c>
      <c r="N284" s="3" t="inlineStr">
        <is>
          <t>45</t>
        </is>
      </c>
      <c r="O284" s="3" t="inlineStr">
        <is>
          <t>T9-B4</t>
        </is>
      </c>
      <c r="P284" s="3" t="inlineStr">
        <is>
          <t>Không</t>
        </is>
      </c>
    </row>
    <row r="285">
      <c r="A285" s="2" t="n">
        <v>284</v>
      </c>
      <c r="B285" s="2" t="inlineStr">
        <is>
          <t>Thứ Năm ngày 15-10-2026</t>
        </is>
      </c>
      <c r="C285" s="3" t="inlineStr">
        <is>
          <t>62066</t>
        </is>
      </c>
      <c r="D285" s="3" t="inlineStr">
        <is>
          <t>66</t>
        </is>
      </c>
      <c r="E285" s="3" t="inlineStr">
        <is>
          <t>96</t>
        </is>
      </c>
      <c r="F285" s="3" t="inlineStr">
        <is>
          <t>T5-B0</t>
        </is>
      </c>
      <c r="G285" s="3" t="inlineStr">
        <is>
          <t>Không</t>
        </is>
      </c>
      <c r="H285" s="3" t="inlineStr">
        <is>
          <t>27</t>
        </is>
      </c>
      <c r="I285" s="3" t="inlineStr">
        <is>
          <t>T9-B4</t>
        </is>
      </c>
      <c r="J285" s="3" t="inlineStr">
        <is>
          <t>Không</t>
        </is>
      </c>
      <c r="K285" s="3" t="inlineStr">
        <is>
          <t>58</t>
        </is>
      </c>
      <c r="L285" s="3" t="inlineStr">
        <is>
          <t>T3-B8</t>
        </is>
      </c>
      <c r="M285" s="3" t="inlineStr">
        <is>
          <t>Không</t>
        </is>
      </c>
      <c r="N285" s="3" t="inlineStr">
        <is>
          <t>91</t>
        </is>
      </c>
      <c r="O285" s="3" t="inlineStr">
        <is>
          <t>T0-B5</t>
        </is>
      </c>
      <c r="P285" s="3" t="inlineStr">
        <is>
          <t>Không</t>
        </is>
      </c>
    </row>
    <row r="286">
      <c r="A286" s="2" t="n">
        <v>285</v>
      </c>
      <c r="B286" s="2" t="inlineStr">
        <is>
          <t>Thứ Sáu ngày 16-10-2026</t>
        </is>
      </c>
      <c r="C286" s="3" t="inlineStr">
        <is>
          <t>63756</t>
        </is>
      </c>
      <c r="D286" s="3" t="inlineStr">
        <is>
          <t>56</t>
        </is>
      </c>
      <c r="E286" s="3" t="inlineStr">
        <is>
          <t>42</t>
        </is>
      </c>
      <c r="F286" s="3" t="inlineStr">
        <is>
          <t>T6-B1</t>
        </is>
      </c>
      <c r="G286" s="3" t="inlineStr">
        <is>
          <t>Trúng</t>
        </is>
      </c>
      <c r="H286" s="3" t="inlineStr">
        <is>
          <t>53</t>
        </is>
      </c>
      <c r="I286" s="3" t="inlineStr">
        <is>
          <t>T8-B3</t>
        </is>
      </c>
      <c r="J286" s="3" t="inlineStr">
        <is>
          <t>Không</t>
        </is>
      </c>
      <c r="K286" s="3" t="inlineStr">
        <is>
          <t>92</t>
        </is>
      </c>
      <c r="L286" s="3" t="inlineStr">
        <is>
          <t>T1-B6</t>
        </is>
      </c>
      <c r="M286" s="3" t="inlineStr">
        <is>
          <t>Trúng</t>
        </is>
      </c>
      <c r="N286" s="3" t="inlineStr">
        <is>
          <t>45</t>
        </is>
      </c>
      <c r="O286" s="3" t="inlineStr">
        <is>
          <t>T9-B4</t>
        </is>
      </c>
      <c r="P286" s="3" t="inlineStr">
        <is>
          <t>Không</t>
        </is>
      </c>
    </row>
    <row r="287">
      <c r="A287" s="2" t="n">
        <v>286</v>
      </c>
      <c r="B287" s="2" t="inlineStr">
        <is>
          <t>Thứ Bảy ngày 17-10-2026</t>
        </is>
      </c>
      <c r="C287" s="3" t="inlineStr">
        <is>
          <t>64538</t>
        </is>
      </c>
      <c r="D287" s="3" t="inlineStr">
        <is>
          <t>38</t>
        </is>
      </c>
      <c r="E287" s="3" t="inlineStr">
        <is>
          <t>59</t>
        </is>
      </c>
      <c r="F287" s="3" t="inlineStr">
        <is>
          <t>T4-B9</t>
        </is>
      </c>
      <c r="G287" s="3" t="inlineStr">
        <is>
          <t>Không</t>
        </is>
      </c>
      <c r="H287" s="3" t="inlineStr">
        <is>
          <t>49</t>
        </is>
      </c>
      <c r="I287" s="3" t="inlineStr">
        <is>
          <t>T3-B8</t>
        </is>
      </c>
      <c r="J287" s="3" t="inlineStr">
        <is>
          <t>Không</t>
        </is>
      </c>
      <c r="K287" s="3" t="inlineStr">
        <is>
          <t>26</t>
        </is>
      </c>
      <c r="L287" s="3" t="inlineStr">
        <is>
          <t>T8-B3</t>
        </is>
      </c>
      <c r="M287" s="3" t="inlineStr">
        <is>
          <t>Không</t>
        </is>
      </c>
      <c r="N287" s="3" t="inlineStr">
        <is>
          <t>01</t>
        </is>
      </c>
      <c r="O287" s="3" t="inlineStr">
        <is>
          <t>T1-B6</t>
        </is>
      </c>
      <c r="P287" s="3" t="inlineStr">
        <is>
          <t>Trúng</t>
        </is>
      </c>
    </row>
    <row r="288">
      <c r="A288" s="2" t="n">
        <v>287</v>
      </c>
      <c r="B288" s="2" t="inlineStr">
        <is>
          <t>Chủ Nhật ngày 18-10-2026</t>
        </is>
      </c>
      <c r="C288" s="3" t="inlineStr">
        <is>
          <t>84642</t>
        </is>
      </c>
      <c r="D288" s="3" t="inlineStr">
        <is>
          <t>42</t>
        </is>
      </c>
      <c r="E288" s="3" t="inlineStr">
        <is>
          <t>44</t>
        </is>
      </c>
      <c r="F288" s="3" t="inlineStr">
        <is>
          <t>T8-B3</t>
        </is>
      </c>
      <c r="G288" s="3" t="inlineStr">
        <is>
          <t>Không</t>
        </is>
      </c>
      <c r="H288" s="3" t="inlineStr">
        <is>
          <t>04</t>
        </is>
      </c>
      <c r="I288" s="3" t="inlineStr">
        <is>
          <t>T4-B9</t>
        </is>
      </c>
      <c r="J288" s="3" t="inlineStr">
        <is>
          <t>Trúng</t>
        </is>
      </c>
      <c r="K288" s="3" t="inlineStr">
        <is>
          <t>67</t>
        </is>
      </c>
      <c r="L288" s="3" t="inlineStr">
        <is>
          <t>T3-B8</t>
        </is>
      </c>
      <c r="M288" s="3" t="inlineStr">
        <is>
          <t>Không</t>
        </is>
      </c>
      <c r="N288" s="3" t="inlineStr">
        <is>
          <t>10</t>
        </is>
      </c>
      <c r="O288" s="3" t="inlineStr">
        <is>
          <t>T1-B6</t>
        </is>
      </c>
      <c r="P288" s="3" t="inlineStr">
        <is>
          <t>Không</t>
        </is>
      </c>
    </row>
    <row r="289">
      <c r="A289" s="2" t="n">
        <v>288</v>
      </c>
      <c r="B289" s="2" t="inlineStr">
        <is>
          <t>Thứ Hai ngày 19-10-2026</t>
        </is>
      </c>
      <c r="C289" s="3" t="inlineStr">
        <is>
          <t>55390</t>
        </is>
      </c>
      <c r="D289" s="3" t="inlineStr">
        <is>
          <t>90</t>
        </is>
      </c>
      <c r="E289" s="3" t="inlineStr">
        <is>
          <t>04</t>
        </is>
      </c>
      <c r="F289" s="3" t="inlineStr">
        <is>
          <t>T4-B9</t>
        </is>
      </c>
      <c r="G289" s="3" t="inlineStr">
        <is>
          <t>Trúng</t>
        </is>
      </c>
      <c r="H289" s="3" t="inlineStr">
        <is>
          <t>83</t>
        </is>
      </c>
      <c r="I289" s="3" t="inlineStr">
        <is>
          <t>T1-B6</t>
        </is>
      </c>
      <c r="J289" s="3" t="inlineStr">
        <is>
          <t>Không</t>
        </is>
      </c>
      <c r="K289" s="3" t="inlineStr">
        <is>
          <t>55</t>
        </is>
      </c>
      <c r="L289" s="3" t="inlineStr">
        <is>
          <t>T0-B5</t>
        </is>
      </c>
      <c r="M289" s="3" t="inlineStr">
        <is>
          <t>Không</t>
        </is>
      </c>
      <c r="N289" s="3" t="inlineStr">
        <is>
          <t>35</t>
        </is>
      </c>
      <c r="O289" s="3" t="inlineStr">
        <is>
          <t>T8-B3</t>
        </is>
      </c>
      <c r="P289" s="3" t="inlineStr">
        <is>
          <t>Không</t>
        </is>
      </c>
    </row>
    <row r="290">
      <c r="A290" s="2" t="n">
        <v>289</v>
      </c>
      <c r="B290" s="2" t="inlineStr">
        <is>
          <t>Thứ Ba ngày 20-10-2026</t>
        </is>
      </c>
      <c r="C290" s="3" t="inlineStr">
        <is>
          <t>86809</t>
        </is>
      </c>
      <c r="D290" s="3" t="inlineStr">
        <is>
          <t>09</t>
        </is>
      </c>
      <c r="E290" s="3" t="inlineStr">
        <is>
          <t>77</t>
        </is>
      </c>
      <c r="F290" s="3" t="inlineStr">
        <is>
          <t>T4-B9</t>
        </is>
      </c>
      <c r="G290" s="3" t="inlineStr">
        <is>
          <t>Trúng</t>
        </is>
      </c>
      <c r="H290" s="3" t="inlineStr">
        <is>
          <t>90</t>
        </is>
      </c>
      <c r="I290" s="3" t="inlineStr">
        <is>
          <t>T9-B4</t>
        </is>
      </c>
      <c r="J290" s="3" t="inlineStr">
        <is>
          <t>Trúng</t>
        </is>
      </c>
      <c r="K290" s="3" t="inlineStr">
        <is>
          <t>06</t>
        </is>
      </c>
      <c r="L290" s="3" t="inlineStr">
        <is>
          <t>T6-B1</t>
        </is>
      </c>
      <c r="M290" s="3" t="inlineStr">
        <is>
          <t>Không</t>
        </is>
      </c>
      <c r="N290" s="3" t="inlineStr">
        <is>
          <t>32</t>
        </is>
      </c>
      <c r="O290" s="3" t="inlineStr">
        <is>
          <t>T5-B0</t>
        </is>
      </c>
      <c r="P290" s="3" t="inlineStr">
        <is>
          <t>Không</t>
        </is>
      </c>
    </row>
    <row r="291">
      <c r="A291" s="2" t="n">
        <v>290</v>
      </c>
      <c r="B291" s="2" t="inlineStr">
        <is>
          <t>Thứ Tư ngày 21-10-2026</t>
        </is>
      </c>
      <c r="C291" s="3" t="inlineStr">
        <is>
          <t>94163</t>
        </is>
      </c>
      <c r="D291" s="3" t="inlineStr">
        <is>
          <t>63</t>
        </is>
      </c>
      <c r="E291" s="3" t="inlineStr">
        <is>
          <t>42</t>
        </is>
      </c>
      <c r="F291" s="3" t="inlineStr">
        <is>
          <t>T6-B1</t>
        </is>
      </c>
      <c r="G291" s="3" t="inlineStr">
        <is>
          <t>N/A</t>
        </is>
      </c>
      <c r="H291" s="3" t="inlineStr">
        <is>
          <t>62</t>
        </is>
      </c>
      <c r="I291" s="3" t="inlineStr">
        <is>
          <t>T8-B3</t>
        </is>
      </c>
      <c r="J291" s="3" t="inlineStr">
        <is>
          <t>N/A</t>
        </is>
      </c>
      <c r="K291" s="3" t="inlineStr">
        <is>
          <t>94</t>
        </is>
      </c>
      <c r="L291" s="3" t="inlineStr">
        <is>
          <t>T3-B8</t>
        </is>
      </c>
      <c r="M291" s="3" t="inlineStr">
        <is>
          <t>N/A</t>
        </is>
      </c>
      <c r="N291" s="3" t="inlineStr">
        <is>
          <t>08</t>
        </is>
      </c>
      <c r="O291" s="3" t="inlineStr">
        <is>
          <t>T8-B3</t>
        </is>
      </c>
      <c r="P291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47.75%</t>
        </is>
      </c>
      <c r="C2" s="3" t="inlineStr">
        <is>
          <t>138 / 289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72.5%</t>
        </is>
      </c>
      <c r="C3" s="3" t="inlineStr">
        <is>
          <t>220 / 289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87.5%</t>
        </is>
      </c>
      <c r="C4" s="3" t="inlineStr">
        <is>
          <t>273 / 289 ngày</t>
        </is>
      </c>
      <c r="D4" s="3" t="inlineStr">
        <is>
          <t>Tối Ưu Cực Đại - Tỷ Lệ Trúng Gần 88%</t>
        </is>
      </c>
    </row>
    <row r="5">
      <c r="A5" s="2" t="inlineStr">
        <is>
          <t>Tuần 43 (Tuần Trước)</t>
        </is>
      </c>
      <c r="B5" s="2" t="inlineStr">
        <is>
          <t>Top 1: G7_2</t>
        </is>
      </c>
      <c r="C5" s="3" t="inlineStr">
        <is>
          <t>Top 2: G7_1</t>
        </is>
      </c>
      <c r="D5" s="3" t="inlineStr">
        <is>
          <t>Top 3: G7_3 (Loại G7_4)</t>
        </is>
      </c>
    </row>
    <row r="6">
      <c r="A6" s="2" t="inlineStr">
        <is>
          <t>Khung 30 Ngày Gần Nhất</t>
        </is>
      </c>
      <c r="B6" s="2" t="inlineStr">
        <is>
          <t>Top 1: G7_1 (33.3%)</t>
        </is>
      </c>
      <c r="C6" s="3" t="inlineStr">
        <is>
          <t>Top 2: G7_2 (30.0%)</t>
        </is>
      </c>
      <c r="D6" s="3" t="inlineStr">
        <is>
          <t>Top 3: G7_3 (20.0%) | Loại: G7_4</t>
        </is>
      </c>
    </row>
    <row r="7">
      <c r="A7" s="2" t="inlineStr">
        <is>
          <t>Khung 60 Ngày Gần Nhất</t>
        </is>
      </c>
      <c r="B7" s="2" t="inlineStr">
        <is>
          <t>Top 1: G7_2 (25.0%)</t>
        </is>
      </c>
      <c r="C7" s="3" t="inlineStr">
        <is>
          <t>Top 2: G7_1 (23.3%)</t>
        </is>
      </c>
      <c r="D7" s="3" t="inlineStr">
        <is>
          <t>Top 3: G7_3 (21.7%) | Loại: G7_4</t>
        </is>
      </c>
    </row>
    <row r="8">
      <c r="A8" s="2" t="inlineStr">
        <is>
          <t>Khung 90 Ngày Gần Nhất</t>
        </is>
      </c>
      <c r="B8" s="2" t="inlineStr">
        <is>
          <t>Top 1: G7_1 (24.4%)</t>
        </is>
      </c>
      <c r="C8" s="3" t="inlineStr">
        <is>
          <t>Top 2: G7_3 (23.3%)</t>
        </is>
      </c>
      <c r="D8" s="3" t="inlineStr">
        <is>
          <t>Top 3: G7_2 (22.2%)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42</t>
        </is>
      </c>
      <c r="C2" s="3" t="inlineStr">
        <is>
          <t>Tổng 6</t>
        </is>
      </c>
      <c r="D2" s="3" t="inlineStr">
        <is>
          <t>CÓ</t>
        </is>
      </c>
      <c r="E2" s="3" t="n">
        <v>2</v>
      </c>
      <c r="F2" s="3" t="n">
        <v>3</v>
      </c>
      <c r="G2" s="3" t="n">
        <v>3</v>
      </c>
      <c r="H2" s="3" t="n">
        <v>3</v>
      </c>
      <c r="I2" s="3" t="inlineStr">
        <is>
          <t>Nhịp Đẹp</t>
        </is>
      </c>
      <c r="J2" s="3" t="n">
        <v>50</v>
      </c>
    </row>
    <row r="3">
      <c r="A3" s="2" t="inlineStr">
        <is>
          <t>Top 02</t>
        </is>
      </c>
      <c r="B3" s="2" t="inlineStr">
        <is>
          <t>38</t>
        </is>
      </c>
      <c r="C3" s="3" t="inlineStr">
        <is>
          <t>Tổng 1</t>
        </is>
      </c>
      <c r="D3" s="3" t="inlineStr">
        <is>
          <t>CÓ</t>
        </is>
      </c>
      <c r="E3" s="3" t="n">
        <v>1</v>
      </c>
      <c r="F3" s="3" t="n">
        <v>3</v>
      </c>
      <c r="G3" s="3" t="n">
        <v>4</v>
      </c>
      <c r="H3" s="3" t="n">
        <v>4</v>
      </c>
      <c r="I3" s="3" t="inlineStr">
        <is>
          <t>Nhịp Đẹp</t>
        </is>
      </c>
      <c r="J3" s="3" t="n">
        <v>48</v>
      </c>
    </row>
    <row r="4">
      <c r="A4" s="2" t="inlineStr">
        <is>
          <t>Top 03</t>
        </is>
      </c>
      <c r="B4" s="2" t="inlineStr">
        <is>
          <t>51</t>
        </is>
      </c>
      <c r="C4" s="3" t="inlineStr">
        <is>
          <t>Tổng 6</t>
        </is>
      </c>
      <c r="D4" s="3" t="inlineStr">
        <is>
          <t>KHÔNG</t>
        </is>
      </c>
      <c r="E4" s="3" t="n">
        <v>2</v>
      </c>
      <c r="F4" s="3" t="n">
        <v>3</v>
      </c>
      <c r="G4" s="3" t="n">
        <v>3</v>
      </c>
      <c r="H4" s="3" t="n">
        <v>17</v>
      </c>
      <c r="I4" s="3" t="inlineStr">
        <is>
          <t>Nhịp Đẹp</t>
        </is>
      </c>
      <c r="J4" s="3" t="n">
        <v>45</v>
      </c>
    </row>
    <row r="5">
      <c r="A5" s="2" t="inlineStr">
        <is>
          <t>Top 04</t>
        </is>
      </c>
      <c r="B5" s="2" t="inlineStr">
        <is>
          <t>83</t>
        </is>
      </c>
      <c r="C5" s="3" t="inlineStr">
        <is>
          <t>Tổng 1</t>
        </is>
      </c>
      <c r="D5" s="3" t="inlineStr">
        <is>
          <t>CÓ</t>
        </is>
      </c>
      <c r="E5" s="3" t="n">
        <v>1</v>
      </c>
      <c r="F5" s="3" t="n">
        <v>1</v>
      </c>
      <c r="G5" s="3" t="n">
        <v>3</v>
      </c>
      <c r="H5" s="3" t="n">
        <v>19</v>
      </c>
      <c r="I5" s="3" t="inlineStr">
        <is>
          <t>Nhịp Đẹp</t>
        </is>
      </c>
      <c r="J5" s="3" t="n">
        <v>43</v>
      </c>
    </row>
    <row r="6">
      <c r="A6" s="2" t="inlineStr">
        <is>
          <t>Top 05</t>
        </is>
      </c>
      <c r="B6" s="2" t="inlineStr">
        <is>
          <t>08</t>
        </is>
      </c>
      <c r="C6" s="3" t="inlineStr">
        <is>
          <t>Tổng 8</t>
        </is>
      </c>
      <c r="D6" s="3" t="inlineStr">
        <is>
          <t>CÓ</t>
        </is>
      </c>
      <c r="E6" s="3" t="n">
        <v>1</v>
      </c>
      <c r="F6" s="3" t="n">
        <v>1</v>
      </c>
      <c r="G6" s="3" t="n">
        <v>1</v>
      </c>
      <c r="H6" s="3" t="n">
        <v>20</v>
      </c>
      <c r="I6" s="3" t="inlineStr">
        <is>
          <t>Nhịp Đẹp</t>
        </is>
      </c>
      <c r="J6" s="3" t="n">
        <v>41</v>
      </c>
    </row>
    <row r="7">
      <c r="A7" s="2" t="inlineStr">
        <is>
          <t>Top 06</t>
        </is>
      </c>
      <c r="B7" s="2" t="inlineStr">
        <is>
          <t>56</t>
        </is>
      </c>
      <c r="C7" s="3" t="inlineStr">
        <is>
          <t>Tổng 1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1</v>
      </c>
      <c r="H7" s="3" t="n">
        <v>5</v>
      </c>
      <c r="I7" s="3" t="inlineStr">
        <is>
          <t>Nhịp Đẹp</t>
        </is>
      </c>
      <c r="J7" s="3" t="n">
        <v>41</v>
      </c>
    </row>
    <row r="8">
      <c r="A8" s="2" t="inlineStr">
        <is>
          <t>Top 07</t>
        </is>
      </c>
      <c r="B8" s="2" t="inlineStr">
        <is>
          <t>88</t>
        </is>
      </c>
      <c r="C8" s="3" t="inlineStr">
        <is>
          <t>Tổng 6</t>
        </is>
      </c>
      <c r="D8" s="3" t="inlineStr">
        <is>
          <t>CÓ</t>
        </is>
      </c>
      <c r="E8" s="3" t="n">
        <v>1</v>
      </c>
      <c r="F8" s="3" t="n">
        <v>1</v>
      </c>
      <c r="G8" s="3" t="n">
        <v>1</v>
      </c>
      <c r="H8" s="3" t="n">
        <v>14</v>
      </c>
      <c r="I8" s="3" t="inlineStr">
        <is>
          <t>Nhịp Đẹp</t>
        </is>
      </c>
      <c r="J8" s="3" t="n">
        <v>41</v>
      </c>
    </row>
    <row r="9">
      <c r="A9" s="2" t="inlineStr">
        <is>
          <t>Top 08</t>
        </is>
      </c>
      <c r="B9" s="2" t="inlineStr">
        <is>
          <t>35</t>
        </is>
      </c>
      <c r="C9" s="3" t="inlineStr">
        <is>
          <t>Tổng 8</t>
        </is>
      </c>
      <c r="D9" s="3" t="inlineStr">
        <is>
          <t>KHÔNG</t>
        </is>
      </c>
      <c r="E9" s="3" t="n">
        <v>1</v>
      </c>
      <c r="F9" s="3" t="n">
        <v>2</v>
      </c>
      <c r="G9" s="3" t="n">
        <v>2</v>
      </c>
      <c r="H9" s="3" t="n">
        <v>12</v>
      </c>
      <c r="I9" s="3" t="inlineStr">
        <is>
          <t>Nhịp Đẹp</t>
        </is>
      </c>
      <c r="J9" s="3" t="n">
        <v>39</v>
      </c>
    </row>
    <row r="10">
      <c r="A10" s="2" t="inlineStr">
        <is>
          <t>Top 09</t>
        </is>
      </c>
      <c r="B10" s="2" t="inlineStr">
        <is>
          <t>15</t>
        </is>
      </c>
      <c r="C10" s="3" t="inlineStr">
        <is>
          <t>Tổng 6</t>
        </is>
      </c>
      <c r="D10" s="3" t="inlineStr">
        <is>
          <t>KHÔNG</t>
        </is>
      </c>
      <c r="E10" s="3" t="n">
        <v>1</v>
      </c>
      <c r="F10" s="3" t="n">
        <v>1</v>
      </c>
      <c r="G10" s="3" t="n">
        <v>1</v>
      </c>
      <c r="H10" s="3" t="n">
        <v>23</v>
      </c>
      <c r="I10" s="3" t="inlineStr">
        <is>
          <t>Nhịp Đẹp</t>
        </is>
      </c>
      <c r="J10" s="3" t="n">
        <v>36</v>
      </c>
    </row>
    <row r="11">
      <c r="A11" s="2" t="inlineStr">
        <is>
          <t>Top 10</t>
        </is>
      </c>
      <c r="B11" s="2" t="inlineStr">
        <is>
          <t>53</t>
        </is>
      </c>
      <c r="C11" s="3" t="inlineStr">
        <is>
          <t>Tổng 8</t>
        </is>
      </c>
      <c r="D11" s="3" t="inlineStr">
        <is>
          <t>KHÔNG</t>
        </is>
      </c>
      <c r="E11" s="3" t="n">
        <v>1</v>
      </c>
      <c r="F11" s="3" t="n">
        <v>1</v>
      </c>
      <c r="G11" s="3" t="n">
        <v>1</v>
      </c>
      <c r="H11" s="3" t="n">
        <v>11</v>
      </c>
      <c r="I11" s="3" t="inlineStr">
        <is>
          <t>Nhịp Đẹp</t>
        </is>
      </c>
      <c r="J11" s="3" t="n">
        <v>36</v>
      </c>
    </row>
    <row r="12">
      <c r="A12" s="2" t="inlineStr">
        <is>
          <t>Top 11</t>
        </is>
      </c>
      <c r="B12" s="2" t="inlineStr">
        <is>
          <t>44</t>
        </is>
      </c>
      <c r="C12" s="3" t="inlineStr">
        <is>
          <t>Tổng 8</t>
        </is>
      </c>
      <c r="D12" s="3" t="inlineStr">
        <is>
          <t>CÓ</t>
        </is>
      </c>
      <c r="E12" s="3" t="n">
        <v>0</v>
      </c>
      <c r="F12" s="3" t="n">
        <v>2</v>
      </c>
      <c r="G12" s="3" t="n">
        <v>3</v>
      </c>
      <c r="H12" s="3" t="n">
        <v>35</v>
      </c>
      <c r="I12" s="3" t="inlineStr">
        <is>
          <t>Gan Dài</t>
        </is>
      </c>
      <c r="J12" s="3" t="n">
        <v>32</v>
      </c>
    </row>
    <row r="13">
      <c r="A13" s="2" t="inlineStr">
        <is>
          <t>Top 12</t>
        </is>
      </c>
      <c r="B13" s="2" t="inlineStr">
        <is>
          <t>06</t>
        </is>
      </c>
      <c r="C13" s="3" t="inlineStr">
        <is>
          <t>Tổng 6</t>
        </is>
      </c>
      <c r="D13" s="3" t="inlineStr">
        <is>
          <t>CÓ</t>
        </is>
      </c>
      <c r="E13" s="3" t="n">
        <v>1</v>
      </c>
      <c r="F13" s="3" t="n">
        <v>1</v>
      </c>
      <c r="G13" s="3" t="n">
        <v>1</v>
      </c>
      <c r="H13" s="3" t="n">
        <v>28</v>
      </c>
      <c r="I13" s="3" t="inlineStr">
        <is>
          <t>Gan Dài</t>
        </is>
      </c>
      <c r="J13" s="3" t="n">
        <v>31</v>
      </c>
    </row>
    <row r="14">
      <c r="A14" s="2" t="inlineStr">
        <is>
          <t>Top 13</t>
        </is>
      </c>
      <c r="B14" s="2" t="inlineStr">
        <is>
          <t>65</t>
        </is>
      </c>
      <c r="C14" s="3" t="inlineStr">
        <is>
          <t>Tổng 1</t>
        </is>
      </c>
      <c r="D14" s="3" t="inlineStr">
        <is>
          <t>CÓ</t>
        </is>
      </c>
      <c r="E14" s="3" t="n">
        <v>1</v>
      </c>
      <c r="F14" s="3" t="n">
        <v>1</v>
      </c>
      <c r="G14" s="3" t="n">
        <v>1</v>
      </c>
      <c r="H14" s="3" t="n">
        <v>26</v>
      </c>
      <c r="I14" s="3" t="inlineStr">
        <is>
          <t>Gan Dài</t>
        </is>
      </c>
      <c r="J14" s="3" t="n">
        <v>31</v>
      </c>
    </row>
    <row r="15">
      <c r="A15" s="2" t="inlineStr">
        <is>
          <t>Top 14</t>
        </is>
      </c>
      <c r="B15" s="2" t="inlineStr">
        <is>
          <t>21</t>
        </is>
      </c>
      <c r="C15" s="3" t="inlineStr">
        <is>
          <t>Tổng 3</t>
        </is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50</v>
      </c>
      <c r="I15" s="3" t="inlineStr">
        <is>
          <t>Gan Dài</t>
        </is>
      </c>
      <c r="J15" s="3" t="n">
        <v>29</v>
      </c>
    </row>
    <row r="16">
      <c r="A16" s="2" t="inlineStr">
        <is>
          <t>Top 15</t>
        </is>
      </c>
      <c r="B16" s="2" t="inlineStr">
        <is>
          <t>60</t>
        </is>
      </c>
      <c r="C16" s="3" t="inlineStr">
        <is>
          <t>Tổng 6</t>
        </is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34</v>
      </c>
      <c r="I16" s="3" t="inlineStr">
        <is>
          <t>Gan Dài</t>
        </is>
      </c>
      <c r="J16" s="3" t="n">
        <v>29</v>
      </c>
    </row>
    <row r="17">
      <c r="A17" s="2" t="inlineStr">
        <is>
          <t>Top 16</t>
        </is>
      </c>
      <c r="B17" s="2" t="inlineStr">
        <is>
          <t>67</t>
        </is>
      </c>
      <c r="C17" s="3" t="inlineStr">
        <is>
          <t>Tổng 3</t>
        </is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33</v>
      </c>
      <c r="I17" s="3" t="inlineStr">
        <is>
          <t>Gan Dài</t>
        </is>
      </c>
      <c r="J17" s="3" t="n">
        <v>29</v>
      </c>
    </row>
    <row r="18">
      <c r="A18" s="2" t="inlineStr">
        <is>
          <t>Top 17</t>
        </is>
      </c>
      <c r="B18" s="2" t="inlineStr">
        <is>
          <t>12</t>
        </is>
      </c>
      <c r="C18" s="3" t="inlineStr">
        <is>
          <t>Tổng 3</t>
        </is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32</v>
      </c>
      <c r="I18" s="3" t="inlineStr">
        <is>
          <t>Gan Dài</t>
        </is>
      </c>
      <c r="J18" s="3" t="n">
        <v>28</v>
      </c>
    </row>
    <row r="19">
      <c r="A19" s="2" t="inlineStr">
        <is>
          <t>Top 18</t>
        </is>
      </c>
      <c r="B19" s="2" t="inlineStr">
        <is>
          <t>29</t>
        </is>
      </c>
      <c r="C19" s="3" t="inlineStr">
        <is>
          <t>Tổng 1</t>
        </is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36</v>
      </c>
      <c r="I19" s="3" t="inlineStr">
        <is>
          <t>Gan Dài</t>
        </is>
      </c>
      <c r="J19" s="3" t="n">
        <v>28</v>
      </c>
    </row>
    <row r="20">
      <c r="A20" s="2" t="inlineStr">
        <is>
          <t>Top 19</t>
        </is>
      </c>
      <c r="B20" s="2" t="inlineStr">
        <is>
          <t>80</t>
        </is>
      </c>
      <c r="C20" s="3" t="inlineStr">
        <is>
          <t>Tổng 8</t>
        </is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57</v>
      </c>
      <c r="I20" s="3" t="inlineStr">
        <is>
          <t>Gan Dài</t>
        </is>
      </c>
      <c r="J20" s="3" t="n">
        <v>28</v>
      </c>
    </row>
    <row r="21">
      <c r="A21" s="2" t="inlineStr">
        <is>
          <t>Top 20</t>
        </is>
      </c>
      <c r="B21" s="2" t="inlineStr">
        <is>
          <t>99</t>
        </is>
      </c>
      <c r="C21" s="3" t="inlineStr">
        <is>
          <t>Tổng 8</t>
        </is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38</v>
      </c>
      <c r="I21" s="3" t="inlineStr">
        <is>
          <t>Gan Dài</t>
        </is>
      </c>
      <c r="J21" s="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41 ngày</t>
        </is>
      </c>
      <c r="C2" s="3" t="inlineStr">
        <is>
          <t>2 (4.9%)</t>
        </is>
      </c>
      <c r="D2" s="3" t="inlineStr">
        <is>
          <t>5 (12.2%)</t>
        </is>
      </c>
      <c r="E2" s="3" t="inlineStr">
        <is>
          <t>7 (17.1%)</t>
        </is>
      </c>
      <c r="F2" s="3" t="inlineStr">
        <is>
          <t>2 (4.9%)</t>
        </is>
      </c>
      <c r="G2" s="3" t="inlineStr">
        <is>
          <t>5 (12.2%)</t>
        </is>
      </c>
      <c r="H2" s="3" t="inlineStr">
        <is>
          <t>7 (17.1%)</t>
        </is>
      </c>
      <c r="I2" s="3" t="inlineStr">
        <is>
          <t>8 (19.5%)</t>
        </is>
      </c>
      <c r="J2" s="3" t="inlineStr">
        <is>
          <t>3 (7.3%)</t>
        </is>
      </c>
      <c r="K2" s="3" t="inlineStr">
        <is>
          <t>11 (26.8%)</t>
        </is>
      </c>
      <c r="L2" s="3" t="inlineStr">
        <is>
          <t>2 (4.9%)</t>
        </is>
      </c>
      <c r="M2" s="3" t="inlineStr">
        <is>
          <t>4 (9.8%)</t>
        </is>
      </c>
      <c r="N2" s="3" t="inlineStr">
        <is>
          <t>6 (14.6%)</t>
        </is>
      </c>
      <c r="O2" s="3" t="inlineStr">
        <is>
          <t>34 (82.9%)</t>
        </is>
      </c>
      <c r="P2" s="3" t="inlineStr">
        <is>
          <t>21 (51.2%)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41 ngày</t>
        </is>
      </c>
      <c r="C3" s="3" t="inlineStr">
        <is>
          <t>0 (0.0%)</t>
        </is>
      </c>
      <c r="D3" s="3" t="inlineStr">
        <is>
          <t>5 (12.2%)</t>
        </is>
      </c>
      <c r="E3" s="3" t="inlineStr">
        <is>
          <t>5 (12.2%)</t>
        </is>
      </c>
      <c r="F3" s="3" t="inlineStr">
        <is>
          <t>5 (12.2%)</t>
        </is>
      </c>
      <c r="G3" s="3" t="inlineStr">
        <is>
          <t>5 (12.2%)</t>
        </is>
      </c>
      <c r="H3" s="3" t="inlineStr">
        <is>
          <t>10 (24.4%)</t>
        </is>
      </c>
      <c r="I3" s="3" t="inlineStr">
        <is>
          <t>4 (9.8%)</t>
        </is>
      </c>
      <c r="J3" s="3" t="inlineStr">
        <is>
          <t>4 (9.8%)</t>
        </is>
      </c>
      <c r="K3" s="3" t="inlineStr">
        <is>
          <t>8 (19.5%)</t>
        </is>
      </c>
      <c r="L3" s="3" t="inlineStr">
        <is>
          <t>2 (4.9%)</t>
        </is>
      </c>
      <c r="M3" s="3" t="inlineStr">
        <is>
          <t>3 (7.3%)</t>
        </is>
      </c>
      <c r="N3" s="3" t="inlineStr">
        <is>
          <t>5 (12.2%)</t>
        </is>
      </c>
      <c r="O3" s="3" t="inlineStr">
        <is>
          <t>32 (78.0%)</t>
        </is>
      </c>
      <c r="P3" s="3" t="inlineStr">
        <is>
          <t>17 (41.5%)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40 ngày</t>
        </is>
      </c>
      <c r="C4" s="3" t="inlineStr">
        <is>
          <t>7 (17.5%)</t>
        </is>
      </c>
      <c r="D4" s="3" t="inlineStr">
        <is>
          <t>6 (15.0%)</t>
        </is>
      </c>
      <c r="E4" s="3" t="inlineStr">
        <is>
          <t>13 (32.5%)</t>
        </is>
      </c>
      <c r="F4" s="3" t="inlineStr">
        <is>
          <t>2 (5.0%)</t>
        </is>
      </c>
      <c r="G4" s="3" t="inlineStr">
        <is>
          <t>3 (7.5%)</t>
        </is>
      </c>
      <c r="H4" s="3" t="inlineStr">
        <is>
          <t>5 (12.5%)</t>
        </is>
      </c>
      <c r="I4" s="3" t="inlineStr">
        <is>
          <t>1 (2.5%)</t>
        </is>
      </c>
      <c r="J4" s="3" t="inlineStr">
        <is>
          <t>3 (7.5%)</t>
        </is>
      </c>
      <c r="K4" s="3" t="inlineStr">
        <is>
          <t>4 (10.0%)</t>
        </is>
      </c>
      <c r="L4" s="3" t="inlineStr">
        <is>
          <t>0 (0.0%)</t>
        </is>
      </c>
      <c r="M4" s="3" t="inlineStr">
        <is>
          <t>1 (2.5%)</t>
        </is>
      </c>
      <c r="N4" s="3" t="inlineStr">
        <is>
          <t>1 (2.5%)</t>
        </is>
      </c>
      <c r="O4" s="3" t="inlineStr">
        <is>
          <t>38 (95.0%)</t>
        </is>
      </c>
      <c r="P4" s="3" t="inlineStr">
        <is>
          <t>16 (40.0%)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41 ngày</t>
        </is>
      </c>
      <c r="C5" s="3" t="inlineStr">
        <is>
          <t>4 (9.8%)</t>
        </is>
      </c>
      <c r="D5" s="3" t="inlineStr">
        <is>
          <t>8 (19.5%)</t>
        </is>
      </c>
      <c r="E5" s="3" t="inlineStr">
        <is>
          <t>12 (29.3%)</t>
        </is>
      </c>
      <c r="F5" s="3" t="inlineStr">
        <is>
          <t>4 (9.8%)</t>
        </is>
      </c>
      <c r="G5" s="3" t="inlineStr">
        <is>
          <t>2 (4.9%)</t>
        </is>
      </c>
      <c r="H5" s="3" t="inlineStr">
        <is>
          <t>6 (14.6%)</t>
        </is>
      </c>
      <c r="I5" s="3" t="inlineStr">
        <is>
          <t>3 (7.3%)</t>
        </is>
      </c>
      <c r="J5" s="3" t="inlineStr">
        <is>
          <t>9 (22.0%)</t>
        </is>
      </c>
      <c r="K5" s="3" t="inlineStr">
        <is>
          <t>12 (29.3%)</t>
        </is>
      </c>
      <c r="L5" s="3" t="inlineStr">
        <is>
          <t>3 (7.3%)</t>
        </is>
      </c>
      <c r="M5" s="3" t="inlineStr">
        <is>
          <t>2 (4.9%)</t>
        </is>
      </c>
      <c r="N5" s="3" t="inlineStr">
        <is>
          <t>5 (12.2%)</t>
        </is>
      </c>
      <c r="O5" s="3" t="inlineStr">
        <is>
          <t>33 (80.5%)</t>
        </is>
      </c>
      <c r="P5" s="3" t="inlineStr">
        <is>
          <t>22 (53.7%)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42 ngày</t>
        </is>
      </c>
      <c r="C6" s="3" t="inlineStr">
        <is>
          <t>1 (2.4%)</t>
        </is>
      </c>
      <c r="D6" s="3" t="inlineStr">
        <is>
          <t>3 (7.1%)</t>
        </is>
      </c>
      <c r="E6" s="3" t="inlineStr">
        <is>
          <t>4 (9.5%)</t>
        </is>
      </c>
      <c r="F6" s="3" t="inlineStr">
        <is>
          <t>3 (7.1%)</t>
        </is>
      </c>
      <c r="G6" s="3" t="inlineStr">
        <is>
          <t>5 (11.9%)</t>
        </is>
      </c>
      <c r="H6" s="3" t="inlineStr">
        <is>
          <t>8 (19.0%)</t>
        </is>
      </c>
      <c r="I6" s="3" t="inlineStr">
        <is>
          <t>5 (11.9%)</t>
        </is>
      </c>
      <c r="J6" s="3" t="inlineStr">
        <is>
          <t>7 (16.7%)</t>
        </is>
      </c>
      <c r="K6" s="3" t="inlineStr">
        <is>
          <t>12 (28.6%)</t>
        </is>
      </c>
      <c r="L6" s="3" t="inlineStr">
        <is>
          <t>2 (4.8%)</t>
        </is>
      </c>
      <c r="M6" s="3" t="inlineStr">
        <is>
          <t>6 (14.3%)</t>
        </is>
      </c>
      <c r="N6" s="3" t="inlineStr">
        <is>
          <t>8 (19.0%)</t>
        </is>
      </c>
      <c r="O6" s="3" t="inlineStr">
        <is>
          <t>36 (85.7%)</t>
        </is>
      </c>
      <c r="P6" s="3" t="inlineStr">
        <is>
          <t>18 (42.9%)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42 ngày</t>
        </is>
      </c>
      <c r="C7" s="3" t="inlineStr">
        <is>
          <t>5 (11.9%)</t>
        </is>
      </c>
      <c r="D7" s="3" t="inlineStr">
        <is>
          <t>2 (4.8%)</t>
        </is>
      </c>
      <c r="E7" s="3" t="inlineStr">
        <is>
          <t>7 (16.7%)</t>
        </is>
      </c>
      <c r="F7" s="3" t="inlineStr">
        <is>
          <t>2 (4.8%)</t>
        </is>
      </c>
      <c r="G7" s="3" t="inlineStr">
        <is>
          <t>6 (14.3%)</t>
        </is>
      </c>
      <c r="H7" s="3" t="inlineStr">
        <is>
          <t>8 (19.0%)</t>
        </is>
      </c>
      <c r="I7" s="3" t="inlineStr">
        <is>
          <t>2 (4.8%)</t>
        </is>
      </c>
      <c r="J7" s="3" t="inlineStr">
        <is>
          <t>5 (11.9%)</t>
        </is>
      </c>
      <c r="K7" s="3" t="inlineStr">
        <is>
          <t>7 (16.7%)</t>
        </is>
      </c>
      <c r="L7" s="3" t="inlineStr">
        <is>
          <t>2 (4.8%)</t>
        </is>
      </c>
      <c r="M7" s="3" t="inlineStr">
        <is>
          <t>7 (16.7%)</t>
        </is>
      </c>
      <c r="N7" s="3" t="inlineStr">
        <is>
          <t>9 (21.4%)</t>
        </is>
      </c>
      <c r="O7" s="3" t="inlineStr">
        <is>
          <t>35 (83.3%)</t>
        </is>
      </c>
      <c r="P7" s="3" t="inlineStr">
        <is>
          <t>18 (42.9%)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42 ngày</t>
        </is>
      </c>
      <c r="C8" s="3" t="inlineStr">
        <is>
          <t>4 (9.5%)</t>
        </is>
      </c>
      <c r="D8" s="3" t="inlineStr">
        <is>
          <t>1 (2.4%)</t>
        </is>
      </c>
      <c r="E8" s="3" t="inlineStr">
        <is>
          <t>5 (11.9%)</t>
        </is>
      </c>
      <c r="F8" s="3" t="inlineStr">
        <is>
          <t>3 (7.1%)</t>
        </is>
      </c>
      <c r="G8" s="3" t="inlineStr">
        <is>
          <t>7 (16.7%)</t>
        </is>
      </c>
      <c r="H8" s="3" t="inlineStr">
        <is>
          <t>10 (23.8%)</t>
        </is>
      </c>
      <c r="I8" s="3" t="inlineStr">
        <is>
          <t>5 (11.9%)</t>
        </is>
      </c>
      <c r="J8" s="3" t="inlineStr">
        <is>
          <t>2 (4.8%)</t>
        </is>
      </c>
      <c r="K8" s="3" t="inlineStr">
        <is>
          <t>7 (16.7%)</t>
        </is>
      </c>
      <c r="L8" s="3" t="inlineStr">
        <is>
          <t>5 (11.9%)</t>
        </is>
      </c>
      <c r="M8" s="3" t="inlineStr">
        <is>
          <t>5 (11.9%)</t>
        </is>
      </c>
      <c r="N8" s="3" t="inlineStr">
        <is>
          <t>10 (23.8%)</t>
        </is>
      </c>
      <c r="O8" s="3" t="inlineStr">
        <is>
          <t>36 (85.7%)</t>
        </is>
      </c>
      <c r="P8" s="3" t="inlineStr">
        <is>
          <t>21 (50.0%)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Năm (Kế thừa phong độ Thứ Năm năm 2026)</t>
        </is>
      </c>
    </row>
    <row r="4">
      <c r="A4" s="2" t="inlineStr">
        <is>
          <t>Top 2 Vị Trí G7 Ưu Tiên</t>
        </is>
      </c>
      <c r="B4" s="2" t="inlineStr">
        <is>
          <t>G7.1, G7.4</t>
        </is>
      </c>
    </row>
    <row r="5">
      <c r="A5" s="2" t="inlineStr">
        <is>
          <t>Các Tổng &amp; Bóng Ưu Tiên Nổ</t>
        </is>
      </c>
      <c r="B5" s="2" t="inlineStr">
        <is>
          <t>Tổng 1, Tổng 2, Tổng 3, Tổng 6, Tổng 7, Tổng 8</t>
        </is>
      </c>
    </row>
    <row r="6">
      <c r="A6" s="2" t="inlineStr">
        <is>
          <t>Tập Chạm Ngày Ưu Tiên</t>
        </is>
      </c>
      <c r="B6" s="2" t="inlineStr">
        <is>
          <t>0123456789</t>
        </is>
      </c>
    </row>
    <row r="7">
      <c r="A7" s="2" t="inlineStr">
        <is>
          <t>Cầu Ghép Góc (G7.1[0] + G7.4[1])</t>
        </is>
      </c>
      <c r="B7" s="2" t="inlineStr">
        <is>
          <t>Tổng 2 - Bóng 7</t>
        </is>
      </c>
    </row>
    <row r="8">
      <c r="A8" s="2" t="inlineStr">
        <is>
          <t>Dàn Giao Thoa Dự Đoán (~47 con)</t>
        </is>
      </c>
      <c r="B8" s="2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9">
      <c r="A9" s="2" t="inlineStr">
        <is>
          <t>Dàn Hạ Số Hỏa Lực Top 20</t>
        </is>
      </c>
      <c r="B9" s="2" t="inlineStr">
        <is>
          <t>42, 38, 66, 51, 56, 61, 35, 83, 39, 08, 88, 53, 44, 15, 06, 65, 60, 67, 21, 99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11/41 ngày - 26.8%)</t>
        </is>
      </c>
    </row>
    <row r="12">
      <c r="A12" s="2" t="inlineStr">
        <is>
          <t>Phong Độ Thứ Ba</t>
        </is>
      </c>
      <c r="B12" s="2" t="inlineStr">
        <is>
          <t>Top 1 Vị Trí G7.2 (Trúng 10/41 ngày - 24.4%)</t>
        </is>
      </c>
    </row>
    <row r="13">
      <c r="A13" s="2" t="inlineStr">
        <is>
          <t>Phong Độ Thứ Tư</t>
        </is>
      </c>
      <c r="B13" s="2" t="inlineStr">
        <is>
          <t>Top 1 Vị Trí G7.1 (Trúng 13/40 ngày - 32.5%)</t>
        </is>
      </c>
    </row>
    <row r="14">
      <c r="A14" s="2" t="inlineStr">
        <is>
          <t>Phong Độ Thứ Năm</t>
        </is>
      </c>
      <c r="B14" s="2" t="inlineStr">
        <is>
          <t>Top 1 Vị Trí G7.1 (Trúng 12/41 ngày - 29.3%)</t>
        </is>
      </c>
    </row>
    <row r="15">
      <c r="A15" s="2" t="inlineStr">
        <is>
          <t>Phong Độ Thứ Sáu</t>
        </is>
      </c>
      <c r="B15" s="2" t="inlineStr">
        <is>
          <t>Top 1 Vị Trí G7.3 (Trúng 12/42 ngày - 28.6%)</t>
        </is>
      </c>
    </row>
    <row r="16">
      <c r="A16" s="2" t="inlineStr">
        <is>
          <t>Phong Độ Thứ Bảy</t>
        </is>
      </c>
      <c r="B16" s="2" t="inlineStr">
        <is>
          <t>Top 1 Vị Trí G7.4 (Trúng 9/42 ngày - 21.4%)</t>
        </is>
      </c>
    </row>
    <row r="17">
      <c r="A17" s="2" t="inlineStr">
        <is>
          <t>Phong Độ Chủ Nhật</t>
        </is>
      </c>
      <c r="B17" s="2" t="inlineStr">
        <is>
          <t>Top 1 Vị Trí G7.2 (Trúng 10/42 ngày - 23.8%)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41 ngày</t>
        </is>
      </c>
      <c r="C2" s="3" t="inlineStr">
        <is>
          <t>7 lần (17.1%)</t>
        </is>
      </c>
      <c r="D2" s="3" t="inlineStr">
        <is>
          <t>7 lần (17.1%)</t>
        </is>
      </c>
      <c r="E2" s="3" t="inlineStr">
        <is>
          <t>11 lần (26.8%)</t>
        </is>
      </c>
      <c r="F2" s="3" t="inlineStr">
        <is>
          <t>6 lần (14.6%)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41 ngày</t>
        </is>
      </c>
      <c r="C3" s="3" t="inlineStr">
        <is>
          <t>5 lần (12.2%)</t>
        </is>
      </c>
      <c r="D3" s="3" t="inlineStr">
        <is>
          <t>10 lần (24.4%)</t>
        </is>
      </c>
      <c r="E3" s="3" t="inlineStr">
        <is>
          <t>8 lần (19.5%)</t>
        </is>
      </c>
      <c r="F3" s="3" t="inlineStr">
        <is>
          <t>5 lần (12.2%)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40 ngày</t>
        </is>
      </c>
      <c r="C4" s="3" t="inlineStr">
        <is>
          <t>13 lần (32.5%)</t>
        </is>
      </c>
      <c r="D4" s="3" t="inlineStr">
        <is>
          <t>5 lần (12.5%)</t>
        </is>
      </c>
      <c r="E4" s="3" t="inlineStr">
        <is>
          <t>4 lần (10.0%)</t>
        </is>
      </c>
      <c r="F4" s="3" t="inlineStr">
        <is>
          <t>1 lần (2.5%)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41 ngày</t>
        </is>
      </c>
      <c r="C5" s="3" t="inlineStr">
        <is>
          <t>12 lần (29.3%)</t>
        </is>
      </c>
      <c r="D5" s="3" t="inlineStr">
        <is>
          <t>6 lần (14.6%)</t>
        </is>
      </c>
      <c r="E5" s="3" t="inlineStr">
        <is>
          <t>12 lần (29.3%)</t>
        </is>
      </c>
      <c r="F5" s="3" t="inlineStr">
        <is>
          <t>5 lần (12.2%)</t>
        </is>
      </c>
      <c r="G5" s="3" t="inlineStr">
        <is>
          <t>Top 1: G7.1 | Top 2: G7.3</t>
        </is>
      </c>
      <c r="H5" s="3" t="inlineStr">
        <is>
          <t>Ưu tiên ép Tổng G7.1 &amp; G7.3</t>
        </is>
      </c>
    </row>
    <row r="6">
      <c r="A6" s="2" t="inlineStr">
        <is>
          <t>Thứ Sáu</t>
        </is>
      </c>
      <c r="B6" s="2" t="inlineStr">
        <is>
          <t>42 ngày</t>
        </is>
      </c>
      <c r="C6" s="3" t="inlineStr">
        <is>
          <t>4 lần (9.5%)</t>
        </is>
      </c>
      <c r="D6" s="3" t="inlineStr">
        <is>
          <t>8 lần (19.0%)</t>
        </is>
      </c>
      <c r="E6" s="3" t="inlineStr">
        <is>
          <t>12 lần (28.6%)</t>
        </is>
      </c>
      <c r="F6" s="3" t="inlineStr">
        <is>
          <t>8 lần (19.0%)</t>
        </is>
      </c>
      <c r="G6" s="3" t="inlineStr">
        <is>
          <t>Top 1: G7.3 | Top 2: G7.2</t>
        </is>
      </c>
      <c r="H6" s="3" t="inlineStr">
        <is>
          <t>Ưu tiên ép Tổng G7.3 &amp; G7.2</t>
        </is>
      </c>
    </row>
    <row r="7">
      <c r="A7" s="2" t="inlineStr">
        <is>
          <t>Thứ Bảy</t>
        </is>
      </c>
      <c r="B7" s="2" t="inlineStr">
        <is>
          <t>42 ngày</t>
        </is>
      </c>
      <c r="C7" s="3" t="inlineStr">
        <is>
          <t>7 lần (16.7%)</t>
        </is>
      </c>
      <c r="D7" s="3" t="inlineStr">
        <is>
          <t>8 lần (19.0%)</t>
        </is>
      </c>
      <c r="E7" s="3" t="inlineStr">
        <is>
          <t>7 lần (16.7%)</t>
        </is>
      </c>
      <c r="F7" s="3" t="inlineStr">
        <is>
          <t>9 lần (21.4%)</t>
        </is>
      </c>
      <c r="G7" s="3" t="inlineStr">
        <is>
          <t>Top 1: G7.4 | Top 2: G7.2</t>
        </is>
      </c>
      <c r="H7" s="3" t="inlineStr">
        <is>
          <t>Ưu tiên ép Tổng G7.4 &amp; G7.2</t>
        </is>
      </c>
    </row>
    <row r="8">
      <c r="A8" s="2" t="inlineStr">
        <is>
          <t>Chủ Nhật</t>
        </is>
      </c>
      <c r="B8" s="2" t="inlineStr">
        <is>
          <t>42 ngày</t>
        </is>
      </c>
      <c r="C8" s="3" t="inlineStr">
        <is>
          <t>5 lần (11.9%)</t>
        </is>
      </c>
      <c r="D8" s="3" t="inlineStr">
        <is>
          <t>10 lần (23.8%)</t>
        </is>
      </c>
      <c r="E8" s="3" t="inlineStr">
        <is>
          <t>7 lần (16.7%)</t>
        </is>
      </c>
      <c r="F8" s="3" t="inlineStr">
        <is>
          <t>10 lần (23.8%)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30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289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47.2 con</t>
        </is>
      </c>
      <c r="K2" s="5" t="inlineStr">
        <is>
          <t>Trúng 1N: 127/289 (43.94%)</t>
        </is>
      </c>
      <c r="L2" s="5" t="inlineStr">
        <is>
          <t>TB 19.9 con</t>
        </is>
      </c>
      <c r="M2" s="5" t="inlineStr">
        <is>
          <t>Trúng Hỏa Lực: 46/289 (15.92%)</t>
        </is>
      </c>
      <c r="N2" s="5" t="inlineStr">
        <is>
          <t>Trúng Khung 3N: 246/287 (85.71%)</t>
        </is>
      </c>
      <c r="O2" s="5" t="inlineStr">
        <is>
          <t>Mô Hình Giao Thoa G7 Theo Thứ</t>
        </is>
      </c>
    </row>
    <row r="3">
      <c r="A3" s="2" t="n">
        <v>289</v>
      </c>
      <c r="B3" s="2" t="inlineStr">
        <is>
          <t>Thứ Tư ngày 21-10-2026</t>
        </is>
      </c>
      <c r="C3" s="3" t="inlineStr">
        <is>
          <t>Thứ Ba</t>
        </is>
      </c>
      <c r="D3" s="3" t="inlineStr">
        <is>
          <t>94163</t>
        </is>
      </c>
      <c r="E3" s="3" t="inlineStr">
        <is>
          <t>63</t>
        </is>
      </c>
      <c r="F3" s="3" t="inlineStr">
        <is>
          <t>G7.3, G7.1</t>
        </is>
      </c>
      <c r="G3" s="3" t="inlineStr">
        <is>
          <t>Tổng 1, Tổng 4, Tổng 6, Tổng 9</t>
        </is>
      </c>
      <c r="H3" s="3" t="inlineStr">
        <is>
          <t>0123456789</t>
        </is>
      </c>
      <c r="I3" s="3" t="inlineStr">
        <is>
          <t>Tổng 9-Bóng 4</t>
        </is>
      </c>
      <c r="J3" s="3" t="n">
        <v>40</v>
      </c>
      <c r="K3" s="6" t="inlineStr">
        <is>
          <t>TRÚNG N1 🎯</t>
        </is>
      </c>
      <c r="L3" s="3" t="inlineStr">
        <is>
          <t>04, 06, 09, 13, 15, 18, 22, 38, 42, 51, 54, 56, 59, 60, 63, 65, 68, 83, 88, 90</t>
        </is>
      </c>
      <c r="M3" s="6" t="inlineStr">
        <is>
          <t>TRÚNG HỎA LỰC 🎯</t>
        </is>
      </c>
      <c r="N3" s="7" t="inlineStr">
        <is>
          <t>TRƯỢT KHUNG ❌</t>
        </is>
      </c>
      <c r="O3" s="3" t="inlineStr">
        <is>
          <t>01, 04, 06, 09, 10, 13, 15, 18, 22, 24, 27, 29, 31, 33, 36, 38, 40, 42, 45, 47, 51, 54, 56, 59, 60, 63, 65, 68, 72, 74, 77, 79, 81, 83, 86, 88, 90, 92, 95, 97</t>
        </is>
      </c>
    </row>
    <row r="4">
      <c r="A4" s="2" t="n">
        <v>288</v>
      </c>
      <c r="B4" s="2" t="inlineStr">
        <is>
          <t>Thứ Ba ngày 20-10-2026</t>
        </is>
      </c>
      <c r="C4" s="3" t="inlineStr">
        <is>
          <t>Thứ Hai</t>
        </is>
      </c>
      <c r="D4" s="3" t="inlineStr">
        <is>
          <t>86809</t>
        </is>
      </c>
      <c r="E4" s="3" t="inlineStr">
        <is>
          <t>09</t>
        </is>
      </c>
      <c r="F4" s="3" t="inlineStr">
        <is>
          <t>G7.2, G7.4</t>
        </is>
      </c>
      <c r="G4" s="3" t="inlineStr">
        <is>
          <t>Tổng 0, Tổng 1, Tổng 3, Tổng 5, Tổng 6, Tổng 8</t>
        </is>
      </c>
      <c r="H4" s="3" t="inlineStr">
        <is>
          <t>034589</t>
        </is>
      </c>
      <c r="I4" s="3" t="inlineStr">
        <is>
          <t>Tổng 5-Bóng 0</t>
        </is>
      </c>
      <c r="J4" s="3" t="n">
        <v>52</v>
      </c>
      <c r="K4" s="7" t="inlineStr">
        <is>
          <t>TRƯỢT ❌</t>
        </is>
      </c>
      <c r="L4" s="3" t="inlineStr">
        <is>
          <t>06, 08, 15, 32, 35, 37, 38, 42, 44, 51, 53, 56, 60, 65, 73, 83, 87, 88, 96, 99</t>
        </is>
      </c>
      <c r="M4" s="7" t="inlineStr">
        <is>
          <t>TRƯỢT ❌</t>
        </is>
      </c>
      <c r="N4" s="7" t="inlineStr">
        <is>
          <t>TRƯỢT KHUNG ❌</t>
        </is>
      </c>
      <c r="O4" s="3" t="inlineStr">
        <is>
          <t>00, 01, 03, 05, 06, 08, 10, 14, 15, 19, 23, 24, 28, 29, 30, 32, 33, 35, 37, 38, 41, 42, 44, 46, 47, 49, 50, 51, 53, 55, 56, 58, 60, 64, 65, 69, 73, 74, 78, 79, 80, 82, 83, 85, 87, 88, 91, 92, 94, 96, 97, 99</t>
        </is>
      </c>
    </row>
    <row r="5">
      <c r="A5" s="2" t="n">
        <v>287</v>
      </c>
      <c r="B5" s="2" t="inlineStr">
        <is>
          <t>Thứ Hai ngày 19-10-2026</t>
        </is>
      </c>
      <c r="C5" s="3" t="inlineStr">
        <is>
          <t>Chủ Nhật</t>
        </is>
      </c>
      <c r="D5" s="3" t="inlineStr">
        <is>
          <t>55390</t>
        </is>
      </c>
      <c r="E5" s="3" t="inlineStr">
        <is>
          <t>90</t>
        </is>
      </c>
      <c r="F5" s="3" t="inlineStr">
        <is>
          <t>G7.3, G7.1</t>
        </is>
      </c>
      <c r="G5" s="3" t="inlineStr">
        <is>
          <t>Tổng 3, Tổng 4, Tổng 8, Tổng 9</t>
        </is>
      </c>
      <c r="H5" s="3" t="inlineStr">
        <is>
          <t>01245679</t>
        </is>
      </c>
      <c r="I5" s="3" t="inlineStr">
        <is>
          <t>Tổng 4-Bóng 9</t>
        </is>
      </c>
      <c r="J5" s="3" t="n">
        <v>40</v>
      </c>
      <c r="K5" s="6" t="inlineStr">
        <is>
          <t>TRÚNG N1 🎯</t>
        </is>
      </c>
      <c r="L5" s="3" t="inlineStr">
        <is>
          <t>04, 08, 12, 13, 17, 18, 21, 22, 35, 44, 53, 54, 59, 63, 67, 68, 80, 81, 90, 99</t>
        </is>
      </c>
      <c r="M5" s="6" t="inlineStr">
        <is>
          <t>TRÚNG HỎA LỰC 🎯</t>
        </is>
      </c>
      <c r="N5" s="6" t="inlineStr">
        <is>
          <t>TRÚNG N1 🎯</t>
        </is>
      </c>
      <c r="O5" s="3" t="inlineStr">
        <is>
          <t>03, 04, 08, 09, 12, 13, 17, 18, 21, 22, 26, 27, 30, 31, 35, 36, 40, 44, 45, 49, 53, 54, 58, 59, 62, 63, 67, 68, 71, 72, 76, 77, 80, 81, 85, 86, 90, 94, 95, 99</t>
        </is>
      </c>
    </row>
    <row r="6">
      <c r="A6" s="2" t="n">
        <v>286</v>
      </c>
      <c r="B6" s="2" t="inlineStr">
        <is>
          <t>Chủ Nhật ngày 18-10-2026</t>
        </is>
      </c>
      <c r="C6" s="3" t="inlineStr">
        <is>
          <t>Thứ Bảy</t>
        </is>
      </c>
      <c r="D6" s="3" t="inlineStr">
        <is>
          <t>84642</t>
        </is>
      </c>
      <c r="E6" s="3" t="inlineStr">
        <is>
          <t>42</t>
        </is>
      </c>
      <c r="F6" s="3" t="inlineStr">
        <is>
          <t>G7.1, G7.3</t>
        </is>
      </c>
      <c r="G6" s="3" t="inlineStr">
        <is>
          <t>Tổng 1, Tổng 3, Tổng 4, Tổng 6, Tổng 8, Tổng 9</t>
        </is>
      </c>
      <c r="H6" s="3" t="inlineStr">
        <is>
          <t>01245679</t>
        </is>
      </c>
      <c r="I6" s="3" t="inlineStr">
        <is>
          <t>Tổng 6-Bóng 1</t>
        </is>
      </c>
      <c r="J6" s="3" t="n">
        <v>56</v>
      </c>
      <c r="K6" s="6" t="inlineStr">
        <is>
          <t>TRÚNG N1 🎯</t>
        </is>
      </c>
      <c r="L6" s="3" t="inlineStr">
        <is>
          <t>06, 08, 12, 15, 18, 21, 22, 35, 42, 44, 51, 53, 54, 56, 59, 60, 63, 65, 67, 99</t>
        </is>
      </c>
      <c r="M6" s="6" t="inlineStr">
        <is>
          <t>TRÚNG HỎA LỰC 🎯</t>
        </is>
      </c>
      <c r="N6" s="6" t="inlineStr">
        <is>
          <t>TRÚNG N1 🎯</t>
        </is>
      </c>
      <c r="O6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7">
      <c r="A7" s="2" t="n">
        <v>285</v>
      </c>
      <c r="B7" s="2" t="inlineStr">
        <is>
          <t>Thứ Bảy ngày 17-10-2026</t>
        </is>
      </c>
      <c r="C7" s="3" t="inlineStr">
        <is>
          <t>Thứ Sáu</t>
        </is>
      </c>
      <c r="D7" s="3" t="inlineStr">
        <is>
          <t>64538</t>
        </is>
      </c>
      <c r="E7" s="3" t="inlineStr">
        <is>
          <t>38</t>
        </is>
      </c>
      <c r="F7" s="3" t="inlineStr">
        <is>
          <t>G7.1, G7.4</t>
        </is>
      </c>
      <c r="G7" s="3" t="inlineStr">
        <is>
          <t>Tổng 1, Tổng 4, Tổng 6, Tổng 9</t>
        </is>
      </c>
      <c r="H7" s="3" t="inlineStr">
        <is>
          <t>02345789</t>
        </is>
      </c>
      <c r="I7" s="3" t="inlineStr">
        <is>
          <t>Tổng 9-Bóng 4</t>
        </is>
      </c>
      <c r="J7" s="3" t="n">
        <v>40</v>
      </c>
      <c r="K7" s="6" t="inlineStr">
        <is>
          <t>TRÚNG N1 🎯</t>
        </is>
      </c>
      <c r="L7" s="3" t="inlineStr">
        <is>
          <t>04, 06, 13, 15, 18, 22, 38, 42, 51, 54, 56, 59, 60, 63, 65, 68, 81, 83, 88, 90</t>
        </is>
      </c>
      <c r="M7" s="6" t="inlineStr">
        <is>
          <t>TRÚNG HỎA LỰC 🎯</t>
        </is>
      </c>
      <c r="N7" s="6" t="inlineStr">
        <is>
          <t>TRÚNG N1 🎯</t>
        </is>
      </c>
      <c r="O7" s="3" t="inlineStr">
        <is>
          <t>01, 04, 06, 09, 10, 13, 15, 18, 22, 24, 27, 29, 31, 33, 36, 38, 40, 42, 45, 47, 51, 54, 56, 59, 60, 63, 65, 68, 72, 74, 77, 79, 81, 83, 86, 88, 90, 92, 95, 97</t>
        </is>
      </c>
    </row>
    <row r="8">
      <c r="A8" s="2" t="n">
        <v>284</v>
      </c>
      <c r="B8" s="2" t="inlineStr">
        <is>
          <t>Thứ Sáu ngày 16-10-2026</t>
        </is>
      </c>
      <c r="C8" s="3" t="inlineStr">
        <is>
          <t>Thứ Năm</t>
        </is>
      </c>
      <c r="D8" s="3" t="inlineStr">
        <is>
          <t>63756</t>
        </is>
      </c>
      <c r="E8" s="3" t="inlineStr">
        <is>
          <t>56</t>
        </is>
      </c>
      <c r="F8" s="3" t="inlineStr">
        <is>
          <t>G7.1, G7.4</t>
        </is>
      </c>
      <c r="G8" s="3" t="inlineStr">
        <is>
          <t>Tổng 0, Tổng 5</t>
        </is>
      </c>
      <c r="H8" s="3" t="inlineStr">
        <is>
          <t>0123456789</t>
        </is>
      </c>
      <c r="I8" s="3" t="inlineStr">
        <is>
          <t>Tổng 0-Bóng 5</t>
        </is>
      </c>
      <c r="J8" s="3" t="n">
        <v>20</v>
      </c>
      <c r="K8" s="7" t="inlineStr">
        <is>
          <t>TRƯỢT ❌</t>
        </is>
      </c>
      <c r="L8" s="3" t="inlineStr">
        <is>
          <t>00, 05, 14, 19, 23, 28, 32, 37, 41, 46, 50, 55, 64, 69, 73, 78, 82, 87, 91, 96</t>
        </is>
      </c>
      <c r="M8" s="7" t="inlineStr">
        <is>
          <t>TRƯỢT ❌</t>
        </is>
      </c>
      <c r="N8" s="7" t="inlineStr">
        <is>
          <t>TRƯỢT KHUNG ❌</t>
        </is>
      </c>
      <c r="O8" s="3" t="inlineStr">
        <is>
          <t>00, 05, 14, 19, 23, 28, 32, 37, 41, 46, 50, 55, 64, 69, 73, 78, 82, 87, 91, 96</t>
        </is>
      </c>
    </row>
    <row r="9">
      <c r="A9" s="2" t="n">
        <v>283</v>
      </c>
      <c r="B9" s="2" t="inlineStr">
        <is>
          <t>Thứ Năm ngày 15-10-2026</t>
        </is>
      </c>
      <c r="C9" s="3" t="inlineStr">
        <is>
          <t>Thứ Tư</t>
        </is>
      </c>
      <c r="D9" s="3" t="inlineStr">
        <is>
          <t>62066</t>
        </is>
      </c>
      <c r="E9" s="3" t="inlineStr">
        <is>
          <t>66</t>
        </is>
      </c>
      <c r="F9" s="3" t="inlineStr">
        <is>
          <t>G7.2, G7.4</t>
        </is>
      </c>
      <c r="G9" s="3" t="inlineStr">
        <is>
          <t>Tổng 0, Tổng 4, Tổng 5, Tổng 9</t>
        </is>
      </c>
      <c r="H9" s="3" t="inlineStr">
        <is>
          <t>01345689</t>
        </is>
      </c>
      <c r="I9" s="3" t="inlineStr">
        <is>
          <t>Tổng 5-Bóng 0</t>
        </is>
      </c>
      <c r="J9" s="3" t="n">
        <v>36</v>
      </c>
      <c r="K9" s="7" t="inlineStr">
        <is>
          <t>TRƯỢT ❌</t>
        </is>
      </c>
      <c r="L9" s="3" t="inlineStr">
        <is>
          <t>00, 04, 13, 18, 23, 28, 32, 37, 45, 54, 59, 63, 68, 73, 78, 81, 87, 90, 91, 96</t>
        </is>
      </c>
      <c r="M9" s="7" t="inlineStr">
        <is>
          <t>TRƯỢT ❌</t>
        </is>
      </c>
      <c r="N9" s="7" t="inlineStr">
        <is>
          <t>TRƯỢT KHUNG ❌</t>
        </is>
      </c>
      <c r="O9" s="3" t="inlineStr">
        <is>
          <t>00, 04, 05, 09, 13, 14, 18, 19, 23, 28, 31, 32, 36, 37, 40, 41, 45, 46, 50, 54, 55, 59, 63, 64, 68, 69, 73, 78, 81, 82, 86, 87, 90, 91, 95, 96</t>
        </is>
      </c>
    </row>
    <row r="10">
      <c r="A10" s="2" t="n">
        <v>282</v>
      </c>
      <c r="B10" s="2" t="inlineStr">
        <is>
          <t>Thứ Tư ngày 14-10-2026</t>
        </is>
      </c>
      <c r="C10" s="3" t="inlineStr">
        <is>
          <t>Thứ Ba</t>
        </is>
      </c>
      <c r="D10" s="3" t="inlineStr">
        <is>
          <t>28259</t>
        </is>
      </c>
      <c r="E10" s="3" t="inlineStr">
        <is>
          <t>59</t>
        </is>
      </c>
      <c r="F10" s="3" t="inlineStr">
        <is>
          <t>G7.3, G7.1</t>
        </is>
      </c>
      <c r="G10" s="3" t="inlineStr">
        <is>
          <t>Tổng 0, Tổng 2, Tổng 3, Tổng 5, Tổng 7, Tổng 8</t>
        </is>
      </c>
      <c r="H10" s="3" t="inlineStr">
        <is>
          <t>0123456789</t>
        </is>
      </c>
      <c r="I10" s="3" t="inlineStr">
        <is>
          <t>Tổng 8-Bóng 3</t>
        </is>
      </c>
      <c r="J10" s="3" t="n">
        <v>60</v>
      </c>
      <c r="K10" s="7" t="inlineStr">
        <is>
          <t>TRƯỢT ❌</t>
        </is>
      </c>
      <c r="L10" s="3" t="inlineStr">
        <is>
          <t>08, 12, 17, 21, 23, 32, 35, 37, 39, 44, 52, 53, 61, 66, 67, 73, 78, 87, 96, 99</t>
        </is>
      </c>
      <c r="M10" s="7" t="inlineStr">
        <is>
          <t>TRƯỢT ❌</t>
        </is>
      </c>
      <c r="N10" s="6" t="inlineStr">
        <is>
          <t>TRÚNG N2 🎯</t>
        </is>
      </c>
      <c r="O1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">
      <c r="A11" s="2" t="n">
        <v>281</v>
      </c>
      <c r="B11" s="2" t="inlineStr">
        <is>
          <t>Thứ Ba ngày 13-10-2026</t>
        </is>
      </c>
      <c r="C11" s="3" t="inlineStr">
        <is>
          <t>Thứ Hai</t>
        </is>
      </c>
      <c r="D11" s="3" t="inlineStr">
        <is>
          <t>53618</t>
        </is>
      </c>
      <c r="E11" s="3" t="inlineStr">
        <is>
          <t>18</t>
        </is>
      </c>
      <c r="F11" s="3" t="inlineStr">
        <is>
          <t>G7.4, G7.2</t>
        </is>
      </c>
      <c r="G11" s="3" t="inlineStr">
        <is>
          <t>Tổng 2, Tổng 4, Tổng 7, Tổng 9</t>
        </is>
      </c>
      <c r="H11" s="3" t="inlineStr">
        <is>
          <t>0123456789</t>
        </is>
      </c>
      <c r="I11" s="3" t="inlineStr">
        <is>
          <t>Tổng 9-Bóng 4</t>
        </is>
      </c>
      <c r="J11" s="3" t="n">
        <v>40</v>
      </c>
      <c r="K11" s="6" t="inlineStr">
        <is>
          <t>TRÚNG N1 🎯</t>
        </is>
      </c>
      <c r="L11" s="3" t="inlineStr">
        <is>
          <t>04, 11, 13, 16, 18, 22, 34, 39, 43, 45, 52, 54, 61, 63, 66, 68, 70, 72, 81, 90</t>
        </is>
      </c>
      <c r="M11" s="6" t="inlineStr">
        <is>
          <t>TRÚNG HỎA LỰC 🎯</t>
        </is>
      </c>
      <c r="N11" s="6" t="inlineStr">
        <is>
          <t>TRÚNG N1 🎯</t>
        </is>
      </c>
      <c r="O11" s="3" t="inlineStr">
        <is>
          <t>02, 04, 07, 09, 11, 13, 16, 18, 20, 22, 25, 27, 31, 34, 36, 39, 40, 43, 45, 48, 52, 54, 57, 59, 61, 63, 66, 68, 70, 72, 75, 77, 81, 84, 86, 89, 90, 93, 95, 98</t>
        </is>
      </c>
    </row>
    <row r="12">
      <c r="A12" s="2" t="n">
        <v>280</v>
      </c>
      <c r="B12" s="2" t="inlineStr">
        <is>
          <t>Thứ Hai ngày 12-10-2026</t>
        </is>
      </c>
      <c r="C12" s="3" t="inlineStr">
        <is>
          <t>Chủ Nhật</t>
        </is>
      </c>
      <c r="D12" s="3" t="inlineStr">
        <is>
          <t>38287</t>
        </is>
      </c>
      <c r="E12" s="3" t="inlineStr">
        <is>
          <t>87</t>
        </is>
      </c>
      <c r="F12" s="3" t="inlineStr">
        <is>
          <t>G7.3, G7.1</t>
        </is>
      </c>
      <c r="G12" s="3" t="inlineStr">
        <is>
          <t>Tổng 1, Tổng 3, Tổng 6, Tổng 8</t>
        </is>
      </c>
      <c r="H12" s="3" t="inlineStr">
        <is>
          <t>01345689</t>
        </is>
      </c>
      <c r="I12" s="3" t="inlineStr">
        <is>
          <t>Tổng 6-Bóng 1</t>
        </is>
      </c>
      <c r="J12" s="3" t="n">
        <v>40</v>
      </c>
      <c r="K12" s="7" t="inlineStr">
        <is>
          <t>TRƯỢT ❌</t>
        </is>
      </c>
      <c r="L12" s="3" t="inlineStr">
        <is>
          <t>06, 08, 12, 15, 17, 21, 29, 35, 38, 42, 44, 51, 53, 60, 65, 67, 80, 83, 88, 99</t>
        </is>
      </c>
      <c r="M12" s="7" t="inlineStr">
        <is>
          <t>TRƯỢT ❌</t>
        </is>
      </c>
      <c r="N12" s="7" t="inlineStr">
        <is>
          <t>TRƯỢT KHUNG ❌</t>
        </is>
      </c>
      <c r="O12" s="3" t="inlineStr">
        <is>
          <t>01, 03, 06, 08, 10, 12, 15, 17, 21, 24, 26, 29, 30, 33, 35, 38, 42, 44, 47, 49, 51, 53, 56, 58, 60, 62, 65, 67, 71, 74, 76, 79, 80, 83, 85, 88, 92, 94, 97, 99</t>
        </is>
      </c>
    </row>
    <row r="13">
      <c r="A13" s="2" t="n">
        <v>279</v>
      </c>
      <c r="B13" s="2" t="inlineStr">
        <is>
          <t>Chủ Nhật ngày 11-10-2026</t>
        </is>
      </c>
      <c r="C13" s="3" t="inlineStr">
        <is>
          <t>Thứ Bảy</t>
        </is>
      </c>
      <c r="D13" s="3" t="inlineStr">
        <is>
          <t>07363</t>
        </is>
      </c>
      <c r="E13" s="3" t="inlineStr">
        <is>
          <t>63</t>
        </is>
      </c>
      <c r="F13" s="3" t="inlineStr">
        <is>
          <t>G7.1, G7.3</t>
        </is>
      </c>
      <c r="G13" s="3" t="inlineStr">
        <is>
          <t>Tổng 1, Tổng 3, Tổng 4, Tổng 6, Tổng 8, Tổng 9</t>
        </is>
      </c>
      <c r="H13" s="3" t="inlineStr">
        <is>
          <t>0123456789</t>
        </is>
      </c>
      <c r="I13" s="3" t="inlineStr">
        <is>
          <t>Tổng 6-Bóng 1</t>
        </is>
      </c>
      <c r="J13" s="3" t="n">
        <v>60</v>
      </c>
      <c r="K13" s="6" t="inlineStr">
        <is>
          <t>TRÚNG N1 🎯</t>
        </is>
      </c>
      <c r="L13" s="3" t="inlineStr">
        <is>
          <t>06, 08, 12, 15, 22, 29, 35, 38, 42, 44, 51, 53, 54, 60, 65, 67, 83, 88, 90, 99</t>
        </is>
      </c>
      <c r="M13" s="7" t="inlineStr">
        <is>
          <t>TRƯỢT ❌</t>
        </is>
      </c>
      <c r="N13" s="6" t="inlineStr">
        <is>
          <t>TRÚNG N1 🎯</t>
        </is>
      </c>
      <c r="O1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4">
      <c r="A14" s="2" t="n">
        <v>278</v>
      </c>
      <c r="B14" s="2" t="inlineStr">
        <is>
          <t>Thứ Bảy ngày 10-10-2026</t>
        </is>
      </c>
      <c r="C14" s="3" t="inlineStr">
        <is>
          <t>Thứ Sáu</t>
        </is>
      </c>
      <c r="D14" s="3" t="inlineStr">
        <is>
          <t>82153</t>
        </is>
      </c>
      <c r="E14" s="3" t="inlineStr">
        <is>
          <t>53</t>
        </is>
      </c>
      <c r="F14" s="3" t="inlineStr">
        <is>
          <t>G7.1, G7.4</t>
        </is>
      </c>
      <c r="G14" s="3" t="inlineStr">
        <is>
          <t>Tổng 2, Tổng 3, Tổng 4, Tổng 7, Tổng 8, Tổng 9</t>
        </is>
      </c>
      <c r="H14" s="3" t="inlineStr">
        <is>
          <t>01235678</t>
        </is>
      </c>
      <c r="I14" s="3" t="inlineStr">
        <is>
          <t>Tổng 3-Bóng 8</t>
        </is>
      </c>
      <c r="J14" s="3" t="n">
        <v>56</v>
      </c>
      <c r="K14" s="6" t="inlineStr">
        <is>
          <t>TRÚNG N1 🎯</t>
        </is>
      </c>
      <c r="L14" s="3" t="inlineStr">
        <is>
          <t>04, 08, 12, 13, 17, 18, 21, 22, 26, 35, 39, 43, 52, 54, 61, 66, 67, 68, 81, 90</t>
        </is>
      </c>
      <c r="M14" s="7" t="inlineStr">
        <is>
          <t>TRƯỢT ❌</t>
        </is>
      </c>
      <c r="N14" s="6" t="inlineStr">
        <is>
          <t>TRÚNG N1 🎯</t>
        </is>
      </c>
      <c r="O14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5">
      <c r="A15" s="2" t="n">
        <v>277</v>
      </c>
      <c r="B15" s="2" t="inlineStr">
        <is>
          <t>Thứ Sáu ngày 09-10-2026</t>
        </is>
      </c>
      <c r="C15" s="3" t="inlineStr">
        <is>
          <t>Thứ Năm</t>
        </is>
      </c>
      <c r="D15" s="3" t="inlineStr">
        <is>
          <t>20635</t>
        </is>
      </c>
      <c r="E15" s="3" t="inlineStr">
        <is>
          <t>35</t>
        </is>
      </c>
      <c r="F15" s="3" t="inlineStr">
        <is>
          <t>G7.1, G7.4</t>
        </is>
      </c>
      <c r="G15" s="3" t="inlineStr">
        <is>
          <t>Tổng 1, Tổng 3, Tổng 6, Tổng 8</t>
        </is>
      </c>
      <c r="H15" s="3" t="inlineStr">
        <is>
          <t>01235678</t>
        </is>
      </c>
      <c r="I15" s="3" t="inlineStr">
        <is>
          <t>Tổng 8-Bóng 3</t>
        </is>
      </c>
      <c r="J15" s="3" t="n">
        <v>36</v>
      </c>
      <c r="K15" s="6" t="inlineStr">
        <is>
          <t>TRÚNG N1 🎯</t>
        </is>
      </c>
      <c r="L15" s="3" t="inlineStr">
        <is>
          <t>06, 08, 12, 15, 17, 21, 26, 29, 33, 35, 38, 42, 47, 51, 60, 65, 67, 80, 83, 88</t>
        </is>
      </c>
      <c r="M15" s="6" t="inlineStr">
        <is>
          <t>TRÚNG HỎA LỰC 🎯</t>
        </is>
      </c>
      <c r="N15" s="6" t="inlineStr">
        <is>
          <t>TRÚNG N1 🎯</t>
        </is>
      </c>
      <c r="O15" s="3" t="inlineStr">
        <is>
          <t>01, 03, 06, 08, 10, 12, 15, 17, 21, 24, 26, 29, 30, 33, 35, 38, 42, 47, 51, 53, 56, 58, 60, 62, 65, 67, 71, 74, 76, 79, 80, 83, 85, 88, 92, 97</t>
        </is>
      </c>
    </row>
    <row r="16">
      <c r="A16" s="2" t="n">
        <v>276</v>
      </c>
      <c r="B16" s="2" t="inlineStr">
        <is>
          <t>Thứ Năm ngày 08-10-2026</t>
        </is>
      </c>
      <c r="C16" s="3" t="inlineStr">
        <is>
          <t>Thứ Tư</t>
        </is>
      </c>
      <c r="D16" s="3" t="inlineStr">
        <is>
          <t>43339</t>
        </is>
      </c>
      <c r="E16" s="3" t="inlineStr">
        <is>
          <t>39</t>
        </is>
      </c>
      <c r="F16" s="3" t="inlineStr">
        <is>
          <t>G7.2, G7.4</t>
        </is>
      </c>
      <c r="G16" s="3" t="inlineStr">
        <is>
          <t>Tổng 1, Tổng 2, Tổng 3, Tổng 6, Tổng 7, Tổng 8</t>
        </is>
      </c>
      <c r="H16" s="3" t="inlineStr">
        <is>
          <t>01345689</t>
        </is>
      </c>
      <c r="I16" s="3" t="inlineStr">
        <is>
          <t>Tổng 2-Bóng 7</t>
        </is>
      </c>
      <c r="J16" s="3" t="n">
        <v>60</v>
      </c>
      <c r="K16" s="6" t="inlineStr">
        <is>
          <t>TRÚNG N1 🎯</t>
        </is>
      </c>
      <c r="L16" s="3" t="inlineStr">
        <is>
          <t>06, 08, 12, 15, 21, 26, 29, 38, 39, 42, 44, 51, 52, 60, 61, 65, 67, 83, 88, 99</t>
        </is>
      </c>
      <c r="M16" s="6" t="inlineStr">
        <is>
          <t>TRÚNG HỎA LỰC 🎯</t>
        </is>
      </c>
      <c r="N16" s="6" t="inlineStr">
        <is>
          <t>TRÚNG N1 🎯</t>
        </is>
      </c>
      <c r="O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">
      <c r="A17" s="2" t="n">
        <v>275</v>
      </c>
      <c r="B17" s="2" t="inlineStr">
        <is>
          <t>Thứ Tư ngày 07-10-2026</t>
        </is>
      </c>
      <c r="C17" s="3" t="inlineStr">
        <is>
          <t>Thứ Ba</t>
        </is>
      </c>
      <c r="D17" s="3" t="inlineStr">
        <is>
          <t>56488</t>
        </is>
      </c>
      <c r="E17" s="3" t="inlineStr">
        <is>
          <t>88</t>
        </is>
      </c>
      <c r="F17" s="3" t="inlineStr">
        <is>
          <t>G7.3, G7.1</t>
        </is>
      </c>
      <c r="G17" s="3" t="inlineStr">
        <is>
          <t>Tổng 1, Tổng 3, Tổng 4, Tổng 6, Tổng 8, Tổng 9</t>
        </is>
      </c>
      <c r="H17" s="3" t="inlineStr">
        <is>
          <t>024579</t>
        </is>
      </c>
      <c r="I17" s="3" t="inlineStr">
        <is>
          <t>Tổng 4-Bóng 9</t>
        </is>
      </c>
      <c r="J17" s="3" t="n">
        <v>48</v>
      </c>
      <c r="K17" s="7" t="inlineStr">
        <is>
          <t>TRƯỢT ❌</t>
        </is>
      </c>
      <c r="L17" s="3" t="inlineStr">
        <is>
          <t>04, 06, 08, 12, 15, 17, 21, 22, 26, 29, 42, 44, 51, 54, 60, 65, 67, 80, 90, 99</t>
        </is>
      </c>
      <c r="M17" s="7" t="inlineStr">
        <is>
          <t>TRƯỢT ❌</t>
        </is>
      </c>
      <c r="N17" s="6" t="inlineStr">
        <is>
          <t>TRÚNG N3 🎯</t>
        </is>
      </c>
      <c r="O17" s="3" t="inlineStr">
        <is>
          <t>01, 03, 04, 06, 08, 09, 10, 12, 15, 17, 21, 22, 24, 26, 27, 29, 30, 35, 40, 42, 44, 45, 47, 49, 51, 53, 54, 56, 58, 59, 60, 62, 65, 67, 71, 72, 74, 76, 77, 79, 80, 85, 90, 92, 94, 95, 97, 99</t>
        </is>
      </c>
    </row>
    <row r="18">
      <c r="A18" s="2" t="n">
        <v>274</v>
      </c>
      <c r="B18" s="2" t="inlineStr">
        <is>
          <t>Thứ Ba ngày 06-10-2026</t>
        </is>
      </c>
      <c r="C18" s="3" t="inlineStr">
        <is>
          <t>Thứ Hai</t>
        </is>
      </c>
      <c r="D18" s="3" t="inlineStr">
        <is>
          <t>12554</t>
        </is>
      </c>
      <c r="E18" s="3" t="inlineStr">
        <is>
          <t>54</t>
        </is>
      </c>
      <c r="F18" s="3" t="inlineStr">
        <is>
          <t>G7.4, G7.2</t>
        </is>
      </c>
      <c r="G18" s="3" t="inlineStr">
        <is>
          <t>Tổng 1, Tổng 2, Tổng 4, Tổng 6, Tổng 7, Tổng 9</t>
        </is>
      </c>
      <c r="H18" s="3" t="inlineStr">
        <is>
          <t>01245679</t>
        </is>
      </c>
      <c r="I18" s="3" t="inlineStr">
        <is>
          <t>Tổng 9-Bóng 4</t>
        </is>
      </c>
      <c r="J18" s="3" t="n">
        <v>56</v>
      </c>
      <c r="K18" s="6" t="inlineStr">
        <is>
          <t>TRÚNG N1 🎯</t>
        </is>
      </c>
      <c r="L18" s="3" t="inlineStr">
        <is>
          <t>04, 06, 13, 15, 18, 22, 29, 39, 42, 43, 51, 52, 54, 60, 61, 65, 66, 68, 81, 90</t>
        </is>
      </c>
      <c r="M18" s="6" t="inlineStr">
        <is>
          <t>TRÚNG HỎA LỰC 🎯</t>
        </is>
      </c>
      <c r="N18" s="6" t="inlineStr">
        <is>
          <t>TRÚNG N1 🎯</t>
        </is>
      </c>
      <c r="O18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9">
      <c r="A19" s="2" t="n">
        <v>273</v>
      </c>
      <c r="B19" s="2" t="inlineStr">
        <is>
          <t>Thứ Hai ngày 05-10-2026</t>
        </is>
      </c>
      <c r="C19" s="3" t="inlineStr">
        <is>
          <t>Chủ Nhật</t>
        </is>
      </c>
      <c r="D19" s="3" t="inlineStr">
        <is>
          <t>19654</t>
        </is>
      </c>
      <c r="E19" s="3" t="inlineStr">
        <is>
          <t>54</t>
        </is>
      </c>
      <c r="F19" s="3" t="inlineStr">
        <is>
          <t>G7.3, G7.1</t>
        </is>
      </c>
      <c r="G19" s="3" t="inlineStr">
        <is>
          <t>Tổng 3, Tổng 4, Tổng 8, Tổng 9</t>
        </is>
      </c>
      <c r="H19" s="3" t="inlineStr">
        <is>
          <t>0123456789</t>
        </is>
      </c>
      <c r="I19" s="3" t="inlineStr">
        <is>
          <t>Tổng 8-Bóng 3</t>
        </is>
      </c>
      <c r="J19" s="3" t="n">
        <v>40</v>
      </c>
      <c r="K19" s="6" t="inlineStr">
        <is>
          <t>TRÚNG N1 🎯</t>
        </is>
      </c>
      <c r="L19" s="3" t="inlineStr">
        <is>
          <t>04, 08, 12, 13, 17, 18, 21, 22, 26, 35, 44, 45, 54, 67, 68, 72, 80, 81, 90, 99</t>
        </is>
      </c>
      <c r="M19" s="6" t="inlineStr">
        <is>
          <t>TRÚNG HỎA LỰC 🎯</t>
        </is>
      </c>
      <c r="N19" s="6" t="inlineStr">
        <is>
          <t>TRÚNG N1 🎯</t>
        </is>
      </c>
      <c r="O19" s="3" t="inlineStr">
        <is>
          <t>03, 04, 08, 09, 12, 13, 17, 18, 21, 22, 26, 27, 30, 31, 35, 36, 40, 44, 45, 49, 53, 54, 58, 59, 62, 63, 67, 68, 71, 72, 76, 77, 80, 81, 85, 86, 90, 94, 95, 99</t>
        </is>
      </c>
    </row>
    <row r="20">
      <c r="A20" s="2" t="n">
        <v>272</v>
      </c>
      <c r="B20" s="2" t="inlineStr">
        <is>
          <t>Chủ Nhật ngày 04-10-2026</t>
        </is>
      </c>
      <c r="C20" s="3" t="inlineStr">
        <is>
          <t>Thứ Bảy</t>
        </is>
      </c>
      <c r="D20" s="3" t="inlineStr">
        <is>
          <t>82951</t>
        </is>
      </c>
      <c r="E20" s="3" t="inlineStr">
        <is>
          <t>51</t>
        </is>
      </c>
      <c r="F20" s="3" t="inlineStr">
        <is>
          <t>G7.1, G7.3</t>
        </is>
      </c>
      <c r="G20" s="3" t="inlineStr">
        <is>
          <t>Tổng 0, Tổng 1, Tổng 5, Tổng 6</t>
        </is>
      </c>
      <c r="H20" s="3" t="inlineStr">
        <is>
          <t>234789</t>
        </is>
      </c>
      <c r="I20" s="3" t="inlineStr">
        <is>
          <t>Tổng 0-Bóng 5</t>
        </is>
      </c>
      <c r="J20" s="3" t="n">
        <v>28</v>
      </c>
      <c r="K20" s="7" t="inlineStr">
        <is>
          <t>TRƯỢT ❌</t>
        </is>
      </c>
      <c r="L20" s="3" t="inlineStr">
        <is>
          <t>19, 23, 28, 29, 32, 33, 37, 38, 42, 47, 64, 73, 78, 79, 83, 87, 88, 91, 96, 97</t>
        </is>
      </c>
      <c r="M20" s="7" t="inlineStr">
        <is>
          <t>TRƯỢT ❌</t>
        </is>
      </c>
      <c r="N20" s="7" t="inlineStr">
        <is>
          <t>TRƯỢT KHUNG ❌</t>
        </is>
      </c>
      <c r="O20" s="3" t="inlineStr">
        <is>
          <t>14, 19, 23, 24, 28, 29, 32, 33, 37, 38, 41, 42, 46, 47, 64, 69, 73, 74, 78, 79, 82, 83, 87, 88, 91, 92, 96, 97</t>
        </is>
      </c>
    </row>
    <row r="21">
      <c r="A21" s="2" t="n">
        <v>271</v>
      </c>
      <c r="B21" s="2" t="inlineStr">
        <is>
          <t>Thứ Bảy ngày 03-10-2026</t>
        </is>
      </c>
      <c r="C21" s="3" t="inlineStr">
        <is>
          <t>Thứ Sáu</t>
        </is>
      </c>
      <c r="D21" s="3" t="inlineStr">
        <is>
          <t>77961</t>
        </is>
      </c>
      <c r="E21" s="3" t="inlineStr">
        <is>
          <t>61</t>
        </is>
      </c>
      <c r="F21" s="3" t="inlineStr">
        <is>
          <t>G7.1, G7.4</t>
        </is>
      </c>
      <c r="G21" s="3" t="inlineStr">
        <is>
          <t>Tổng 1, Tổng 2, Tổng 4, Tổng 6, Tổng 7, Tổng 9</t>
        </is>
      </c>
      <c r="H21" s="3" t="inlineStr">
        <is>
          <t>0123456789</t>
        </is>
      </c>
      <c r="I21" s="3" t="inlineStr">
        <is>
          <t>Tổng 1-Bóng 6</t>
        </is>
      </c>
      <c r="J21" s="3" t="n">
        <v>60</v>
      </c>
      <c r="K21" s="6" t="inlineStr">
        <is>
          <t>TRÚNG N1 🎯</t>
        </is>
      </c>
      <c r="L21" s="3" t="inlineStr">
        <is>
          <t>04, 06, 11, 13, 15, 18, 22, 29, 38, 39, 42, 51, 52, 60, 65, 66, 79, 81, 83, 90</t>
        </is>
      </c>
      <c r="M21" s="7" t="inlineStr">
        <is>
          <t>TRƯỢT ❌</t>
        </is>
      </c>
      <c r="N21" s="6" t="inlineStr">
        <is>
          <t>TRÚNG N1 🎯</t>
        </is>
      </c>
      <c r="O2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2">
      <c r="A22" s="2" t="n">
        <v>270</v>
      </c>
      <c r="B22" s="2" t="inlineStr">
        <is>
          <t>Thứ Sáu ngày 02-10-2026</t>
        </is>
      </c>
      <c r="C22" s="3" t="inlineStr">
        <is>
          <t>Thứ Năm</t>
        </is>
      </c>
      <c r="D22" s="3" t="inlineStr">
        <is>
          <t>24483</t>
        </is>
      </c>
      <c r="E22" s="3" t="inlineStr">
        <is>
          <t>83</t>
        </is>
      </c>
      <c r="F22" s="3" t="inlineStr">
        <is>
          <t>G7.1, G7.4</t>
        </is>
      </c>
      <c r="G22" s="3" t="inlineStr">
        <is>
          <t>Tổng 0, Tổng 4, Tổng 5, Tổng 9</t>
        </is>
      </c>
      <c r="H22" s="3" t="inlineStr">
        <is>
          <t>01245679</t>
        </is>
      </c>
      <c r="I22" s="3" t="inlineStr">
        <is>
          <t>Tổng 9-Bóng 4</t>
        </is>
      </c>
      <c r="J22" s="3" t="n">
        <v>40</v>
      </c>
      <c r="K22" s="7" t="inlineStr">
        <is>
          <t>TRƯỢT ❌</t>
        </is>
      </c>
      <c r="L22" s="3" t="inlineStr">
        <is>
          <t>04, 13, 18, 22, 23, 28, 32, 37, 45, 54, 63, 68, 72, 73, 78, 81, 87, 90, 91, 96</t>
        </is>
      </c>
      <c r="M22" s="7" t="inlineStr">
        <is>
          <t>TRƯỢT ❌</t>
        </is>
      </c>
      <c r="N22" s="7" t="inlineStr">
        <is>
          <t>TRƯỢT KHUNG ❌</t>
        </is>
      </c>
      <c r="O22" s="3" t="inlineStr">
        <is>
          <t>00, 04, 05, 09, 13, 14, 18, 19, 22, 23, 27, 28, 31, 32, 36, 37, 40, 41, 45, 46, 50, 54, 55, 59, 63, 64, 68, 69, 72, 73, 77, 78, 81, 82, 86, 87, 90, 91, 95, 96</t>
        </is>
      </c>
    </row>
    <row r="23">
      <c r="A23" s="2" t="n">
        <v>269</v>
      </c>
      <c r="B23" s="2" t="inlineStr">
        <is>
          <t>Thứ Năm ngày 01-10-2026</t>
        </is>
      </c>
      <c r="C23" s="3" t="inlineStr">
        <is>
          <t>Thứ Tư</t>
        </is>
      </c>
      <c r="D23" s="3" t="inlineStr">
        <is>
          <t>40208</t>
        </is>
      </c>
      <c r="E23" s="3" t="inlineStr">
        <is>
          <t>08</t>
        </is>
      </c>
      <c r="F23" s="3" t="inlineStr">
        <is>
          <t>G7.2, G7.4</t>
        </is>
      </c>
      <c r="G23" s="3" t="inlineStr">
        <is>
          <t>Tổng 1, Tổng 4, Tổng 6, Tổng 9</t>
        </is>
      </c>
      <c r="H23" s="3" t="inlineStr">
        <is>
          <t>0123456789</t>
        </is>
      </c>
      <c r="I23" s="3" t="inlineStr">
        <is>
          <t>Tổng 1-Bóng 6</t>
        </is>
      </c>
      <c r="J23" s="3" t="n">
        <v>40</v>
      </c>
      <c r="K23" s="7" t="inlineStr">
        <is>
          <t>TRƯỢT ❌</t>
        </is>
      </c>
      <c r="L23" s="3" t="inlineStr">
        <is>
          <t>04, 06, 09, 13, 15, 18, 22, 29, 38, 42, 45, 47, 51, 60, 65, 68, 79, 81, 83, 90</t>
        </is>
      </c>
      <c r="M23" s="7" t="inlineStr">
        <is>
          <t>TRƯỢT ❌</t>
        </is>
      </c>
      <c r="N23" s="6" t="inlineStr">
        <is>
          <t>TRÚNG N2 🎯</t>
        </is>
      </c>
      <c r="O23" s="3" t="inlineStr">
        <is>
          <t>01, 04, 06, 09, 10, 13, 15, 18, 22, 24, 27, 29, 31, 33, 36, 38, 40, 42, 45, 47, 51, 54, 56, 59, 60, 63, 65, 68, 72, 74, 77, 79, 81, 83, 86, 88, 90, 92, 95, 97</t>
        </is>
      </c>
    </row>
    <row r="24">
      <c r="A24" s="2" t="n">
        <v>268</v>
      </c>
      <c r="B24" s="2" t="inlineStr">
        <is>
          <t>Thứ Tư ngày 30-09-2026</t>
        </is>
      </c>
      <c r="C24" s="3" t="inlineStr">
        <is>
          <t>Thứ Ba</t>
        </is>
      </c>
      <c r="D24" s="3" t="inlineStr">
        <is>
          <t>95242</t>
        </is>
      </c>
      <c r="E24" s="3" t="inlineStr">
        <is>
          <t>42</t>
        </is>
      </c>
      <c r="F24" s="3" t="inlineStr">
        <is>
          <t>G7.3, G7.1</t>
        </is>
      </c>
      <c r="G24" s="3" t="inlineStr">
        <is>
          <t>Tổng 3, Tổng 4, Tổng 8, Tổng 9</t>
        </is>
      </c>
      <c r="H24" s="3" t="inlineStr">
        <is>
          <t>12346789</t>
        </is>
      </c>
      <c r="I24" s="3" t="inlineStr">
        <is>
          <t>Tổng 3-Bóng 8</t>
        </is>
      </c>
      <c r="J24" s="3" t="n">
        <v>40</v>
      </c>
      <c r="K24" s="7" t="inlineStr">
        <is>
          <t>TRƯỢT ❌</t>
        </is>
      </c>
      <c r="L24" s="3" t="inlineStr">
        <is>
          <t>04, 09, 12, 13, 17, 18, 21, 22, 26, 35, 44, 45, 54, 67, 68, 72, 80, 81, 90, 99</t>
        </is>
      </c>
      <c r="M24" s="7" t="inlineStr">
        <is>
          <t>TRƯỢT ❌</t>
        </is>
      </c>
      <c r="N24" s="6" t="inlineStr">
        <is>
          <t>TRÚNG N2 🎯</t>
        </is>
      </c>
      <c r="O24" s="3" t="inlineStr">
        <is>
          <t>03, 04, 08, 09, 12, 13, 17, 18, 21, 22, 26, 27, 30, 31, 35, 36, 40, 44, 45, 49, 53, 54, 58, 59, 62, 63, 67, 68, 71, 72, 76, 77, 80, 81, 85, 86, 90, 94, 95, 99</t>
        </is>
      </c>
    </row>
    <row r="25">
      <c r="A25" s="2" t="n">
        <v>267</v>
      </c>
      <c r="B25" s="2" t="inlineStr">
        <is>
          <t>Thứ Ba ngày 29-09-2026</t>
        </is>
      </c>
      <c r="C25" s="3" t="inlineStr">
        <is>
          <t>Thứ Hai</t>
        </is>
      </c>
      <c r="D25" s="3" t="inlineStr">
        <is>
          <t>05651</t>
        </is>
      </c>
      <c r="E25" s="3" t="inlineStr">
        <is>
          <t>51</t>
        </is>
      </c>
      <c r="F25" s="3" t="inlineStr">
        <is>
          <t>G7.2, G7.4</t>
        </is>
      </c>
      <c r="G25" s="3" t="inlineStr">
        <is>
          <t>Tổng 0, Tổng 1, Tổng 4, Tổng 5, Tổng 6, Tổng 9</t>
        </is>
      </c>
      <c r="H25" s="3" t="inlineStr">
        <is>
          <t>02345789</t>
        </is>
      </c>
      <c r="I25" s="3" t="inlineStr">
        <is>
          <t>Tổng 0-Bóng 5</t>
        </is>
      </c>
      <c r="J25" s="3" t="n">
        <v>60</v>
      </c>
      <c r="K25" s="6" t="inlineStr">
        <is>
          <t>TRÚNG N1 🎯</t>
        </is>
      </c>
      <c r="L25" s="3" t="inlineStr">
        <is>
          <t>04, 06, 15, 22, 23, 29, 32, 37, 38, 42, 51, 60, 65, 72, 73, 79, 81, 87, 90, 96</t>
        </is>
      </c>
      <c r="M25" s="6" t="inlineStr">
        <is>
          <t>TRÚNG HỎA LỰC 🎯</t>
        </is>
      </c>
      <c r="N25" s="6" t="inlineStr">
        <is>
          <t>TRÚNG N1 🎯</t>
        </is>
      </c>
      <c r="O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6">
      <c r="A26" s="2" t="n">
        <v>266</v>
      </c>
      <c r="B26" s="2" t="inlineStr">
        <is>
          <t>Thứ Hai ngày 28-09-2026</t>
        </is>
      </c>
      <c r="C26" s="3" t="inlineStr">
        <is>
          <t>Chủ Nhật</t>
        </is>
      </c>
      <c r="D26" s="3" t="inlineStr">
        <is>
          <t>77115</t>
        </is>
      </c>
      <c r="E26" s="3" t="inlineStr">
        <is>
          <t>15</t>
        </is>
      </c>
      <c r="F26" s="3" t="inlineStr">
        <is>
          <t>G7.3, G7.1</t>
        </is>
      </c>
      <c r="G26" s="3" t="inlineStr">
        <is>
          <t>Tổng 1, Tổng 2, Tổng 3, Tổng 6, Tổng 7, Tổng 8</t>
        </is>
      </c>
      <c r="H26" s="3" t="inlineStr">
        <is>
          <t>0123456789</t>
        </is>
      </c>
      <c r="I26" s="3" t="inlineStr">
        <is>
          <t>Tổng 8-Bóng 3</t>
        </is>
      </c>
      <c r="J26" s="3" t="n">
        <v>60</v>
      </c>
      <c r="K26" s="6" t="inlineStr">
        <is>
          <t>TRÚNG N1 🎯</t>
        </is>
      </c>
      <c r="L26" s="3" t="inlineStr">
        <is>
          <t>06, 11, 12, 21, 29, 35, 38, 39, 42, 44, 47, 51, 52, 60, 65, 66, 67, 79, 83, 99</t>
        </is>
      </c>
      <c r="M26" s="7" t="inlineStr">
        <is>
          <t>TRƯỢT ❌</t>
        </is>
      </c>
      <c r="N26" s="6" t="inlineStr">
        <is>
          <t>TRÚNG N1 🎯</t>
        </is>
      </c>
      <c r="O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7">
      <c r="A27" s="2" t="n">
        <v>265</v>
      </c>
      <c r="B27" s="2" t="inlineStr">
        <is>
          <t>Chủ nhật ngày 27-09-2026</t>
        </is>
      </c>
      <c r="C27" s="3" t="inlineStr">
        <is>
          <t>Thứ Bảy</t>
        </is>
      </c>
      <c r="D27" s="3" t="inlineStr">
        <is>
          <t>55473</t>
        </is>
      </c>
      <c r="E27" s="3" t="inlineStr">
        <is>
          <t>73</t>
        </is>
      </c>
      <c r="F27" s="3" t="inlineStr">
        <is>
          <t>G7.1, G7.3</t>
        </is>
      </c>
      <c r="G27" s="3" t="inlineStr">
        <is>
          <t>Tổng 1, Tổng 2, Tổng 4, Tổng 6, Tổng 7, Tổng 9</t>
        </is>
      </c>
      <c r="H27" s="3" t="inlineStr">
        <is>
          <t>01245679</t>
        </is>
      </c>
      <c r="I27" s="3" t="inlineStr">
        <is>
          <t>Tổng 1-Bóng 6</t>
        </is>
      </c>
      <c r="J27" s="3" t="n">
        <v>56</v>
      </c>
      <c r="K27" s="7" t="inlineStr">
        <is>
          <t>TRƯỢT ❌</t>
        </is>
      </c>
      <c r="L27" s="3" t="inlineStr">
        <is>
          <t>04, 06, 11, 13, 18, 22, 29, 39, 42, 47, 51, 52, 60, 65, 66, 68, 72, 79, 81, 90</t>
        </is>
      </c>
      <c r="M27" s="7" t="inlineStr">
        <is>
          <t>TRƯỢT ❌</t>
        </is>
      </c>
      <c r="N27" s="6" t="inlineStr">
        <is>
          <t>TRÚNG N2 🎯</t>
        </is>
      </c>
      <c r="O27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28">
      <c r="A28" s="2" t="n">
        <v>264</v>
      </c>
      <c r="B28" s="2" t="inlineStr">
        <is>
          <t>Thứ bảy ngày 26-09-2026</t>
        </is>
      </c>
      <c r="C28" s="3" t="inlineStr">
        <is>
          <t>Thứ Sáu</t>
        </is>
      </c>
      <c r="D28" s="3" t="inlineStr">
        <is>
          <t>18132</t>
        </is>
      </c>
      <c r="E28" s="3" t="inlineStr">
        <is>
          <t>32</t>
        </is>
      </c>
      <c r="F28" s="3" t="inlineStr">
        <is>
          <t>G7.4, G7.1</t>
        </is>
      </c>
      <c r="G28" s="3" t="inlineStr">
        <is>
          <t>Tổng 0, Tổng 1, Tổng 2, Tổng 5, Tổng 6, Tổng 7</t>
        </is>
      </c>
      <c r="H28" s="3" t="inlineStr">
        <is>
          <t>0123456789</t>
        </is>
      </c>
      <c r="I28" s="3" t="inlineStr">
        <is>
          <t>Tổng 7-Bóng 2</t>
        </is>
      </c>
      <c r="J28" s="3" t="n">
        <v>60</v>
      </c>
      <c r="K28" s="6" t="inlineStr">
        <is>
          <t>TRÚNG N1 🎯</t>
        </is>
      </c>
      <c r="L28" s="3" t="inlineStr">
        <is>
          <t>06, 11, 23, 29, 32, 37, 38, 39, 42, 47, 51, 52, 60, 65, 66, 78, 79, 83, 87, 96</t>
        </is>
      </c>
      <c r="M28" s="6" t="inlineStr">
        <is>
          <t>TRÚNG HỎA LỰC 🎯</t>
        </is>
      </c>
      <c r="N28" s="6" t="inlineStr">
        <is>
          <t>TRÚNG N1 🎯</t>
        </is>
      </c>
      <c r="O2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9">
      <c r="A29" s="2" t="n">
        <v>263</v>
      </c>
      <c r="B29" s="2" t="inlineStr">
        <is>
          <t>Thứ sáu ngày 25-09-2026</t>
        </is>
      </c>
      <c r="C29" s="3" t="inlineStr">
        <is>
          <t>Thứ Năm</t>
        </is>
      </c>
      <c r="D29" s="3" t="inlineStr">
        <is>
          <t>34465</t>
        </is>
      </c>
      <c r="E29" s="3" t="inlineStr">
        <is>
          <t>65</t>
        </is>
      </c>
      <c r="F29" s="3" t="inlineStr">
        <is>
          <t>G7.1, G7.4</t>
        </is>
      </c>
      <c r="G29" s="3" t="inlineStr">
        <is>
          <t>Tổng 0, Tổng 2, Tổng 4, Tổng 5, Tổng 7, Tổng 9</t>
        </is>
      </c>
      <c r="H29" s="3" t="inlineStr">
        <is>
          <t>0123456789</t>
        </is>
      </c>
      <c r="I29" s="3" t="inlineStr">
        <is>
          <t>Tổng 5-Bóng 0</t>
        </is>
      </c>
      <c r="J29" s="3" t="n">
        <v>60</v>
      </c>
      <c r="K29" s="7" t="inlineStr">
        <is>
          <t>TRƯỢT ❌</t>
        </is>
      </c>
      <c r="L29" s="3" t="inlineStr">
        <is>
          <t>04, 11, 13, 18, 22, 23, 32, 37, 39, 45, 52, 61, 66, 68, 72, 78, 81, 87, 90, 96</t>
        </is>
      </c>
      <c r="M29" s="7" t="inlineStr">
        <is>
          <t>TRƯỢT ❌</t>
        </is>
      </c>
      <c r="N29" s="6" t="inlineStr">
        <is>
          <t>TRÚNG N2 🎯</t>
        </is>
      </c>
      <c r="O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0">
      <c r="A30" s="2" t="n">
        <v>262</v>
      </c>
      <c r="B30" s="2" t="inlineStr">
        <is>
          <t>Thứ năm ngày 24-09-2026</t>
        </is>
      </c>
      <c r="C30" s="3" t="inlineStr">
        <is>
          <t>Thứ Tư</t>
        </is>
      </c>
      <c r="D30" s="3" t="inlineStr">
        <is>
          <t>78196</t>
        </is>
      </c>
      <c r="E30" s="3" t="inlineStr">
        <is>
          <t>96</t>
        </is>
      </c>
      <c r="F30" s="3" t="inlineStr">
        <is>
          <t>G7.2, G7.4</t>
        </is>
      </c>
      <c r="G30" s="3" t="inlineStr">
        <is>
          <t>Tổng 2, Tổng 3, Tổng 7, Tổng 8</t>
        </is>
      </c>
      <c r="H30" s="3" t="inlineStr">
        <is>
          <t>0123456789</t>
        </is>
      </c>
      <c r="I30" s="3" t="inlineStr">
        <is>
          <t>Tổng 2-Bóng 7</t>
        </is>
      </c>
      <c r="J30" s="3" t="n">
        <v>40</v>
      </c>
      <c r="K30" s="7" t="inlineStr">
        <is>
          <t>TRƯỢT ❌</t>
        </is>
      </c>
      <c r="L30" s="3" t="inlineStr">
        <is>
          <t>11, 12, 16, 17, 21, 25, 26, 34, 35, 39, 43, 44, 52, 57, 61, 66, 67, 71, 80, 99</t>
        </is>
      </c>
      <c r="M30" s="7" t="inlineStr">
        <is>
          <t>TRƯỢT ❌</t>
        </is>
      </c>
      <c r="N30" s="7" t="inlineStr">
        <is>
          <t>TRƯỢT KHUNG ❌</t>
        </is>
      </c>
      <c r="O30" s="3" t="inlineStr">
        <is>
          <t>02, 03, 07, 08, 11, 12, 16, 17, 20, 21, 25, 26, 30, 34, 35, 39, 43, 44, 48, 49, 52, 53, 57, 58, 61, 62, 66, 67, 70, 71, 75, 76, 80, 84, 85, 89, 93, 94, 98, 99</t>
        </is>
      </c>
    </row>
    <row r="31">
      <c r="A31" s="2" t="n">
        <v>261</v>
      </c>
      <c r="B31" s="2" t="inlineStr">
        <is>
          <t>Thứ tư ngày 23-09-2026</t>
        </is>
      </c>
      <c r="C31" s="3" t="inlineStr">
        <is>
          <t>Thứ Ba</t>
        </is>
      </c>
      <c r="D31" s="3" t="inlineStr">
        <is>
          <t>76406</t>
        </is>
      </c>
      <c r="E31" s="3" t="inlineStr">
        <is>
          <t>06</t>
        </is>
      </c>
      <c r="F31" s="3" t="inlineStr">
        <is>
          <t>G7.3, G7.4</t>
        </is>
      </c>
      <c r="G31" s="3" t="inlineStr">
        <is>
          <t>Tổng 3, Tổng 8</t>
        </is>
      </c>
      <c r="H31" s="3" t="inlineStr">
        <is>
          <t>02345789</t>
        </is>
      </c>
      <c r="I31" s="3" t="inlineStr">
        <is>
          <t>Tổng 3-Bóng 8</t>
        </is>
      </c>
      <c r="J31" s="3" t="n">
        <v>20</v>
      </c>
      <c r="K31" s="7" t="inlineStr">
        <is>
          <t>TRƯỢT ❌</t>
        </is>
      </c>
      <c r="L31" s="3" t="inlineStr">
        <is>
          <t>03, 08, 12, 17, 21, 26, 30, 35, 44, 49, 53, 58, 62, 67, 71, 76, 80, 85, 94, 99</t>
        </is>
      </c>
      <c r="M31" s="7" t="inlineStr">
        <is>
          <t>TRƯỢT ❌</t>
        </is>
      </c>
      <c r="N31" s="7" t="inlineStr">
        <is>
          <t>TRƯỢT KHUNG ❌</t>
        </is>
      </c>
      <c r="O31" s="3" t="inlineStr">
        <is>
          <t>03, 08, 12, 17, 21, 26, 30, 35, 44, 49, 53, 58, 62, 67, 71, 76, 80, 85, 94, 99</t>
        </is>
      </c>
    </row>
    <row r="32">
      <c r="A32" s="2" t="n">
        <v>260</v>
      </c>
      <c r="B32" s="2" t="inlineStr">
        <is>
          <t>Thứ ba ngày 22-09-2026</t>
        </is>
      </c>
      <c r="C32" s="3" t="inlineStr">
        <is>
          <t>Thứ Hai</t>
        </is>
      </c>
      <c r="D32" s="3" t="inlineStr">
        <is>
          <t>31922</t>
        </is>
      </c>
      <c r="E32" s="3" t="inlineStr">
        <is>
          <t>22</t>
        </is>
      </c>
      <c r="F32" s="3" t="inlineStr">
        <is>
          <t>G7.2, G7.4</t>
        </is>
      </c>
      <c r="G32" s="3" t="inlineStr">
        <is>
          <t>Tổng 0, Tổng 2, Tổng 5, Tổng 7</t>
        </is>
      </c>
      <c r="H32" s="3" t="inlineStr">
        <is>
          <t>01235678</t>
        </is>
      </c>
      <c r="I32" s="3" t="inlineStr">
        <is>
          <t>Tổng 0-Bóng 5</t>
        </is>
      </c>
      <c r="J32" s="3" t="n">
        <v>40</v>
      </c>
      <c r="K32" s="7" t="inlineStr">
        <is>
          <t>TRƯỢT ❌</t>
        </is>
      </c>
      <c r="L32" s="3" t="inlineStr">
        <is>
          <t>00, 11, 16, 23, 25, 28, 32, 34, 37, 39, 43, 52, 57, 61, 66, 70, 78, 87, 91, 96</t>
        </is>
      </c>
      <c r="M32" s="7" t="inlineStr">
        <is>
          <t>TRƯỢT ❌</t>
        </is>
      </c>
      <c r="N32" s="6" t="inlineStr">
        <is>
          <t>TRÚNG N3 🎯</t>
        </is>
      </c>
      <c r="O32" s="3" t="inlineStr">
        <is>
          <t>00, 02, 05, 07, 11, 14, 16, 19, 20, 23, 25, 28, 32, 34, 37, 39, 41, 43, 46, 48, 50, 52, 55, 57, 61, 64, 66, 69, 70, 73, 75, 78, 82, 84, 87, 89, 91, 93, 96, 98</t>
        </is>
      </c>
    </row>
    <row r="33">
      <c r="A33" s="2" t="n">
        <v>259</v>
      </c>
      <c r="B33" s="2" t="inlineStr">
        <is>
          <t>Thứ hai ngày 21-09-2026</t>
        </is>
      </c>
      <c r="C33" s="3" t="inlineStr">
        <is>
          <t>Chủ Nhật</t>
        </is>
      </c>
      <c r="D33" s="3" t="inlineStr">
        <is>
          <t>40432</t>
        </is>
      </c>
      <c r="E33" s="3" t="inlineStr">
        <is>
          <t>32</t>
        </is>
      </c>
      <c r="F33" s="3" t="inlineStr">
        <is>
          <t>G7.3, G7.1</t>
        </is>
      </c>
      <c r="G33" s="3" t="inlineStr">
        <is>
          <t>Tổng 0, Tổng 3, Tổng 5, Tổng 8</t>
        </is>
      </c>
      <c r="H33" s="3" t="inlineStr">
        <is>
          <t>01235678</t>
        </is>
      </c>
      <c r="I33" s="3" t="inlineStr">
        <is>
          <t>Tổng 0-Bóng 5</t>
        </is>
      </c>
      <c r="J33" s="3" t="n">
        <v>36</v>
      </c>
      <c r="K33" s="6" t="inlineStr">
        <is>
          <t>TRÚNG N1 🎯</t>
        </is>
      </c>
      <c r="L33" s="3" t="inlineStr">
        <is>
          <t>00, 08, 12, 17, 19, 21, 23, 26, 28, 35, 37, 53, 67, 71, 78, 80, 85, 87, 91, 96</t>
        </is>
      </c>
      <c r="M33" s="7" t="inlineStr">
        <is>
          <t>TRƯỢT ❌</t>
        </is>
      </c>
      <c r="N33" s="6" t="inlineStr">
        <is>
          <t>TRÚNG N1 🎯</t>
        </is>
      </c>
      <c r="O33" s="3" t="inlineStr">
        <is>
          <t>00, 03, 05, 08, 12, 14, 17, 19, 21, 23, 26, 28, 30, 32, 35, 37, 41, 46, 50, 53, 55, 58, 62, 64, 67, 69, 71, 73, 76, 78, 80, 82, 85, 87, 91, 96</t>
        </is>
      </c>
    </row>
    <row r="34">
      <c r="A34" s="2" t="n">
        <v>258</v>
      </c>
      <c r="B34" s="2" t="inlineStr">
        <is>
          <t>Chủ nhật ngày 20-09-2026</t>
        </is>
      </c>
      <c r="C34" s="3" t="inlineStr">
        <is>
          <t>Thứ Bảy</t>
        </is>
      </c>
      <c r="D34" s="3" t="inlineStr">
        <is>
          <t>21538</t>
        </is>
      </c>
      <c r="E34" s="3" t="inlineStr">
        <is>
          <t>38</t>
        </is>
      </c>
      <c r="F34" s="3" t="inlineStr">
        <is>
          <t>G7.1, G7.3</t>
        </is>
      </c>
      <c r="G34" s="3" t="inlineStr">
        <is>
          <t>Tổng 0, Tổng 1, Tổng 3, Tổng 5, Tổng 6, Tổng 8</t>
        </is>
      </c>
      <c r="H34" s="3" t="inlineStr">
        <is>
          <t>0123456789</t>
        </is>
      </c>
      <c r="I34" s="3" t="inlineStr">
        <is>
          <t>Tổng 1-Bóng 6</t>
        </is>
      </c>
      <c r="J34" s="3" t="n">
        <v>60</v>
      </c>
      <c r="K34" s="6" t="inlineStr">
        <is>
          <t>TRÚNG N1 🎯</t>
        </is>
      </c>
      <c r="L34" s="3" t="inlineStr">
        <is>
          <t>12, 17, 21, 23, 28, 29, 33, 35, 37, 38, 42, 44, 51, 60, 67, 80, 83, 87, 96, 99</t>
        </is>
      </c>
      <c r="M34" s="6" t="inlineStr">
        <is>
          <t>TRÚNG HỎA LỰC 🎯</t>
        </is>
      </c>
      <c r="N34" s="6" t="inlineStr">
        <is>
          <t>TRÚNG N1 🎯</t>
        </is>
      </c>
      <c r="O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5">
      <c r="A35" s="2" t="n">
        <v>257</v>
      </c>
      <c r="B35" s="2" t="inlineStr">
        <is>
          <t>Thứ bảy ngày 19-09-2026</t>
        </is>
      </c>
      <c r="C35" s="3" t="inlineStr">
        <is>
          <t>Thứ Sáu</t>
        </is>
      </c>
      <c r="D35" s="3" t="inlineStr">
        <is>
          <t>73412</t>
        </is>
      </c>
      <c r="E35" s="3" t="inlineStr">
        <is>
          <t>12</t>
        </is>
      </c>
      <c r="F35" s="3" t="inlineStr">
        <is>
          <t>G7.4, G7.1</t>
        </is>
      </c>
      <c r="G35" s="3" t="inlineStr">
        <is>
          <t>Tổng 0, Tổng 1, Tổng 4, Tổng 5, Tổng 6, Tổng 9</t>
        </is>
      </c>
      <c r="H35" s="3" t="inlineStr">
        <is>
          <t>02345789</t>
        </is>
      </c>
      <c r="I35" s="3" t="inlineStr">
        <is>
          <t>Tổng 6-Bóng 1</t>
        </is>
      </c>
      <c r="J35" s="3" t="n">
        <v>60</v>
      </c>
      <c r="K35" s="7" t="inlineStr">
        <is>
          <t>TRƯỢT ❌</t>
        </is>
      </c>
      <c r="L35" s="3" t="inlineStr">
        <is>
          <t>04, 13, 22, 23, 29, 33, 37, 38, 42, 45, 51, 54, 60, 68, 72, 81, 83, 87, 90, 96</t>
        </is>
      </c>
      <c r="M35" s="7" t="inlineStr">
        <is>
          <t>TRƯỢT ❌</t>
        </is>
      </c>
      <c r="N35" s="6" t="inlineStr">
        <is>
          <t>TRÚNG N2 🎯</t>
        </is>
      </c>
      <c r="O3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6">
      <c r="A36" s="2" t="n">
        <v>256</v>
      </c>
      <c r="B36" s="2" t="inlineStr">
        <is>
          <t>Thứ sáu ngày 18-09-2026</t>
        </is>
      </c>
      <c r="C36" s="3" t="inlineStr">
        <is>
          <t>Thứ Năm</t>
        </is>
      </c>
      <c r="D36" s="3" t="inlineStr">
        <is>
          <t>27367</t>
        </is>
      </c>
      <c r="E36" s="3" t="inlineStr">
        <is>
          <t>67</t>
        </is>
      </c>
      <c r="F36" s="3" t="inlineStr">
        <is>
          <t>G7.1, G7.4</t>
        </is>
      </c>
      <c r="G36" s="3" t="inlineStr">
        <is>
          <t>Tổng 2, Tổng 3, Tổng 7, Tổng 8</t>
        </is>
      </c>
      <c r="H36" s="3" t="inlineStr">
        <is>
          <t>12346789</t>
        </is>
      </c>
      <c r="I36" s="3" t="inlineStr">
        <is>
          <t>Tổng 8-Bóng 3</t>
        </is>
      </c>
      <c r="J36" s="3" t="n">
        <v>40</v>
      </c>
      <c r="K36" s="6" t="inlineStr">
        <is>
          <t>TRÚNG N1 🎯</t>
        </is>
      </c>
      <c r="L36" s="3" t="inlineStr">
        <is>
          <t>11, 16, 17, 21, 25, 26, 34, 35, 39, 43, 44, 52, 57, 61, 66, 67, 70, 71, 80, 99</t>
        </is>
      </c>
      <c r="M36" s="6" t="inlineStr">
        <is>
          <t>TRÚNG HỎA LỰC 🎯</t>
        </is>
      </c>
      <c r="N36" s="6" t="inlineStr">
        <is>
          <t>TRÚNG N1 🎯</t>
        </is>
      </c>
      <c r="O36" s="3" t="inlineStr">
        <is>
          <t>02, 03, 07, 08, 11, 12, 16, 17, 20, 21, 25, 26, 30, 34, 35, 39, 43, 44, 48, 49, 52, 53, 57, 58, 61, 62, 66, 67, 70, 71, 75, 76, 80, 84, 85, 89, 93, 94, 98, 99</t>
        </is>
      </c>
    </row>
    <row r="37">
      <c r="A37" s="2" t="n">
        <v>255</v>
      </c>
      <c r="B37" s="2" t="inlineStr">
        <is>
          <t>Thứ năm ngày 17-09-2026</t>
        </is>
      </c>
      <c r="C37" s="3" t="inlineStr">
        <is>
          <t>Thứ Tư</t>
        </is>
      </c>
      <c r="D37" s="3" t="inlineStr">
        <is>
          <t>71960</t>
        </is>
      </c>
      <c r="E37" s="3" t="inlineStr">
        <is>
          <t>60</t>
        </is>
      </c>
      <c r="F37" s="3" t="inlineStr">
        <is>
          <t>G7.2, G7.4</t>
        </is>
      </c>
      <c r="G37" s="3" t="inlineStr">
        <is>
          <t>Tổng 3, Tổng 4, Tổng 8, Tổng 9</t>
        </is>
      </c>
      <c r="H37" s="3" t="inlineStr">
        <is>
          <t>12346789</t>
        </is>
      </c>
      <c r="I37" s="3" t="inlineStr">
        <is>
          <t>Tổng 3-Bóng 8</t>
        </is>
      </c>
      <c r="J37" s="3" t="n">
        <v>40</v>
      </c>
      <c r="K37" s="7" t="inlineStr">
        <is>
          <t>TRƯỢT ❌</t>
        </is>
      </c>
      <c r="L37" s="3" t="inlineStr">
        <is>
          <t>04, 09, 13, 17, 18, 21, 22, 26, 35, 44, 45, 54, 63, 67, 68, 72, 80, 81, 90, 99</t>
        </is>
      </c>
      <c r="M37" s="7" t="inlineStr">
        <is>
          <t>TRƯỢT ❌</t>
        </is>
      </c>
      <c r="N37" s="6" t="inlineStr">
        <is>
          <t>TRÚNG N2 🎯</t>
        </is>
      </c>
      <c r="O37" s="3" t="inlineStr">
        <is>
          <t>03, 04, 08, 09, 12, 13, 17, 18, 21, 22, 26, 27, 30, 31, 35, 36, 40, 44, 45, 49, 53, 54, 58, 59, 62, 63, 67, 68, 71, 72, 76, 77, 80, 81, 85, 86, 90, 94, 95, 99</t>
        </is>
      </c>
    </row>
    <row r="38">
      <c r="A38" s="2" t="n">
        <v>254</v>
      </c>
      <c r="B38" s="2" t="inlineStr">
        <is>
          <t>Thứ tư ngày 16-09-2026</t>
        </is>
      </c>
      <c r="C38" s="3" t="inlineStr">
        <is>
          <t>Thứ Ba</t>
        </is>
      </c>
      <c r="D38" s="3" t="inlineStr">
        <is>
          <t>96344</t>
        </is>
      </c>
      <c r="E38" s="3" t="inlineStr">
        <is>
          <t>44</t>
        </is>
      </c>
      <c r="F38" s="3" t="inlineStr">
        <is>
          <t>G7.3, G7.4</t>
        </is>
      </c>
      <c r="G38" s="3" t="inlineStr">
        <is>
          <t>Tổng 0, Tổng 3, Tổng 4, Tổng 5, Tổng 8, Tổng 9</t>
        </is>
      </c>
      <c r="H38" s="3" t="inlineStr">
        <is>
          <t>0123456789</t>
        </is>
      </c>
      <c r="I38" s="3" t="inlineStr">
        <is>
          <t>Tổng 5-Bóng 0</t>
        </is>
      </c>
      <c r="J38" s="3" t="n">
        <v>60</v>
      </c>
      <c r="K38" s="6" t="inlineStr">
        <is>
          <t>TRÚNG N1 🎯</t>
        </is>
      </c>
      <c r="L38" s="3" t="inlineStr">
        <is>
          <t>04, 13, 17, 21, 22, 23, 28, 35, 37, 44, 45, 54, 68, 72, 80, 81, 87, 90, 96, 99</t>
        </is>
      </c>
      <c r="M38" s="6" t="inlineStr">
        <is>
          <t>TRÚNG HỎA LỰC 🎯</t>
        </is>
      </c>
      <c r="N38" s="6" t="inlineStr">
        <is>
          <t>TRÚNG N1 🎯</t>
        </is>
      </c>
      <c r="O3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9">
      <c r="A39" s="2" t="n">
        <v>253</v>
      </c>
      <c r="B39" s="2" t="inlineStr">
        <is>
          <t>Thứ ba ngày 15-09-2026</t>
        </is>
      </c>
      <c r="C39" s="3" t="inlineStr">
        <is>
          <t>Thứ Hai</t>
        </is>
      </c>
      <c r="D39" s="3" t="inlineStr">
        <is>
          <t>31429</t>
        </is>
      </c>
      <c r="E39" s="3" t="inlineStr">
        <is>
          <t>29</t>
        </is>
      </c>
      <c r="F39" s="3" t="inlineStr">
        <is>
          <t>G7.2, G7.4</t>
        </is>
      </c>
      <c r="G39" s="3" t="inlineStr">
        <is>
          <t>Tổng 3, Tổng 4, Tổng 8, Tổng 9</t>
        </is>
      </c>
      <c r="H39" s="3" t="inlineStr">
        <is>
          <t>0123456789</t>
        </is>
      </c>
      <c r="I39" s="3" t="inlineStr">
        <is>
          <t>Tổng 8-Bóng 3</t>
        </is>
      </c>
      <c r="J39" s="3" t="n">
        <v>40</v>
      </c>
      <c r="K39" s="7" t="inlineStr">
        <is>
          <t>TRƯỢT ❌</t>
        </is>
      </c>
      <c r="L39" s="3" t="inlineStr">
        <is>
          <t>04, 09, 13, 17, 18, 21, 22, 26, 35, 44, 45, 54, 63, 67, 68, 72, 80, 81, 90, 99</t>
        </is>
      </c>
      <c r="M39" s="7" t="inlineStr">
        <is>
          <t>TRƯỢT ❌</t>
        </is>
      </c>
      <c r="N39" s="6" t="inlineStr">
        <is>
          <t>TRÚNG N2 🎯</t>
        </is>
      </c>
      <c r="O39" s="3" t="inlineStr">
        <is>
          <t>03, 04, 08, 09, 12, 13, 17, 18, 21, 22, 26, 27, 30, 31, 35, 36, 40, 44, 45, 49, 53, 54, 58, 59, 62, 63, 67, 68, 71, 72, 76, 77, 80, 81, 85, 86, 90, 94, 95, 99</t>
        </is>
      </c>
    </row>
    <row r="40">
      <c r="A40" s="2" t="n">
        <v>252</v>
      </c>
      <c r="B40" s="2" t="inlineStr">
        <is>
          <t>Thứ hai ngày 14-09-2026</t>
        </is>
      </c>
      <c r="C40" s="3" t="inlineStr">
        <is>
          <t>Chủ Nhật</t>
        </is>
      </c>
      <c r="D40" s="3" t="inlineStr">
        <is>
          <t>74522</t>
        </is>
      </c>
      <c r="E40" s="3" t="inlineStr">
        <is>
          <t>22</t>
        </is>
      </c>
      <c r="F40" s="3" t="inlineStr">
        <is>
          <t>G7.3, G7.1</t>
        </is>
      </c>
      <c r="G40" s="3" t="inlineStr">
        <is>
          <t>Tổng 3, Tổng 4, Tổng 8, Tổng 9</t>
        </is>
      </c>
      <c r="H40" s="3" t="inlineStr">
        <is>
          <t>0123456789</t>
        </is>
      </c>
      <c r="I40" s="3" t="inlineStr">
        <is>
          <t>Tổng 9-Bóng 4</t>
        </is>
      </c>
      <c r="J40" s="3" t="n">
        <v>40</v>
      </c>
      <c r="K40" s="6" t="inlineStr">
        <is>
          <t>TRÚNG N1 🎯</t>
        </is>
      </c>
      <c r="L40" s="3" t="inlineStr">
        <is>
          <t>04, 09, 13, 17, 18, 21, 22, 26, 35, 44, 45, 54, 63, 67, 68, 72, 80, 81, 90, 99</t>
        </is>
      </c>
      <c r="M40" s="6" t="inlineStr">
        <is>
          <t>TRÚNG HỎA LỰC 🎯</t>
        </is>
      </c>
      <c r="N40" s="6" t="inlineStr">
        <is>
          <t>TRÚNG N1 🎯</t>
        </is>
      </c>
      <c r="O40" s="3" t="inlineStr">
        <is>
          <t>03, 04, 08, 09, 12, 13, 17, 18, 21, 22, 26, 27, 30, 31, 35, 36, 40, 44, 45, 49, 53, 54, 58, 59, 62, 63, 67, 68, 71, 72, 76, 77, 80, 81, 85, 86, 90, 94, 95, 99</t>
        </is>
      </c>
    </row>
    <row r="41">
      <c r="A41" s="2" t="n">
        <v>251</v>
      </c>
      <c r="B41" s="2" t="inlineStr">
        <is>
          <t>Chủ nhật ngày 13-09-2026</t>
        </is>
      </c>
      <c r="C41" s="3" t="inlineStr">
        <is>
          <t>Thứ Bảy</t>
        </is>
      </c>
      <c r="D41" s="3" t="inlineStr">
        <is>
          <t>83799</t>
        </is>
      </c>
      <c r="E41" s="3" t="inlineStr">
        <is>
          <t>99</t>
        </is>
      </c>
      <c r="F41" s="3" t="inlineStr">
        <is>
          <t>G7.1, G7.3</t>
        </is>
      </c>
      <c r="G41" s="3" t="inlineStr">
        <is>
          <t>Tổng 1, Tổng 2, Tổng 3, Tổng 6, Tổng 7, Tổng 8</t>
        </is>
      </c>
      <c r="H41" s="3" t="inlineStr">
        <is>
          <t>0123456789</t>
        </is>
      </c>
      <c r="I41" s="3" t="inlineStr">
        <is>
          <t>Tổng 3-Bóng 8</t>
        </is>
      </c>
      <c r="J41" s="3" t="n">
        <v>60</v>
      </c>
      <c r="K41" s="6" t="inlineStr">
        <is>
          <t>TRÚNG N1 🎯</t>
        </is>
      </c>
      <c r="L41" s="3" t="inlineStr">
        <is>
          <t>11, 16, 17, 21, 33, 35, 38, 39, 42, 43, 44, 51, 52, 60, 61, 66, 67, 79, 80, 83</t>
        </is>
      </c>
      <c r="M41" s="7" t="inlineStr">
        <is>
          <t>TRƯỢT ❌</t>
        </is>
      </c>
      <c r="N41" s="6" t="inlineStr">
        <is>
          <t>TRÚNG N1 🎯</t>
        </is>
      </c>
      <c r="O4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42">
      <c r="A42" s="2" t="n">
        <v>250</v>
      </c>
      <c r="B42" s="2" t="inlineStr">
        <is>
          <t>Thứ bảy ngày 12-09-2026</t>
        </is>
      </c>
      <c r="C42" s="3" t="inlineStr">
        <is>
          <t>Thứ Sáu</t>
        </is>
      </c>
      <c r="D42" s="3" t="inlineStr">
        <is>
          <t>58851</t>
        </is>
      </c>
      <c r="E42" s="3" t="inlineStr">
        <is>
          <t>51</t>
        </is>
      </c>
      <c r="F42" s="3" t="inlineStr">
        <is>
          <t>G7.1, G7.4</t>
        </is>
      </c>
      <c r="G42" s="3" t="inlineStr">
        <is>
          <t>Tổng 0, Tổng 2, Tổng 3, Tổng 5, Tổng 7, Tổng 8</t>
        </is>
      </c>
      <c r="H42" s="3" t="inlineStr">
        <is>
          <t>0123456789</t>
        </is>
      </c>
      <c r="I42" s="3" t="inlineStr">
        <is>
          <t>Tổng 2-Bóng 7</t>
        </is>
      </c>
      <c r="J42" s="3" t="n">
        <v>60</v>
      </c>
      <c r="K42" s="7" t="inlineStr">
        <is>
          <t>TRƯỢT ❌</t>
        </is>
      </c>
      <c r="L42" s="3" t="inlineStr">
        <is>
          <t>00, 11, 16, 17, 21, 23, 28, 35, 37, 39, 43, 44, 52, 61, 66, 67, 78, 80, 87, 96</t>
        </is>
      </c>
      <c r="M42" s="7" t="inlineStr">
        <is>
          <t>TRƯỢT ❌</t>
        </is>
      </c>
      <c r="N42" s="6" t="inlineStr">
        <is>
          <t>TRÚNG N2 🎯</t>
        </is>
      </c>
      <c r="O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3">
      <c r="A43" s="2" t="n">
        <v>249</v>
      </c>
      <c r="B43" s="2" t="inlineStr">
        <is>
          <t>Thứ sáu ngày 11-09-2026</t>
        </is>
      </c>
      <c r="C43" s="3" t="inlineStr">
        <is>
          <t>Thứ Năm</t>
        </is>
      </c>
      <c r="D43" s="3" t="inlineStr">
        <is>
          <t>29352</t>
        </is>
      </c>
      <c r="E43" s="3" t="inlineStr">
        <is>
          <t>52</t>
        </is>
      </c>
      <c r="F43" s="3" t="inlineStr">
        <is>
          <t>G7.1, G7.4</t>
        </is>
      </c>
      <c r="G43" s="3" t="inlineStr">
        <is>
          <t>Tổng 1, Tổng 2, Tổng 3, Tổng 6, Tổng 7, Tổng 8</t>
        </is>
      </c>
      <c r="H43" s="3" t="inlineStr">
        <is>
          <t>0123456789</t>
        </is>
      </c>
      <c r="I43" s="3" t="inlineStr">
        <is>
          <t>Tổng 2-Bóng 7</t>
        </is>
      </c>
      <c r="J43" s="3" t="n">
        <v>60</v>
      </c>
      <c r="K43" s="6" t="inlineStr">
        <is>
          <t>TRÚNG N1 🎯</t>
        </is>
      </c>
      <c r="L43" s="3" t="inlineStr">
        <is>
          <t>11, 16, 17, 21, 26, 33, 35, 38, 39, 42, 43, 44, 47, 60, 61, 66, 67, 79, 80, 83</t>
        </is>
      </c>
      <c r="M43" s="7" t="inlineStr">
        <is>
          <t>TRƯỢT ❌</t>
        </is>
      </c>
      <c r="N43" s="6" t="inlineStr">
        <is>
          <t>TRÚNG N1 🎯</t>
        </is>
      </c>
      <c r="O4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44">
      <c r="A44" s="2" t="n">
        <v>248</v>
      </c>
      <c r="B44" s="2" t="inlineStr">
        <is>
          <t>Thứ năm ngày 10-09-2026</t>
        </is>
      </c>
      <c r="C44" s="3" t="inlineStr">
        <is>
          <t>Thứ Tư</t>
        </is>
      </c>
      <c r="D44" s="3" t="inlineStr">
        <is>
          <t>30981</t>
        </is>
      </c>
      <c r="E44" s="3" t="inlineStr">
        <is>
          <t>81</t>
        </is>
      </c>
      <c r="F44" s="3" t="inlineStr">
        <is>
          <t>G7.2, G7.4</t>
        </is>
      </c>
      <c r="G44" s="3" t="inlineStr">
        <is>
          <t>Tổng 2, Tổng 3, Tổng 7, Tổng 8</t>
        </is>
      </c>
      <c r="H44" s="3" t="inlineStr">
        <is>
          <t>01235678</t>
        </is>
      </c>
      <c r="I44" s="3" t="inlineStr">
        <is>
          <t>Tổng 3-Bóng 8</t>
        </is>
      </c>
      <c r="J44" s="3" t="n">
        <v>36</v>
      </c>
      <c r="K44" s="7" t="inlineStr">
        <is>
          <t>TRƯỢT ❌</t>
        </is>
      </c>
      <c r="L44" s="3" t="inlineStr">
        <is>
          <t>03, 11, 16, 17, 21, 25, 26, 34, 35, 39, 43, 52, 57, 61, 66, 67, 70, 71, 80, 89</t>
        </is>
      </c>
      <c r="M44" s="7" t="inlineStr">
        <is>
          <t>TRƯỢT ❌</t>
        </is>
      </c>
      <c r="N44" s="6" t="inlineStr">
        <is>
          <t>TRÚNG N2 🎯</t>
        </is>
      </c>
      <c r="O44" s="3" t="inlineStr">
        <is>
          <t>02, 03, 07, 08, 11, 12, 16, 17, 20, 21, 25, 26, 30, 34, 35, 39, 43, 48, 52, 53, 57, 58, 61, 62, 66, 67, 70, 71, 75, 76, 80, 84, 85, 89, 93, 98</t>
        </is>
      </c>
    </row>
    <row r="45">
      <c r="A45" s="2" t="n">
        <v>247</v>
      </c>
      <c r="B45" s="2" t="inlineStr">
        <is>
          <t>Thứ tư ngày 09-09-2026</t>
        </is>
      </c>
      <c r="C45" s="3" t="inlineStr">
        <is>
          <t>Thứ Ba</t>
        </is>
      </c>
      <c r="D45" s="3" t="inlineStr">
        <is>
          <t>94504</t>
        </is>
      </c>
      <c r="E45" s="3" t="inlineStr">
        <is>
          <t>04</t>
        </is>
      </c>
      <c r="F45" s="3" t="inlineStr">
        <is>
          <t>G7.3, G7.4</t>
        </is>
      </c>
      <c r="G45" s="3" t="inlineStr">
        <is>
          <t>Tổng 1, Tổng 2, Tổng 6, Tổng 7</t>
        </is>
      </c>
      <c r="H45" s="3" t="inlineStr">
        <is>
          <t>01235678</t>
        </is>
      </c>
      <c r="I45" s="3" t="inlineStr">
        <is>
          <t>Tổng 7-Bóng 2</t>
        </is>
      </c>
      <c r="J45" s="3" t="n">
        <v>40</v>
      </c>
      <c r="K45" s="7" t="inlineStr">
        <is>
          <t>TRƯỢT ❌</t>
        </is>
      </c>
      <c r="L45" s="3" t="inlineStr">
        <is>
          <t>01, 10, 11, 16, 25, 33, 34, 38, 39, 42, 43, 47, 57, 60, 61, 66, 70, 79, 83, 89</t>
        </is>
      </c>
      <c r="M45" s="7" t="inlineStr">
        <is>
          <t>TRƯỢT ❌</t>
        </is>
      </c>
      <c r="N45" s="6" t="inlineStr">
        <is>
          <t>TRÚNG N3 🎯</t>
        </is>
      </c>
      <c r="O45" s="3" t="inlineStr">
        <is>
          <t>01, 02, 06, 07, 10, 11, 15, 16, 20, 24, 25, 29, 33, 34, 38, 39, 42, 43, 47, 48, 51, 52, 56, 57, 60, 61, 65, 66, 70, 74, 75, 79, 83, 84, 88, 89, 92, 93, 97, 98</t>
        </is>
      </c>
    </row>
    <row r="46">
      <c r="A46" s="2" t="n">
        <v>246</v>
      </c>
      <c r="B46" s="2" t="inlineStr">
        <is>
          <t>Thứ ba ngày 08-09-2026</t>
        </is>
      </c>
      <c r="C46" s="3" t="inlineStr">
        <is>
          <t>Thứ Hai</t>
        </is>
      </c>
      <c r="D46" s="3" t="inlineStr">
        <is>
          <t>39687</t>
        </is>
      </c>
      <c r="E46" s="3" t="inlineStr">
        <is>
          <t>87</t>
        </is>
      </c>
      <c r="F46" s="3" t="inlineStr">
        <is>
          <t>G7.2, G7.4</t>
        </is>
      </c>
      <c r="G46" s="3" t="inlineStr">
        <is>
          <t>Tổng 0, Tổng 2, Tổng 3, Tổng 5, Tổng 7, Tổng 8</t>
        </is>
      </c>
      <c r="H46" s="3" t="inlineStr">
        <is>
          <t>01345689</t>
        </is>
      </c>
      <c r="I46" s="3" t="inlineStr">
        <is>
          <t>Tổng 3-Bóng 8</t>
        </is>
      </c>
      <c r="J46" s="3" t="n">
        <v>60</v>
      </c>
      <c r="K46" s="6" t="inlineStr">
        <is>
          <t>TRÚNG N1 🎯</t>
        </is>
      </c>
      <c r="L46" s="3" t="inlineStr">
        <is>
          <t>11, 16, 17, 21, 23, 26, 28, 35, 37, 39, 43, 44, 57, 61, 66, 67, 78, 80, 91, 96</t>
        </is>
      </c>
      <c r="M46" s="7" t="inlineStr">
        <is>
          <t>TRƯỢT ❌</t>
        </is>
      </c>
      <c r="N46" s="6" t="inlineStr">
        <is>
          <t>TRÚNG N1 🎯</t>
        </is>
      </c>
      <c r="O4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7">
      <c r="A47" s="2" t="n">
        <v>245</v>
      </c>
      <c r="B47" s="2" t="inlineStr">
        <is>
          <t>Thứ hai ngày 07-09-2026</t>
        </is>
      </c>
      <c r="C47" s="3" t="inlineStr">
        <is>
          <t>Chủ Nhật</t>
        </is>
      </c>
      <c r="D47" s="3" t="inlineStr">
        <is>
          <t>34990</t>
        </is>
      </c>
      <c r="E47" s="3" t="inlineStr">
        <is>
          <t>90</t>
        </is>
      </c>
      <c r="F47" s="3" t="inlineStr">
        <is>
          <t>G7.3, G7.1</t>
        </is>
      </c>
      <c r="G47" s="3" t="inlineStr">
        <is>
          <t>Tổng 1, Tổng 3, Tổng 6, Tổng 8</t>
        </is>
      </c>
      <c r="H47" s="3" t="inlineStr">
        <is>
          <t>01345689</t>
        </is>
      </c>
      <c r="I47" s="3" t="inlineStr">
        <is>
          <t>Tổng 8-Bóng 3</t>
        </is>
      </c>
      <c r="J47" s="3" t="n">
        <v>40</v>
      </c>
      <c r="K47" s="7" t="inlineStr">
        <is>
          <t>TRƯỢT ❌</t>
        </is>
      </c>
      <c r="L47" s="3" t="inlineStr">
        <is>
          <t>01, 10, 17, 21, 26, 33, 35, 38, 42, 44, 47, 51, 60, 67, 79, 80, 83, 85, 94, 99</t>
        </is>
      </c>
      <c r="M47" s="7" t="inlineStr">
        <is>
          <t>TRƯỢT ❌</t>
        </is>
      </c>
      <c r="N47" s="7" t="inlineStr">
        <is>
          <t>TRƯỢT KHUNG ❌</t>
        </is>
      </c>
      <c r="O47" s="3" t="inlineStr">
        <is>
          <t>01, 03, 06, 08, 10, 12, 15, 17, 21, 24, 26, 29, 30, 33, 35, 38, 42, 44, 47, 49, 51, 53, 56, 58, 60, 62, 65, 67, 71, 74, 76, 79, 80, 83, 85, 88, 92, 94, 97, 99</t>
        </is>
      </c>
    </row>
    <row r="48">
      <c r="A48" s="2" t="n">
        <v>244</v>
      </c>
      <c r="B48" s="2" t="inlineStr">
        <is>
          <t>Chủ nhật ngày 06-09-2026</t>
        </is>
      </c>
      <c r="C48" s="3" t="inlineStr">
        <is>
          <t>Thứ Bảy</t>
        </is>
      </c>
      <c r="D48" s="3" t="inlineStr">
        <is>
          <t>61435</t>
        </is>
      </c>
      <c r="E48" s="3" t="inlineStr">
        <is>
          <t>35</t>
        </is>
      </c>
      <c r="F48" s="3" t="inlineStr">
        <is>
          <t>G7.1, G7.3</t>
        </is>
      </c>
      <c r="G48" s="3" t="inlineStr">
        <is>
          <t>Tổng 1, Tổng 4, Tổng 6, Tổng 9</t>
        </is>
      </c>
      <c r="H48" s="3" t="inlineStr">
        <is>
          <t>0123456789</t>
        </is>
      </c>
      <c r="I48" s="3" t="inlineStr">
        <is>
          <t>Tổng 9-Bóng 4</t>
        </is>
      </c>
      <c r="J48" s="3" t="n">
        <v>40</v>
      </c>
      <c r="K48" s="7" t="inlineStr">
        <is>
          <t>TRƯỢT ❌</t>
        </is>
      </c>
      <c r="L48" s="3" t="inlineStr">
        <is>
          <t>01, 09, 10, 13, 18, 22, 33, 38, 42, 45, 47, 51, 54, 60, 63, 68, 72, 79, 83, 90</t>
        </is>
      </c>
      <c r="M48" s="7" t="inlineStr">
        <is>
          <t>TRƯỢT ❌</t>
        </is>
      </c>
      <c r="N48" s="6" t="inlineStr">
        <is>
          <t>TRÚNG N2 🎯</t>
        </is>
      </c>
      <c r="O48" s="3" t="inlineStr">
        <is>
          <t>01, 04, 06, 09, 10, 13, 15, 18, 22, 24, 27, 29, 31, 33, 36, 38, 40, 42, 45, 47, 51, 54, 56, 59, 60, 63, 65, 68, 72, 74, 77, 79, 81, 83, 86, 88, 90, 92, 95, 97</t>
        </is>
      </c>
    </row>
    <row r="49">
      <c r="A49" s="2" t="n">
        <v>243</v>
      </c>
      <c r="B49" s="2" t="inlineStr">
        <is>
          <t>Thứ bảy ngày 05-09-2026</t>
        </is>
      </c>
      <c r="C49" s="3" t="inlineStr">
        <is>
          <t>Thứ Sáu</t>
        </is>
      </c>
      <c r="D49" s="3" t="inlineStr">
        <is>
          <t>24037</t>
        </is>
      </c>
      <c r="E49" s="3" t="inlineStr">
        <is>
          <t>37</t>
        </is>
      </c>
      <c r="F49" s="3" t="inlineStr">
        <is>
          <t>G7.1, G7.4</t>
        </is>
      </c>
      <c r="G49" s="3" t="inlineStr">
        <is>
          <t>Tổng 1, Tổng 3, Tổng 6, Tổng 8</t>
        </is>
      </c>
      <c r="H49" s="3" t="inlineStr">
        <is>
          <t>0123456789</t>
        </is>
      </c>
      <c r="I49" s="3" t="inlineStr">
        <is>
          <t>Tổng 8-Bóng 3</t>
        </is>
      </c>
      <c r="J49" s="3" t="n">
        <v>40</v>
      </c>
      <c r="K49" s="7" t="inlineStr">
        <is>
          <t>TRƯỢT ❌</t>
        </is>
      </c>
      <c r="L49" s="3" t="inlineStr">
        <is>
          <t>01, 08, 10, 17, 21, 26, 33, 38, 42, 44, 47, 51, 60, 67, 79, 80, 83, 85, 94, 99</t>
        </is>
      </c>
      <c r="M49" s="7" t="inlineStr">
        <is>
          <t>TRƯỢT ❌</t>
        </is>
      </c>
      <c r="N49" s="6" t="inlineStr">
        <is>
          <t>TRÚNG N2 🎯</t>
        </is>
      </c>
      <c r="O49" s="3" t="inlineStr">
        <is>
          <t>01, 03, 06, 08, 10, 12, 15, 17, 21, 24, 26, 29, 30, 33, 35, 38, 42, 44, 47, 49, 51, 53, 56, 58, 60, 62, 65, 67, 71, 74, 76, 79, 80, 83, 85, 88, 92, 94, 97, 99</t>
        </is>
      </c>
    </row>
    <row r="50">
      <c r="A50" s="2" t="n">
        <v>242</v>
      </c>
      <c r="B50" s="2" t="inlineStr">
        <is>
          <t>Thứ sáu ngày 04-09-2026</t>
        </is>
      </c>
      <c r="C50" s="3" t="inlineStr">
        <is>
          <t>Thứ Năm</t>
        </is>
      </c>
      <c r="D50" s="3" t="inlineStr">
        <is>
          <t>50066</t>
        </is>
      </c>
      <c r="E50" s="3" t="inlineStr">
        <is>
          <t>66</t>
        </is>
      </c>
      <c r="F50" s="3" t="inlineStr">
        <is>
          <t>G7.1, G7.4</t>
        </is>
      </c>
      <c r="G50" s="3" t="inlineStr">
        <is>
          <t>Tổng 1, Tổng 3, Tổng 6, Tổng 8</t>
        </is>
      </c>
      <c r="H50" s="3" t="inlineStr">
        <is>
          <t>0123456789</t>
        </is>
      </c>
      <c r="I50" s="3" t="inlineStr">
        <is>
          <t>Tổng 1-Bóng 6</t>
        </is>
      </c>
      <c r="J50" s="3" t="n">
        <v>40</v>
      </c>
      <c r="K50" s="7" t="inlineStr">
        <is>
          <t>TRƯỢT ❌</t>
        </is>
      </c>
      <c r="L50" s="3" t="inlineStr">
        <is>
          <t>01, 10, 17, 21, 26, 33, 38, 42, 44, 47, 51, 60, 67, 79, 80, 83, 85, 94, 97, 99</t>
        </is>
      </c>
      <c r="M50" s="7" t="inlineStr">
        <is>
          <t>TRƯỢT ❌</t>
        </is>
      </c>
      <c r="N50" s="6" t="inlineStr">
        <is>
          <t>TRÚNG N3 🎯</t>
        </is>
      </c>
      <c r="O50" s="3" t="inlineStr">
        <is>
          <t>01, 03, 06, 08, 10, 12, 15, 17, 21, 24, 26, 29, 30, 33, 35, 38, 42, 44, 47, 49, 51, 53, 56, 58, 60, 62, 65, 67, 71, 74, 76, 79, 80, 83, 85, 88, 92, 94, 97, 99</t>
        </is>
      </c>
    </row>
    <row r="51">
      <c r="A51" s="2" t="n">
        <v>241</v>
      </c>
      <c r="B51" s="2" t="inlineStr">
        <is>
          <t>Thứ năm ngày 03-09-2026</t>
        </is>
      </c>
      <c r="C51" s="3" t="inlineStr">
        <is>
          <t>Thứ Tư</t>
        </is>
      </c>
      <c r="D51" s="3" t="inlineStr">
        <is>
          <t>39511</t>
        </is>
      </c>
      <c r="E51" s="3" t="inlineStr">
        <is>
          <t>11</t>
        </is>
      </c>
      <c r="F51" s="3" t="inlineStr">
        <is>
          <t>G7.2, G7.4</t>
        </is>
      </c>
      <c r="G51" s="3" t="inlineStr">
        <is>
          <t>Tổng 0, Tổng 1, Tổng 5, Tổng 6</t>
        </is>
      </c>
      <c r="H51" s="3" t="inlineStr">
        <is>
          <t>0123456789</t>
        </is>
      </c>
      <c r="I51" s="3" t="inlineStr">
        <is>
          <t>Tổng 1-Bóng 6</t>
        </is>
      </c>
      <c r="J51" s="3" t="n">
        <v>40</v>
      </c>
      <c r="K51" s="7" t="inlineStr">
        <is>
          <t>TRƯỢT ❌</t>
        </is>
      </c>
      <c r="L51" s="3" t="inlineStr">
        <is>
          <t>00, 01, 10, 19, 23, 28, 33, 37, 38, 42, 47, 51, 60, 65, 78, 79, 83, 91, 96, 97</t>
        </is>
      </c>
      <c r="M51" s="7" t="inlineStr">
        <is>
          <t>TRƯỢT ❌</t>
        </is>
      </c>
      <c r="N51" s="6" t="inlineStr">
        <is>
          <t>TRÚNG N3 🎯</t>
        </is>
      </c>
      <c r="O51" s="3" t="inlineStr">
        <is>
          <t>00, 01, 05, 06, 10, 14, 15, 19, 23, 24, 28, 29, 32, 33, 37, 38, 41, 42, 46, 47, 50, 51, 55, 56, 60, 64, 65, 69, 73, 74, 78, 79, 82, 83, 87, 88, 91, 92, 96, 97</t>
        </is>
      </c>
    </row>
    <row r="52">
      <c r="A52" s="2" t="n">
        <v>240</v>
      </c>
      <c r="B52" s="2" t="inlineStr">
        <is>
          <t>Thứ tư ngày 02-09-2026</t>
        </is>
      </c>
      <c r="C52" s="3" t="inlineStr">
        <is>
          <t>Thứ Ba</t>
        </is>
      </c>
      <c r="D52" s="3" t="inlineStr">
        <is>
          <t>44542</t>
        </is>
      </c>
      <c r="E52" s="3" t="inlineStr">
        <is>
          <t>42</t>
        </is>
      </c>
      <c r="F52" s="3" t="inlineStr">
        <is>
          <t>G7.3, G7.4</t>
        </is>
      </c>
      <c r="G52" s="3" t="inlineStr">
        <is>
          <t>Tổng 1, Tổng 4, Tổng 6, Tổng 9</t>
        </is>
      </c>
      <c r="H52" s="3" t="inlineStr">
        <is>
          <t>01345689</t>
        </is>
      </c>
      <c r="I52" s="3" t="inlineStr">
        <is>
          <t>Tổng 4-Bóng 9</t>
        </is>
      </c>
      <c r="J52" s="3" t="n">
        <v>36</v>
      </c>
      <c r="K52" s="6" t="inlineStr">
        <is>
          <t>TRÚNG N1 🎯</t>
        </is>
      </c>
      <c r="L52" s="3" t="inlineStr">
        <is>
          <t>01, 09, 10, 13, 18, 33, 38, 42, 45, 47, 51, 54, 60, 63, 65, 68, 79, 83, 90, 97</t>
        </is>
      </c>
      <c r="M52" s="6" t="inlineStr">
        <is>
          <t>TRÚNG HỎA LỰC 🎯</t>
        </is>
      </c>
      <c r="N52" s="6" t="inlineStr">
        <is>
          <t>TRÚNG N1 🎯</t>
        </is>
      </c>
      <c r="O52" s="3" t="inlineStr">
        <is>
          <t>01, 04, 06, 09, 10, 13, 15, 18, 24, 29, 31, 33, 36, 38, 40, 42, 45, 47, 51, 54, 56, 59, 60, 63, 65, 68, 74, 79, 81, 83, 86, 88, 90, 92, 95, 97</t>
        </is>
      </c>
    </row>
    <row r="53">
      <c r="A53" s="2" t="n">
        <v>239</v>
      </c>
      <c r="B53" s="2" t="inlineStr">
        <is>
          <t>Thứ ba ngày 01-09-2026</t>
        </is>
      </c>
      <c r="C53" s="3" t="inlineStr">
        <is>
          <t>Thứ Hai</t>
        </is>
      </c>
      <c r="D53" s="3" t="inlineStr">
        <is>
          <t>05521</t>
        </is>
      </c>
      <c r="E53" s="3" t="inlineStr">
        <is>
          <t>21</t>
        </is>
      </c>
      <c r="F53" s="3" t="inlineStr">
        <is>
          <t>G7.2, G7.4</t>
        </is>
      </c>
      <c r="G53" s="3" t="inlineStr">
        <is>
          <t>Tổng 2, Tổng 7</t>
        </is>
      </c>
      <c r="H53" s="3" t="inlineStr">
        <is>
          <t>02345789</t>
        </is>
      </c>
      <c r="I53" s="3" t="inlineStr">
        <is>
          <t>Tổng 7-Bóng 2</t>
        </is>
      </c>
      <c r="J53" s="3" t="n">
        <v>16</v>
      </c>
      <c r="K53" s="7" t="inlineStr">
        <is>
          <t>TRƯỢT ❌</t>
        </is>
      </c>
      <c r="L53" s="3" t="inlineStr">
        <is>
          <t>02, 07, 20, 25, 34, 39, 43, 48, 52, 57, 70, 75, 84, 89, 93, 98</t>
        </is>
      </c>
      <c r="M53" s="7" t="inlineStr">
        <is>
          <t>TRƯỢT ❌</t>
        </is>
      </c>
      <c r="N53" s="7" t="inlineStr">
        <is>
          <t>TRƯỢT KHUNG ❌</t>
        </is>
      </c>
      <c r="O53" s="3" t="inlineStr">
        <is>
          <t>02, 07, 20, 25, 34, 39, 43, 48, 52, 57, 70, 75, 84, 89, 93, 98</t>
        </is>
      </c>
    </row>
    <row r="54">
      <c r="A54" s="2" t="n">
        <v>238</v>
      </c>
      <c r="B54" s="2" t="inlineStr">
        <is>
          <t>Thứ hai ngày 31-08-2026</t>
        </is>
      </c>
      <c r="C54" s="3" t="inlineStr">
        <is>
          <t>Chủ Nhật</t>
        </is>
      </c>
      <c r="D54" s="3" t="inlineStr">
        <is>
          <t>35644</t>
        </is>
      </c>
      <c r="E54" s="3" t="inlineStr">
        <is>
          <t>44</t>
        </is>
      </c>
      <c r="F54" s="3" t="inlineStr">
        <is>
          <t>G7.3, G7.1</t>
        </is>
      </c>
      <c r="G54" s="3" t="inlineStr">
        <is>
          <t>Tổng 2, Tổng 4, Tổng 7, Tổng 9</t>
        </is>
      </c>
      <c r="H54" s="3" t="inlineStr">
        <is>
          <t>12346789</t>
        </is>
      </c>
      <c r="I54" s="3" t="inlineStr">
        <is>
          <t>Tổng 4-Bóng 9</t>
        </is>
      </c>
      <c r="J54" s="3" t="n">
        <v>40</v>
      </c>
      <c r="K54" s="7" t="inlineStr">
        <is>
          <t>TRƯỢT ❌</t>
        </is>
      </c>
      <c r="L54" s="3" t="inlineStr">
        <is>
          <t>09, 13, 16, 18, 22, 25, 34, 36, 39, 43, 45, 54, 57, 61, 63, 68, 70, 72, 89, 90</t>
        </is>
      </c>
      <c r="M54" s="7" t="inlineStr">
        <is>
          <t>TRƯỢT ❌</t>
        </is>
      </c>
      <c r="N54" s="7" t="inlineStr">
        <is>
          <t>TRƯỢT KHUNG ❌</t>
        </is>
      </c>
      <c r="O54" s="3" t="inlineStr">
        <is>
          <t>02, 04, 07, 09, 11, 13, 16, 18, 20, 22, 25, 27, 31, 34, 36, 39, 40, 43, 45, 48, 52, 54, 57, 59, 61, 63, 66, 68, 70, 72, 75, 77, 81, 84, 86, 89, 90, 93, 95, 98</t>
        </is>
      </c>
    </row>
    <row r="55">
      <c r="A55" s="2" t="n">
        <v>237</v>
      </c>
      <c r="B55" s="2" t="inlineStr">
        <is>
          <t>Chủ nhật ngày 30-08-2026</t>
        </is>
      </c>
      <c r="C55" s="3" t="inlineStr">
        <is>
          <t>Thứ Bảy</t>
        </is>
      </c>
      <c r="D55" s="3" t="inlineStr">
        <is>
          <t>83772</t>
        </is>
      </c>
      <c r="E55" s="3" t="inlineStr">
        <is>
          <t>72</t>
        </is>
      </c>
      <c r="F55" s="3" t="inlineStr">
        <is>
          <t>G7.1, G7.3</t>
        </is>
      </c>
      <c r="G55" s="3" t="inlineStr">
        <is>
          <t>Tổng 2, Tổng 3, Tổng 7, Tổng 8</t>
        </is>
      </c>
      <c r="H55" s="3" t="inlineStr">
        <is>
          <t>0123456789</t>
        </is>
      </c>
      <c r="I55" s="3" t="inlineStr">
        <is>
          <t>Tổng 7-Bóng 2</t>
        </is>
      </c>
      <c r="J55" s="3" t="n">
        <v>40</v>
      </c>
      <c r="K55" s="7" t="inlineStr">
        <is>
          <t>TRƯỢT ❌</t>
        </is>
      </c>
      <c r="L55" s="3" t="inlineStr">
        <is>
          <t>16, 17, 21, 25, 26, 34, 39, 43, 44, 53, 57, 61, 67, 70, 71, 80, 85, 89, 94, 99</t>
        </is>
      </c>
      <c r="M55" s="7" t="inlineStr">
        <is>
          <t>TRƯỢT ❌</t>
        </is>
      </c>
      <c r="N55" s="6" t="inlineStr">
        <is>
          <t>TRÚNG N2 🎯</t>
        </is>
      </c>
      <c r="O55" s="3" t="inlineStr">
        <is>
          <t>02, 03, 07, 08, 11, 12, 16, 17, 20, 21, 25, 26, 30, 34, 35, 39, 43, 44, 48, 49, 52, 53, 57, 58, 61, 62, 66, 67, 70, 71, 75, 76, 80, 84, 85, 89, 93, 94, 98, 99</t>
        </is>
      </c>
    </row>
    <row r="56">
      <c r="A56" s="2" t="n">
        <v>236</v>
      </c>
      <c r="B56" s="2" t="inlineStr">
        <is>
          <t>Thứ bảy ngày 29-08-2026</t>
        </is>
      </c>
      <c r="C56" s="3" t="inlineStr">
        <is>
          <t>Thứ Sáu</t>
        </is>
      </c>
      <c r="D56" s="3" t="inlineStr">
        <is>
          <t>90737</t>
        </is>
      </c>
      <c r="E56" s="3" t="inlineStr">
        <is>
          <t>37</t>
        </is>
      </c>
      <c r="F56" s="3" t="inlineStr">
        <is>
          <t>G7.1, G7.4</t>
        </is>
      </c>
      <c r="G56" s="3" t="inlineStr">
        <is>
          <t>Tổng 0, Tổng 1, Tổng 2, Tổng 5, Tổng 6, Tổng 7</t>
        </is>
      </c>
      <c r="H56" s="3" t="inlineStr">
        <is>
          <t>0123456789</t>
        </is>
      </c>
      <c r="I56" s="3" t="inlineStr">
        <is>
          <t>Tổng 6-Bóng 1</t>
        </is>
      </c>
      <c r="J56" s="3" t="n">
        <v>60</v>
      </c>
      <c r="K56" s="6" t="inlineStr">
        <is>
          <t>TRÚNG N1 🎯</t>
        </is>
      </c>
      <c r="L56" s="3" t="inlineStr">
        <is>
          <t>10, 16, 23, 25, 28, 33, 34, 38, 39, 43, 47, 57, 60, 61, 78, 79, 83, 89, 91, 96</t>
        </is>
      </c>
      <c r="M56" s="7" t="inlineStr">
        <is>
          <t>TRƯỢT ❌</t>
        </is>
      </c>
      <c r="N56" s="6" t="inlineStr">
        <is>
          <t>TRÚNG N1 🎯</t>
        </is>
      </c>
      <c r="O5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57">
      <c r="A57" s="2" t="n">
        <v>235</v>
      </c>
      <c r="B57" s="2" t="inlineStr">
        <is>
          <t>Thứ sáu ngày 28-08-2026</t>
        </is>
      </c>
      <c r="C57" s="3" t="inlineStr">
        <is>
          <t>Thứ Năm</t>
        </is>
      </c>
      <c r="D57" s="3" t="inlineStr">
        <is>
          <t>06168</t>
        </is>
      </c>
      <c r="E57" s="3" t="inlineStr">
        <is>
          <t>68</t>
        </is>
      </c>
      <c r="F57" s="3" t="inlineStr">
        <is>
          <t>G7.1, G7.4</t>
        </is>
      </c>
      <c r="G57" s="3" t="inlineStr">
        <is>
          <t>Tổng 1, Tổng 3, Tổng 6, Tổng 8</t>
        </is>
      </c>
      <c r="H57" s="3" t="inlineStr">
        <is>
          <t>01235678</t>
        </is>
      </c>
      <c r="I57" s="3" t="inlineStr">
        <is>
          <t>Tổng 1-Bóng 6</t>
        </is>
      </c>
      <c r="J57" s="3" t="n">
        <v>36</v>
      </c>
      <c r="K57" s="7" t="inlineStr">
        <is>
          <t>TRƯỢT ❌</t>
        </is>
      </c>
      <c r="L57" s="3" t="inlineStr">
        <is>
          <t>01, 10, 17, 21, 26, 33, 38, 42, 47, 51, 53, 60, 65, 67, 71, 79, 80, 83, 85, 97</t>
        </is>
      </c>
      <c r="M57" s="7" t="inlineStr">
        <is>
          <t>TRƯỢT ❌</t>
        </is>
      </c>
      <c r="N57" s="7" t="inlineStr">
        <is>
          <t>TRƯỢT KHUNG ❌</t>
        </is>
      </c>
      <c r="O57" s="3" t="inlineStr">
        <is>
          <t>01, 03, 06, 08, 10, 12, 15, 17, 21, 24, 26, 29, 30, 33, 35, 38, 42, 47, 51, 53, 56, 58, 60, 62, 65, 67, 71, 74, 76, 79, 80, 83, 85, 88, 92, 97</t>
        </is>
      </c>
    </row>
    <row r="58">
      <c r="A58" s="2" t="n">
        <v>234</v>
      </c>
      <c r="B58" s="2" t="inlineStr">
        <is>
          <t>Thứ năm ngày 27-08-2026</t>
        </is>
      </c>
      <c r="C58" s="3" t="inlineStr">
        <is>
          <t>Thứ Tư</t>
        </is>
      </c>
      <c r="D58" s="3" t="inlineStr">
        <is>
          <t>82645</t>
        </is>
      </c>
      <c r="E58" s="3" t="inlineStr">
        <is>
          <t>45</t>
        </is>
      </c>
      <c r="F58" s="3" t="inlineStr">
        <is>
          <t>G7.2, G7.4</t>
        </is>
      </c>
      <c r="G58" s="3" t="inlineStr">
        <is>
          <t>Tổng 0, Tổng 1, Tổng 4, Tổng 5, Tổng 6, Tổng 9</t>
        </is>
      </c>
      <c r="H58" s="3" t="inlineStr">
        <is>
          <t>12346789</t>
        </is>
      </c>
      <c r="I58" s="3" t="inlineStr">
        <is>
          <t>Tổng 1-Bóng 6</t>
        </is>
      </c>
      <c r="J58" s="3" t="n">
        <v>56</v>
      </c>
      <c r="K58" s="6" t="inlineStr">
        <is>
          <t>TRÚNG N1 🎯</t>
        </is>
      </c>
      <c r="L58" s="3" t="inlineStr">
        <is>
          <t>09, 10, 13, 18, 22, 23, 28, 33, 38, 42, 47, 54, 60, 63, 65, 78, 79, 83, 91, 96</t>
        </is>
      </c>
      <c r="M58" s="7" t="inlineStr">
        <is>
          <t>TRƯỢT ❌</t>
        </is>
      </c>
      <c r="N58" s="6" t="inlineStr">
        <is>
          <t>TRÚNG N1 🎯</t>
        </is>
      </c>
      <c r="O58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59">
      <c r="A59" s="2" t="n">
        <v>233</v>
      </c>
      <c r="B59" s="2" t="inlineStr">
        <is>
          <t>Thứ tư ngày 26-08-2026</t>
        </is>
      </c>
      <c r="C59" s="3" t="inlineStr">
        <is>
          <t>Thứ Ba</t>
        </is>
      </c>
      <c r="D59" s="3" t="inlineStr">
        <is>
          <t>85361</t>
        </is>
      </c>
      <c r="E59" s="3" t="inlineStr">
        <is>
          <t>61</t>
        </is>
      </c>
      <c r="F59" s="3" t="inlineStr">
        <is>
          <t>G7.3, G7.4</t>
        </is>
      </c>
      <c r="G59" s="3" t="inlineStr">
        <is>
          <t>Tổng 2, Tổng 3, Tổng 4, Tổng 7, Tổng 8, Tổng 9</t>
        </is>
      </c>
      <c r="H59" s="3" t="inlineStr">
        <is>
          <t>01345689</t>
        </is>
      </c>
      <c r="I59" s="3" t="inlineStr">
        <is>
          <t>Tổng 3-Bóng 8</t>
        </is>
      </c>
      <c r="J59" s="3" t="n">
        <v>56</v>
      </c>
      <c r="K59" s="6" t="inlineStr">
        <is>
          <t>TRÚNG N1 🎯</t>
        </is>
      </c>
      <c r="L59" s="3" t="inlineStr">
        <is>
          <t>09, 13, 16, 17, 18, 21, 25, 26, 34, 39, 43, 44, 53, 54, 57, 63, 67, 71, 80, 89</t>
        </is>
      </c>
      <c r="M59" s="7" t="inlineStr">
        <is>
          <t>TRƯỢT ❌</t>
        </is>
      </c>
      <c r="N59" s="6" t="inlineStr">
        <is>
          <t>TRÚNG N1 🎯</t>
        </is>
      </c>
      <c r="O59" s="3" t="inlineStr">
        <is>
          <t>02, 03, 04, 07, 08, 09, 11, 12, 13, 16, 17, 18, 20, 21, 25, 26, 30, 31, 34, 35, 36, 39, 40, 43, 44, 45, 48, 49, 52, 53, 54, 57, 58, 59, 61, 62, 63, 66, 67, 68, 70, 71, 75, 76, 80, 81, 84, 85, 86, 89, 90, 93, 94, 95, 98, 99</t>
        </is>
      </c>
    </row>
    <row r="60">
      <c r="A60" s="2" t="n">
        <v>232</v>
      </c>
      <c r="B60" s="2" t="inlineStr">
        <is>
          <t>Thứ ba ngày 25-08-2026</t>
        </is>
      </c>
      <c r="C60" s="3" t="inlineStr">
        <is>
          <t>Thứ Hai</t>
        </is>
      </c>
      <c r="D60" s="3" t="inlineStr">
        <is>
          <t>85080</t>
        </is>
      </c>
      <c r="E60" s="3" t="inlineStr">
        <is>
          <t>80</t>
        </is>
      </c>
      <c r="F60" s="3" t="inlineStr">
        <is>
          <t>G7.2, G7.4</t>
        </is>
      </c>
      <c r="G60" s="3" t="inlineStr">
        <is>
          <t>Tổng 2, Tổng 3, Tổng 7, Tổng 8</t>
        </is>
      </c>
      <c r="H60" s="3" t="inlineStr">
        <is>
          <t>0123456789</t>
        </is>
      </c>
      <c r="I60" s="3" t="inlineStr">
        <is>
          <t>Tổng 2-Bóng 7</t>
        </is>
      </c>
      <c r="J60" s="3" t="n">
        <v>40</v>
      </c>
      <c r="K60" s="6" t="inlineStr">
        <is>
          <t>TRÚNG N1 🎯</t>
        </is>
      </c>
      <c r="L60" s="3" t="inlineStr">
        <is>
          <t>08, 16, 17, 21, 25, 26, 34, 39, 43, 44, 52, 53, 57, 67, 70, 71, 85, 89, 94, 99</t>
        </is>
      </c>
      <c r="M60" s="7" t="inlineStr">
        <is>
          <t>TRƯỢT ❌</t>
        </is>
      </c>
      <c r="N60" s="6" t="inlineStr">
        <is>
          <t>TRÚNG N1 🎯</t>
        </is>
      </c>
      <c r="O60" s="3" t="inlineStr">
        <is>
          <t>02, 03, 07, 08, 11, 12, 16, 17, 20, 21, 25, 26, 30, 34, 35, 39, 43, 44, 48, 49, 52, 53, 57, 58, 61, 62, 66, 67, 70, 71, 75, 76, 80, 84, 85, 89, 93, 94, 98, 99</t>
        </is>
      </c>
    </row>
    <row r="61">
      <c r="A61" s="2" t="n">
        <v>231</v>
      </c>
      <c r="B61" s="2" t="inlineStr">
        <is>
          <t>Thứ hai ngày 24-08-2026</t>
        </is>
      </c>
      <c r="C61" s="3" t="inlineStr">
        <is>
          <t>Chủ Nhật</t>
        </is>
      </c>
      <c r="D61" s="3" t="inlineStr">
        <is>
          <t>36917</t>
        </is>
      </c>
      <c r="E61" s="3" t="inlineStr">
        <is>
          <t>17</t>
        </is>
      </c>
      <c r="F61" s="3" t="inlineStr">
        <is>
          <t>G7.3, G7.1</t>
        </is>
      </c>
      <c r="G61" s="3" t="inlineStr">
        <is>
          <t>Tổng 0, Tổng 1, Tổng 4, Tổng 5, Tổng 6, Tổng 9</t>
        </is>
      </c>
      <c r="H61" s="3" t="inlineStr">
        <is>
          <t>12346789</t>
        </is>
      </c>
      <c r="I61" s="3" t="inlineStr">
        <is>
          <t>Tổng 5-Bóng 0</t>
        </is>
      </c>
      <c r="J61" s="3" t="n">
        <v>56</v>
      </c>
      <c r="K61" s="7" t="inlineStr">
        <is>
          <t>TRƯỢT ❌</t>
        </is>
      </c>
      <c r="L61" s="3" t="inlineStr">
        <is>
          <t>09, 10, 13, 18, 22, 23, 28, 33, 38, 42, 47, 54, 60, 63, 65, 78, 79, 83, 91, 96</t>
        </is>
      </c>
      <c r="M61" s="7" t="inlineStr">
        <is>
          <t>TRƯỢT ❌</t>
        </is>
      </c>
      <c r="N61" s="7" t="inlineStr">
        <is>
          <t>TRƯỢT KHUNG ❌</t>
        </is>
      </c>
      <c r="O61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62">
      <c r="A62" s="2" t="n">
        <v>230</v>
      </c>
      <c r="B62" s="2" t="inlineStr">
        <is>
          <t>Chủ nhật ngày 23-08-2026</t>
        </is>
      </c>
      <c r="C62" s="3" t="inlineStr">
        <is>
          <t>Thứ Bảy</t>
        </is>
      </c>
      <c r="D62" s="3" t="inlineStr">
        <is>
          <t>37938</t>
        </is>
      </c>
      <c r="E62" s="3" t="inlineStr">
        <is>
          <t>38</t>
        </is>
      </c>
      <c r="F62" s="3" t="inlineStr">
        <is>
          <t>G7.1, G7.3</t>
        </is>
      </c>
      <c r="G62" s="3" t="inlineStr">
        <is>
          <t>Tổng 1, Tổng 3, Tổng 6, Tổng 8</t>
        </is>
      </c>
      <c r="H62" s="3" t="inlineStr">
        <is>
          <t>01245679</t>
        </is>
      </c>
      <c r="I62" s="3" t="inlineStr">
        <is>
          <t>Tổng 6-Bóng 1</t>
        </is>
      </c>
      <c r="J62" s="3" t="n">
        <v>36</v>
      </c>
      <c r="K62" s="7" t="inlineStr">
        <is>
          <t>TRƯỢT ❌</t>
        </is>
      </c>
      <c r="L62" s="3" t="inlineStr">
        <is>
          <t>01, 03, 08, 10, 21, 26, 42, 44, 47, 51, 53, 60, 65, 67, 71, 79, 85, 94, 97, 99</t>
        </is>
      </c>
      <c r="M62" s="7" t="inlineStr">
        <is>
          <t>TRƯỢT ❌</t>
        </is>
      </c>
      <c r="N62" s="6" t="inlineStr">
        <is>
          <t>TRÚNG N2 🎯</t>
        </is>
      </c>
      <c r="O62" s="3" t="inlineStr">
        <is>
          <t>01, 03, 06, 08, 10, 12, 15, 17, 21, 24, 26, 29, 30, 35, 42, 44, 47, 49, 51, 53, 56, 58, 60, 62, 65, 67, 71, 74, 76, 79, 80, 85, 92, 94, 97, 99</t>
        </is>
      </c>
    </row>
    <row r="63">
      <c r="A63" s="2" t="n">
        <v>229</v>
      </c>
      <c r="B63" s="2" t="inlineStr">
        <is>
          <t>Thứ bảy ngày 22-08-2026</t>
        </is>
      </c>
      <c r="C63" s="3" t="inlineStr">
        <is>
          <t>Thứ Sáu</t>
        </is>
      </c>
      <c r="D63" s="3" t="inlineStr">
        <is>
          <t>60213</t>
        </is>
      </c>
      <c r="E63" s="3" t="inlineStr">
        <is>
          <t>13</t>
        </is>
      </c>
      <c r="F63" s="3" t="inlineStr">
        <is>
          <t>G7.1, G7.4</t>
        </is>
      </c>
      <c r="G63" s="3" t="inlineStr">
        <is>
          <t>Tổng 1, Tổng 3, Tổng 4, Tổng 6, Tổng 8, Tổng 9</t>
        </is>
      </c>
      <c r="H63" s="3" t="inlineStr">
        <is>
          <t>0123456789</t>
        </is>
      </c>
      <c r="I63" s="3" t="inlineStr">
        <is>
          <t>Tổng 6-Bóng 1</t>
        </is>
      </c>
      <c r="J63" s="3" t="n">
        <v>60</v>
      </c>
      <c r="K63" s="6" t="inlineStr">
        <is>
          <t>TRÚNG N1 🎯</t>
        </is>
      </c>
      <c r="L63" s="3" t="inlineStr">
        <is>
          <t>04, 09, 10, 18, 21, 22, 26, 33, 38, 42, 44, 47, 51, 53, 54, 60, 65, 67, 79, 83</t>
        </is>
      </c>
      <c r="M63" s="7" t="inlineStr">
        <is>
          <t>TRƯỢT ❌</t>
        </is>
      </c>
      <c r="N63" s="6" t="inlineStr">
        <is>
          <t>TRÚNG N1 🎯</t>
        </is>
      </c>
      <c r="O6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64">
      <c r="A64" s="2" t="n">
        <v>228</v>
      </c>
      <c r="B64" s="2" t="inlineStr">
        <is>
          <t>Thứ sáu ngày 21-08-2026</t>
        </is>
      </c>
      <c r="C64" s="3" t="inlineStr">
        <is>
          <t>Thứ Năm</t>
        </is>
      </c>
      <c r="D64" s="3" t="inlineStr">
        <is>
          <t>94533</t>
        </is>
      </c>
      <c r="E64" s="3" t="inlineStr">
        <is>
          <t>33</t>
        </is>
      </c>
      <c r="F64" s="3" t="inlineStr">
        <is>
          <t>G7.1, G7.4</t>
        </is>
      </c>
      <c r="G64" s="3" t="inlineStr">
        <is>
          <t>Tổng 0, Tổng 1, Tổng 3, Tổng 5, Tổng 6, Tổng 8</t>
        </is>
      </c>
      <c r="H64" s="3" t="inlineStr">
        <is>
          <t>02345789</t>
        </is>
      </c>
      <c r="I64" s="3" t="inlineStr">
        <is>
          <t>Tổng 8-Bóng 3</t>
        </is>
      </c>
      <c r="J64" s="3" t="n">
        <v>60</v>
      </c>
      <c r="K64" s="6" t="inlineStr">
        <is>
          <t>TRÚNG N1 🎯</t>
        </is>
      </c>
      <c r="L64" s="3" t="inlineStr">
        <is>
          <t>00, 10, 21, 23, 26, 28, 38, 42, 44, 47, 51, 53, 60, 65, 67, 78, 79, 83, 91, 96</t>
        </is>
      </c>
      <c r="M64" s="7" t="inlineStr">
        <is>
          <t>TRƯỢT ❌</t>
        </is>
      </c>
      <c r="N64" s="6" t="inlineStr">
        <is>
          <t>TRÚNG N1 🎯</t>
        </is>
      </c>
      <c r="O6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5">
      <c r="A65" s="2" t="n">
        <v>227</v>
      </c>
      <c r="B65" s="2" t="inlineStr">
        <is>
          <t>Thứ năm ngày 20-08-2026</t>
        </is>
      </c>
      <c r="C65" s="3" t="inlineStr">
        <is>
          <t>Thứ Tư</t>
        </is>
      </c>
      <c r="D65" s="3" t="inlineStr">
        <is>
          <t>07523</t>
        </is>
      </c>
      <c r="E65" s="3" t="inlineStr">
        <is>
          <t>23</t>
        </is>
      </c>
      <c r="F65" s="3" t="inlineStr">
        <is>
          <t>G7.2, G7.4</t>
        </is>
      </c>
      <c r="G65" s="3" t="inlineStr">
        <is>
          <t>Tổng 0, Tổng 2, Tổng 4, Tổng 5, Tổng 7, Tổng 9</t>
        </is>
      </c>
      <c r="H65" s="3" t="inlineStr">
        <is>
          <t>0123456789</t>
        </is>
      </c>
      <c r="I65" s="3" t="inlineStr">
        <is>
          <t>Tổng 5-Bóng 0</t>
        </is>
      </c>
      <c r="J65" s="3" t="n">
        <v>60</v>
      </c>
      <c r="K65" s="6" t="inlineStr">
        <is>
          <t>TRÚNG N1 🎯</t>
        </is>
      </c>
      <c r="L65" s="3" t="inlineStr">
        <is>
          <t>00, 04, 09, 16, 18, 22, 23, 25, 28, 34, 36, 39, 43, 54, 57, 70, 78, 89, 91, 96</t>
        </is>
      </c>
      <c r="M65" s="6" t="inlineStr">
        <is>
          <t>TRÚNG HỎA LỰC 🎯</t>
        </is>
      </c>
      <c r="N65" s="6" t="inlineStr">
        <is>
          <t>TRÚNG N1 🎯</t>
        </is>
      </c>
      <c r="O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6">
      <c r="A66" s="2" t="n">
        <v>226</v>
      </c>
      <c r="B66" s="2" t="inlineStr">
        <is>
          <t>Thứ tư ngày 19-08-2026</t>
        </is>
      </c>
      <c r="C66" s="3" t="inlineStr">
        <is>
          <t>Thứ Ba</t>
        </is>
      </c>
      <c r="D66" s="3" t="inlineStr">
        <is>
          <t>13643</t>
        </is>
      </c>
      <c r="E66" s="3" t="inlineStr">
        <is>
          <t>43</t>
        </is>
      </c>
      <c r="F66" s="3" t="inlineStr">
        <is>
          <t>G7.3, G7.4</t>
        </is>
      </c>
      <c r="G66" s="3" t="inlineStr">
        <is>
          <t>Tổng 1, Tổng 3, Tổng 4, Tổng 6, Tổng 8, Tổng 9</t>
        </is>
      </c>
      <c r="H66" s="3" t="inlineStr">
        <is>
          <t>0123456789</t>
        </is>
      </c>
      <c r="I66" s="3" t="inlineStr">
        <is>
          <t>Tổng 8-Bóng 3</t>
        </is>
      </c>
      <c r="J66" s="3" t="n">
        <v>60</v>
      </c>
      <c r="K66" s="7" t="inlineStr">
        <is>
          <t>TRƯỢT ❌</t>
        </is>
      </c>
      <c r="L66" s="3" t="inlineStr">
        <is>
          <t>04, 09, 10, 18, 21, 22, 26, 36, 38, 42, 44, 47, 51, 53, 54, 60, 65, 67, 79, 83</t>
        </is>
      </c>
      <c r="M66" s="7" t="inlineStr">
        <is>
          <t>TRƯỢT ❌</t>
        </is>
      </c>
      <c r="N66" s="6" t="inlineStr">
        <is>
          <t>TRÚNG N3 🎯</t>
        </is>
      </c>
      <c r="O6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67">
      <c r="A67" s="2" t="n">
        <v>225</v>
      </c>
      <c r="B67" s="2" t="inlineStr">
        <is>
          <t>Thứ ba ngày 18-08-2026</t>
        </is>
      </c>
      <c r="C67" s="3" t="inlineStr">
        <is>
          <t>Thứ Hai</t>
        </is>
      </c>
      <c r="D67" s="3" t="inlineStr">
        <is>
          <t>29183</t>
        </is>
      </c>
      <c r="E67" s="3" t="inlineStr">
        <is>
          <t>83</t>
        </is>
      </c>
      <c r="F67" s="3" t="inlineStr">
        <is>
          <t>G7.2, G7.4</t>
        </is>
      </c>
      <c r="G67" s="3" t="inlineStr">
        <is>
          <t>Tổng 2, Tổng 3, Tổng 4, Tổng 7, Tổng 8, Tổng 9</t>
        </is>
      </c>
      <c r="H67" s="3" t="inlineStr">
        <is>
          <t>12346789</t>
        </is>
      </c>
      <c r="I67" s="3" t="inlineStr">
        <is>
          <t>Tổng 9-Bóng 4</t>
        </is>
      </c>
      <c r="J67" s="3" t="n">
        <v>60</v>
      </c>
      <c r="K67" s="7" t="inlineStr">
        <is>
          <t>TRƯỢT ❌</t>
        </is>
      </c>
      <c r="L67" s="3" t="inlineStr">
        <is>
          <t>04, 09, 16, 18, 21, 22, 25, 26, 34, 36, 39, 44, 53, 54, 57, 67, 68, 70, 85, 89</t>
        </is>
      </c>
      <c r="M67" s="7" t="inlineStr">
        <is>
          <t>TRƯỢT ❌</t>
        </is>
      </c>
      <c r="N67" s="6" t="inlineStr">
        <is>
          <t>TRÚNG N2 🎯</t>
        </is>
      </c>
      <c r="O6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8">
      <c r="A68" s="2" t="n">
        <v>224</v>
      </c>
      <c r="B68" s="2" t="inlineStr">
        <is>
          <t>Thứ hai ngày 17-08-2026</t>
        </is>
      </c>
      <c r="C68" s="3" t="inlineStr">
        <is>
          <t>Chủ Nhật</t>
        </is>
      </c>
      <c r="D68" s="3" t="inlineStr">
        <is>
          <t>01939</t>
        </is>
      </c>
      <c r="E68" s="3" t="inlineStr">
        <is>
          <t>39</t>
        </is>
      </c>
      <c r="F68" s="3" t="inlineStr">
        <is>
          <t>G7.3, G7.1</t>
        </is>
      </c>
      <c r="G68" s="3" t="inlineStr">
        <is>
          <t>Tổng 0, Tổng 1, Tổng 2, Tổng 5, Tổng 6, Tổng 7</t>
        </is>
      </c>
      <c r="H68" s="3" t="inlineStr">
        <is>
          <t>02345789</t>
        </is>
      </c>
      <c r="I68" s="3" t="inlineStr">
        <is>
          <t>Tổng 1-Bóng 6</t>
        </is>
      </c>
      <c r="J68" s="3" t="n">
        <v>56</v>
      </c>
      <c r="K68" s="6" t="inlineStr">
        <is>
          <t>TRÚNG N1 🎯</t>
        </is>
      </c>
      <c r="L68" s="3" t="inlineStr">
        <is>
          <t>00, 10, 23, 25, 28, 34, 38, 39, 42, 47, 51, 57, 60, 70, 78, 79, 83, 89, 91, 96</t>
        </is>
      </c>
      <c r="M68" s="6" t="inlineStr">
        <is>
          <t>TRÚNG HỎA LỰC 🎯</t>
        </is>
      </c>
      <c r="N68" s="6" t="inlineStr">
        <is>
          <t>TRÚNG N1 🎯</t>
        </is>
      </c>
      <c r="O68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69">
      <c r="A69" s="2" t="n">
        <v>223</v>
      </c>
      <c r="B69" s="2" t="inlineStr">
        <is>
          <t>Chủ nhật ngày 16-08-2026</t>
        </is>
      </c>
      <c r="C69" s="3" t="inlineStr">
        <is>
          <t>Thứ Bảy</t>
        </is>
      </c>
      <c r="D69" s="3" t="inlineStr">
        <is>
          <t>14696</t>
        </is>
      </c>
      <c r="E69" s="3" t="inlineStr">
        <is>
          <t>96</t>
        </is>
      </c>
      <c r="F69" s="3" t="inlineStr">
        <is>
          <t>G7.1, G7.3</t>
        </is>
      </c>
      <c r="G69" s="3" t="inlineStr">
        <is>
          <t>Tổng 1, Tổng 2, Tổng 6, Tổng 7</t>
        </is>
      </c>
      <c r="H69" s="3" t="inlineStr">
        <is>
          <t>0123456789</t>
        </is>
      </c>
      <c r="I69" s="3" t="inlineStr">
        <is>
          <t>Tổng 7-Bóng 2</t>
        </is>
      </c>
      <c r="J69" s="3" t="n">
        <v>40</v>
      </c>
      <c r="K69" s="7" t="inlineStr">
        <is>
          <t>TRƯỢT ❌</t>
        </is>
      </c>
      <c r="L69" s="3" t="inlineStr">
        <is>
          <t>01, 10, 16, 25, 34, 38, 39, 42, 47, 51, 52, 57, 60, 65, 70, 79, 83, 89, 93, 97</t>
        </is>
      </c>
      <c r="M69" s="7" t="inlineStr">
        <is>
          <t>TRƯỢT ❌</t>
        </is>
      </c>
      <c r="N69" s="6" t="inlineStr">
        <is>
          <t>TRÚNG N2 🎯</t>
        </is>
      </c>
      <c r="O69" s="3" t="inlineStr">
        <is>
          <t>01, 02, 06, 07, 10, 11, 15, 16, 20, 24, 25, 29, 33, 34, 38, 39, 42, 43, 47, 48, 51, 52, 56, 57, 60, 61, 65, 66, 70, 74, 75, 79, 83, 84, 88, 89, 92, 93, 97, 98</t>
        </is>
      </c>
    </row>
    <row r="70">
      <c r="A70" s="2" t="n">
        <v>222</v>
      </c>
      <c r="B70" s="2" t="inlineStr">
        <is>
          <t>Thứ bảy ngày 15-08-2026</t>
        </is>
      </c>
      <c r="C70" s="3" t="inlineStr">
        <is>
          <t>Thứ Sáu</t>
        </is>
      </c>
      <c r="D70" s="3" t="inlineStr">
        <is>
          <t>80278</t>
        </is>
      </c>
      <c r="E70" s="3" t="inlineStr">
        <is>
          <t>78</t>
        </is>
      </c>
      <c r="F70" s="3" t="inlineStr">
        <is>
          <t>G7.1, G7.4</t>
        </is>
      </c>
      <c r="G70" s="3" t="inlineStr">
        <is>
          <t>Tổng 0, Tổng 2, Tổng 3, Tổng 5, Tổng 7, Tổng 8</t>
        </is>
      </c>
      <c r="H70" s="3" t="inlineStr">
        <is>
          <t>01345689</t>
        </is>
      </c>
      <c r="I70" s="3" t="inlineStr">
        <is>
          <t>Tổng 8-Bóng 3</t>
        </is>
      </c>
      <c r="J70" s="3" t="n">
        <v>60</v>
      </c>
      <c r="K70" s="6" t="inlineStr">
        <is>
          <t>TRÚNG N1 🎯</t>
        </is>
      </c>
      <c r="L70" s="3" t="inlineStr">
        <is>
          <t>00, 16, 21, 23, 25, 26, 28, 34, 39, 44, 53, 57, 67, 70, 84, 85, 89, 91, 96, 99</t>
        </is>
      </c>
      <c r="M70" s="7" t="inlineStr">
        <is>
          <t>TRƯỢT ❌</t>
        </is>
      </c>
      <c r="N70" s="6" t="inlineStr">
        <is>
          <t>TRÚNG N1 🎯</t>
        </is>
      </c>
      <c r="O7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1">
      <c r="A71" s="2" t="n">
        <v>221</v>
      </c>
      <c r="B71" s="2" t="inlineStr">
        <is>
          <t>Thứ sáu ngày 14-08-2026</t>
        </is>
      </c>
      <c r="C71" s="3" t="inlineStr">
        <is>
          <t>Thứ Năm</t>
        </is>
      </c>
      <c r="D71" s="3" t="inlineStr">
        <is>
          <t>80018</t>
        </is>
      </c>
      <c r="E71" s="3" t="inlineStr">
        <is>
          <t>18</t>
        </is>
      </c>
      <c r="F71" s="3" t="inlineStr">
        <is>
          <t>G7.1, G7.4</t>
        </is>
      </c>
      <c r="G71" s="3" t="inlineStr">
        <is>
          <t>Tổng 0, Tổng 2, Tổng 5, Tổng 7</t>
        </is>
      </c>
      <c r="H71" s="3" t="inlineStr">
        <is>
          <t>12346789</t>
        </is>
      </c>
      <c r="I71" s="3" t="inlineStr">
        <is>
          <t>Tổng 5-Bóng 0</t>
        </is>
      </c>
      <c r="J71" s="3" t="n">
        <v>36</v>
      </c>
      <c r="K71" s="7" t="inlineStr">
        <is>
          <t>TRƯỢT ❌</t>
        </is>
      </c>
      <c r="L71" s="3" t="inlineStr">
        <is>
          <t>16, 19, 23, 25, 28, 32, 34, 37, 39, 52, 57, 61, 70, 78, 84, 87, 89, 91, 93, 96</t>
        </is>
      </c>
      <c r="M71" s="7" t="inlineStr">
        <is>
          <t>TRƯỢT ❌</t>
        </is>
      </c>
      <c r="N71" s="6" t="inlineStr">
        <is>
          <t>TRÚNG N2 🎯</t>
        </is>
      </c>
      <c r="O71" s="3" t="inlineStr">
        <is>
          <t>02, 07, 11, 14, 16, 19, 20, 23, 25, 28, 32, 34, 37, 39, 41, 43, 46, 48, 52, 57, 61, 64, 66, 69, 70, 73, 75, 78, 82, 84, 87, 89, 91, 93, 96, 98</t>
        </is>
      </c>
    </row>
    <row r="72">
      <c r="A72" s="2" t="n">
        <v>220</v>
      </c>
      <c r="B72" s="2" t="inlineStr">
        <is>
          <t>Thứ năm ngày 13-08-2026</t>
        </is>
      </c>
      <c r="C72" s="3" t="inlineStr">
        <is>
          <t>Thứ Tư</t>
        </is>
      </c>
      <c r="D72" s="3" t="inlineStr">
        <is>
          <t>79344</t>
        </is>
      </c>
      <c r="E72" s="3" t="inlineStr">
        <is>
          <t>44</t>
        </is>
      </c>
      <c r="F72" s="3" t="inlineStr">
        <is>
          <t>G7.2, G7.4</t>
        </is>
      </c>
      <c r="G72" s="3" t="inlineStr">
        <is>
          <t>Tổng 0, Tổng 1, Tổng 2, Tổng 5, Tổng 6, Tổng 7</t>
        </is>
      </c>
      <c r="H72" s="3" t="inlineStr">
        <is>
          <t>01245679</t>
        </is>
      </c>
      <c r="I72" s="3" t="inlineStr">
        <is>
          <t>Tổng 2-Bóng 7</t>
        </is>
      </c>
      <c r="J72" s="3" t="n">
        <v>56</v>
      </c>
      <c r="K72" s="7" t="inlineStr">
        <is>
          <t>TRƯỢT ❌</t>
        </is>
      </c>
      <c r="L72" s="3" t="inlineStr">
        <is>
          <t>00, 10, 16, 19, 23, 25, 28, 34, 39, 42, 47, 51, 57, 60, 70, 79, 84, 89, 91, 96</t>
        </is>
      </c>
      <c r="M72" s="7" t="inlineStr">
        <is>
          <t>TRƯỢT ❌</t>
        </is>
      </c>
      <c r="N72" s="6" t="inlineStr">
        <is>
          <t>TRÚNG N3 🎯</t>
        </is>
      </c>
      <c r="O7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73">
      <c r="A73" s="2" t="n">
        <v>219</v>
      </c>
      <c r="B73" s="2" t="inlineStr">
        <is>
          <t>Thứ tư ngày 12-08-2026</t>
        </is>
      </c>
      <c r="C73" s="3" t="inlineStr">
        <is>
          <t>Thứ Ba</t>
        </is>
      </c>
      <c r="D73" s="3" t="inlineStr">
        <is>
          <t>82326</t>
        </is>
      </c>
      <c r="E73" s="3" t="inlineStr">
        <is>
          <t>26</t>
        </is>
      </c>
      <c r="F73" s="3" t="inlineStr">
        <is>
          <t>G7.3, G7.4</t>
        </is>
      </c>
      <c r="G73" s="3" t="inlineStr">
        <is>
          <t>Tổng 0, Tổng 2, Tổng 4, Tổng 5, Tổng 7, Tổng 9</t>
        </is>
      </c>
      <c r="H73" s="3" t="inlineStr">
        <is>
          <t>024579</t>
        </is>
      </c>
      <c r="I73" s="3" t="inlineStr">
        <is>
          <t>Tổng 2-Bóng 7</t>
        </is>
      </c>
      <c r="J73" s="3" t="n">
        <v>48</v>
      </c>
      <c r="K73" s="7" t="inlineStr">
        <is>
          <t>TRƯỢT ❌</t>
        </is>
      </c>
      <c r="L73" s="3" t="inlineStr">
        <is>
          <t>00, 04, 09, 19, 22, 23, 25, 28, 34, 39, 52, 54, 55, 57, 70, 84, 89, 90, 91, 96</t>
        </is>
      </c>
      <c r="M73" s="7" t="inlineStr">
        <is>
          <t>TRƯỢT ❌</t>
        </is>
      </c>
      <c r="N73" s="7" t="inlineStr">
        <is>
          <t>TRƯỢT KHUNG ❌</t>
        </is>
      </c>
      <c r="O73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74">
      <c r="A74" s="2" t="n">
        <v>218</v>
      </c>
      <c r="B74" s="2" t="inlineStr">
        <is>
          <t>Thứ ba ngày 11-08-2026</t>
        </is>
      </c>
      <c r="C74" s="3" t="inlineStr">
        <is>
          <t>Thứ Hai</t>
        </is>
      </c>
      <c r="D74" s="3" t="inlineStr">
        <is>
          <t>92191</t>
        </is>
      </c>
      <c r="E74" s="3" t="inlineStr">
        <is>
          <t>91</t>
        </is>
      </c>
      <c r="F74" s="3" t="inlineStr">
        <is>
          <t>G7.2, G7.4</t>
        </is>
      </c>
      <c r="G74" s="3" t="inlineStr">
        <is>
          <t>Tổng 0, Tổng 1, Tổng 2, Tổng 5, Tổng 6, Tổng 7</t>
        </is>
      </c>
      <c r="H74" s="3" t="inlineStr">
        <is>
          <t>0123456789</t>
        </is>
      </c>
      <c r="I74" s="3" t="inlineStr">
        <is>
          <t>Tổng 5-Bóng 0</t>
        </is>
      </c>
      <c r="J74" s="3" t="n">
        <v>60</v>
      </c>
      <c r="K74" s="6" t="inlineStr">
        <is>
          <t>TRÚNG N1 🎯</t>
        </is>
      </c>
      <c r="L74" s="3" t="inlineStr">
        <is>
          <t>00, 10, 16, 19, 23, 25, 28, 34, 38, 39, 42, 47, 51, 57, 60, 70, 79, 83, 89, 96</t>
        </is>
      </c>
      <c r="M74" s="7" t="inlineStr">
        <is>
          <t>TRƯỢT ❌</t>
        </is>
      </c>
      <c r="N74" s="6" t="inlineStr">
        <is>
          <t>TRÚNG N1 🎯</t>
        </is>
      </c>
      <c r="O7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75">
      <c r="A75" s="2" t="n">
        <v>217</v>
      </c>
      <c r="B75" s="2" t="inlineStr">
        <is>
          <t>Thứ hai ngày 10-08-2026</t>
        </is>
      </c>
      <c r="C75" s="3" t="inlineStr">
        <is>
          <t>Chủ Nhật</t>
        </is>
      </c>
      <c r="D75" s="3" t="inlineStr">
        <is>
          <t>92957</t>
        </is>
      </c>
      <c r="E75" s="3" t="inlineStr">
        <is>
          <t>57</t>
        </is>
      </c>
      <c r="F75" s="3" t="inlineStr">
        <is>
          <t>G7.3, G7.1</t>
        </is>
      </c>
      <c r="G75" s="3" t="inlineStr">
        <is>
          <t>Tổng 1, Tổng 3, Tổng 4, Tổng 6, Tổng 8, Tổng 9</t>
        </is>
      </c>
      <c r="H75" s="3" t="inlineStr">
        <is>
          <t>124679</t>
        </is>
      </c>
      <c r="I75" s="3" t="inlineStr">
        <is>
          <t>Tổng 9-Bóng 4</t>
        </is>
      </c>
      <c r="J75" s="3" t="n">
        <v>48</v>
      </c>
      <c r="K75" s="7" t="inlineStr">
        <is>
          <t>TRƯỢT ❌</t>
        </is>
      </c>
      <c r="L75" s="3" t="inlineStr">
        <is>
          <t>01, 04, 09, 10, 21, 22, 36, 42, 47, 51, 54, 60, 63, 65, 67, 68, 79, 90, 94, 99</t>
        </is>
      </c>
      <c r="M75" s="7" t="inlineStr">
        <is>
          <t>TRƯỢT ❌</t>
        </is>
      </c>
      <c r="N75" s="6" t="inlineStr">
        <is>
          <t>TRÚNG N3 🎯</t>
        </is>
      </c>
      <c r="O75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76">
      <c r="A76" s="2" t="n">
        <v>216</v>
      </c>
      <c r="B76" s="2" t="inlineStr">
        <is>
          <t>Chủ nhật ngày 09-08-2026</t>
        </is>
      </c>
      <c r="C76" s="3" t="inlineStr">
        <is>
          <t>Thứ Bảy</t>
        </is>
      </c>
      <c r="D76" s="3" t="inlineStr">
        <is>
          <t>12221</t>
        </is>
      </c>
      <c r="E76" s="3" t="inlineStr">
        <is>
          <t>21</t>
        </is>
      </c>
      <c r="F76" s="3" t="inlineStr">
        <is>
          <t>G7.1, G7.3</t>
        </is>
      </c>
      <c r="G76" s="3" t="inlineStr">
        <is>
          <t>Tổng 3, Tổng 4, Tổng 8, Tổng 9</t>
        </is>
      </c>
      <c r="H76" s="3" t="inlineStr">
        <is>
          <t>02345789</t>
        </is>
      </c>
      <c r="I76" s="3" t="inlineStr">
        <is>
          <t>Tổng 4-Bóng 9</t>
        </is>
      </c>
      <c r="J76" s="3" t="n">
        <v>40</v>
      </c>
      <c r="K76" s="6" t="inlineStr">
        <is>
          <t>TRÚNG N1 🎯</t>
        </is>
      </c>
      <c r="L76" s="3" t="inlineStr">
        <is>
          <t>03, 04, 08, 09, 13, 17, 22, 36, 53, 54, 63, 67, 68, 71, 80, 81, 85, 90, 94, 99</t>
        </is>
      </c>
      <c r="M76" s="7" t="inlineStr">
        <is>
          <t>TRƯỢT ❌</t>
        </is>
      </c>
      <c r="N76" s="6" t="inlineStr">
        <is>
          <t>TRÚNG N1 🎯</t>
        </is>
      </c>
      <c r="O76" s="3" t="inlineStr">
        <is>
          <t>03, 04, 08, 09, 12, 13, 17, 18, 21, 22, 26, 27, 30, 31, 35, 36, 40, 44, 45, 49, 53, 54, 58, 59, 62, 63, 67, 68, 71, 72, 76, 77, 80, 81, 85, 86, 90, 94, 95, 99</t>
        </is>
      </c>
    </row>
    <row r="77">
      <c r="A77" s="2" t="n">
        <v>215</v>
      </c>
      <c r="B77" s="2" t="inlineStr">
        <is>
          <t>Thứ bảy ngày 08-08-2026</t>
        </is>
      </c>
      <c r="C77" s="3" t="inlineStr">
        <is>
          <t>Thứ Sáu</t>
        </is>
      </c>
      <c r="D77" s="3" t="inlineStr">
        <is>
          <t>04922</t>
        </is>
      </c>
      <c r="E77" s="3" t="inlineStr">
        <is>
          <t>22</t>
        </is>
      </c>
      <c r="F77" s="3" t="inlineStr">
        <is>
          <t>G7.1, G7.4</t>
        </is>
      </c>
      <c r="G77" s="3" t="inlineStr">
        <is>
          <t>Tổng 1, Tổng 3, Tổng 4, Tổng 6, Tổng 8, Tổng 9</t>
        </is>
      </c>
      <c r="H77" s="3" t="inlineStr">
        <is>
          <t>0123456789</t>
        </is>
      </c>
      <c r="I77" s="3" t="inlineStr">
        <is>
          <t>Tổng 4-Bóng 9</t>
        </is>
      </c>
      <c r="J77" s="3" t="n">
        <v>60</v>
      </c>
      <c r="K77" s="6" t="inlineStr">
        <is>
          <t>TRÚNG N1 🎯</t>
        </is>
      </c>
      <c r="L77" s="3" t="inlineStr">
        <is>
          <t>01, 04, 09, 10, 36, 38, 42, 47, 51, 54, 60, 63, 67, 68, 79, 83, 85, 90, 94, 99</t>
        </is>
      </c>
      <c r="M77" s="7" t="inlineStr">
        <is>
          <t>TRƯỢT ❌</t>
        </is>
      </c>
      <c r="N77" s="6" t="inlineStr">
        <is>
          <t>TRÚNG N1 🎯</t>
        </is>
      </c>
      <c r="O7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8">
      <c r="A78" s="2" t="n">
        <v>214</v>
      </c>
      <c r="B78" s="2" t="inlineStr">
        <is>
          <t>Thứ sáu ngày 07-08-2026</t>
        </is>
      </c>
      <c r="C78" s="3" t="inlineStr">
        <is>
          <t>Thứ Năm</t>
        </is>
      </c>
      <c r="D78" s="3" t="inlineStr">
        <is>
          <t>16479</t>
        </is>
      </c>
      <c r="E78" s="3" t="inlineStr">
        <is>
          <t>79</t>
        </is>
      </c>
      <c r="F78" s="3" t="inlineStr">
        <is>
          <t>G7.4, G7.1</t>
        </is>
      </c>
      <c r="G78" s="3" t="inlineStr">
        <is>
          <t>Tổng 2, Tổng 3, Tổng 7, Tổng 8</t>
        </is>
      </c>
      <c r="H78" s="3" t="inlineStr">
        <is>
          <t>01345689</t>
        </is>
      </c>
      <c r="I78" s="3" t="inlineStr">
        <is>
          <t>Tổng 2-Bóng 7</t>
        </is>
      </c>
      <c r="J78" s="3" t="n">
        <v>40</v>
      </c>
      <c r="K78" s="7" t="inlineStr">
        <is>
          <t>TRƯỢT ❌</t>
        </is>
      </c>
      <c r="L78" s="3" t="inlineStr">
        <is>
          <t>03, 08, 16, 17, 25, 34, 39, 52, 53, 61, 67, 70, 71, 80, 84, 85, 89, 93, 94, 99</t>
        </is>
      </c>
      <c r="M78" s="7" t="inlineStr">
        <is>
          <t>TRƯỢT ❌</t>
        </is>
      </c>
      <c r="N78" s="6" t="inlineStr">
        <is>
          <t>TRÚNG N3 🎯</t>
        </is>
      </c>
      <c r="O78" s="3" t="inlineStr">
        <is>
          <t>02, 03, 07, 08, 11, 12, 16, 17, 20, 21, 25, 26, 30, 34, 35, 39, 43, 44, 48, 49, 52, 53, 57, 58, 61, 62, 66, 67, 70, 71, 75, 76, 80, 84, 85, 89, 93, 94, 98, 99</t>
        </is>
      </c>
    </row>
    <row r="79">
      <c r="A79" s="2" t="n">
        <v>213</v>
      </c>
      <c r="B79" s="2" t="inlineStr">
        <is>
          <t>Thứ năm ngày 06-08-2026</t>
        </is>
      </c>
      <c r="C79" s="3" t="inlineStr">
        <is>
          <t>Thứ Tư</t>
        </is>
      </c>
      <c r="D79" s="3" t="inlineStr">
        <is>
          <t>26167</t>
        </is>
      </c>
      <c r="E79" s="3" t="inlineStr">
        <is>
          <t>67</t>
        </is>
      </c>
      <c r="F79" s="3" t="inlineStr">
        <is>
          <t>G7.2, G7.4</t>
        </is>
      </c>
      <c r="G79" s="3" t="inlineStr">
        <is>
          <t>Tổng 0, Tổng 1, Tổng 4, Tổng 5, Tổng 6, Tổng 9</t>
        </is>
      </c>
      <c r="H79" s="3" t="inlineStr">
        <is>
          <t>0123456789</t>
        </is>
      </c>
      <c r="I79" s="3" t="inlineStr">
        <is>
          <t>Tổng 0-Bóng 5</t>
        </is>
      </c>
      <c r="J79" s="3" t="n">
        <v>60</v>
      </c>
      <c r="K79" s="7" t="inlineStr">
        <is>
          <t>TRƯỢT ❌</t>
        </is>
      </c>
      <c r="L79" s="3" t="inlineStr">
        <is>
          <t>00, 01, 04, 09, 10, 19, 23, 28, 36, 38, 42, 47, 51, 54, 60, 63, 79, 83, 90, 96</t>
        </is>
      </c>
      <c r="M79" s="7" t="inlineStr">
        <is>
          <t>TRƯỢT ❌</t>
        </is>
      </c>
      <c r="N79" s="6" t="inlineStr">
        <is>
          <t>TRÚNG N2 🎯</t>
        </is>
      </c>
      <c r="O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0">
      <c r="A80" s="2" t="n">
        <v>212</v>
      </c>
      <c r="B80" s="2" t="inlineStr">
        <is>
          <t>Thứ tư ngày 05-08-2026</t>
        </is>
      </c>
      <c r="C80" s="3" t="inlineStr">
        <is>
          <t>Thứ Ba</t>
        </is>
      </c>
      <c r="D80" s="3" t="inlineStr">
        <is>
          <t>59760</t>
        </is>
      </c>
      <c r="E80" s="3" t="inlineStr">
        <is>
          <t>60</t>
        </is>
      </c>
      <c r="F80" s="3" t="inlineStr">
        <is>
          <t>G7.3, G7.4</t>
        </is>
      </c>
      <c r="G80" s="3" t="inlineStr">
        <is>
          <t>Tổng 0, Tổng 3, Tổng 4, Tổng 5, Tổng 8, Tổng 9</t>
        </is>
      </c>
      <c r="H80" s="3" t="inlineStr">
        <is>
          <t>234789</t>
        </is>
      </c>
      <c r="I80" s="3" t="inlineStr">
        <is>
          <t>Tổng 9-Bóng 4</t>
        </is>
      </c>
      <c r="J80" s="3" t="n">
        <v>56</v>
      </c>
      <c r="K80" s="7" t="inlineStr">
        <is>
          <t>TRƯỢT ❌</t>
        </is>
      </c>
      <c r="L80" s="3" t="inlineStr">
        <is>
          <t>03, 04, 08, 09, 14, 19, 23, 28, 36, 53, 54, 63, 67, 68, 71, 85, 90, 94, 96, 99</t>
        </is>
      </c>
      <c r="M80" s="7" t="inlineStr">
        <is>
          <t>TRƯỢT ❌</t>
        </is>
      </c>
      <c r="N80" s="6" t="inlineStr">
        <is>
          <t>TRÚNG N2 🎯</t>
        </is>
      </c>
      <c r="O80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81">
      <c r="A81" s="2" t="n">
        <v>211</v>
      </c>
      <c r="B81" s="2" t="inlineStr">
        <is>
          <t>Thứ ba ngày 04-08-2026</t>
        </is>
      </c>
      <c r="C81" s="3" t="inlineStr">
        <is>
          <t>Thứ Hai</t>
        </is>
      </c>
      <c r="D81" s="3" t="inlineStr">
        <is>
          <t>51125</t>
        </is>
      </c>
      <c r="E81" s="3" t="inlineStr">
        <is>
          <t>25</t>
        </is>
      </c>
      <c r="F81" s="3" t="inlineStr">
        <is>
          <t>G7.2, G7.4</t>
        </is>
      </c>
      <c r="G81" s="3" t="inlineStr">
        <is>
          <t>Tổng 0, Tổng 1, Tổng 4, Tổng 5, Tổng 6, Tổng 9</t>
        </is>
      </c>
      <c r="H81" s="3" t="inlineStr">
        <is>
          <t>0123456789</t>
        </is>
      </c>
      <c r="I81" s="3" t="inlineStr">
        <is>
          <t>Tổng 6-Bóng 1</t>
        </is>
      </c>
      <c r="J81" s="3" t="n">
        <v>60</v>
      </c>
      <c r="K81" s="7" t="inlineStr">
        <is>
          <t>TRƯỢT ❌</t>
        </is>
      </c>
      <c r="L81" s="3" t="inlineStr">
        <is>
          <t>00, 01, 04, 09, 10, 19, 23, 28, 38, 42, 47, 51, 54, 63, 65, 79, 83, 90, 96, 97</t>
        </is>
      </c>
      <c r="M81" s="7" t="inlineStr">
        <is>
          <t>TRƯỢT ❌</t>
        </is>
      </c>
      <c r="N81" s="6" t="inlineStr">
        <is>
          <t>TRÚNG N2 🎯</t>
        </is>
      </c>
      <c r="O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2">
      <c r="A82" s="2" t="n">
        <v>210</v>
      </c>
      <c r="B82" s="2" t="inlineStr">
        <is>
          <t>Thứ hai ngày 03-08-2026</t>
        </is>
      </c>
      <c r="C82" s="3" t="inlineStr">
        <is>
          <t>Chủ Nhật</t>
        </is>
      </c>
      <c r="D82" s="3" t="inlineStr">
        <is>
          <t>79247</t>
        </is>
      </c>
      <c r="E82" s="3" t="inlineStr">
        <is>
          <t>47</t>
        </is>
      </c>
      <c r="F82" s="3" t="inlineStr">
        <is>
          <t>G7.3, G7.1</t>
        </is>
      </c>
      <c r="G82" s="3" t="inlineStr">
        <is>
          <t>Tổng 0, Tổng 2, Tổng 4, Tổng 5, Tổng 7, Tổng 9</t>
        </is>
      </c>
      <c r="H82" s="3" t="inlineStr">
        <is>
          <t>0123456789</t>
        </is>
      </c>
      <c r="I82" s="3" t="inlineStr">
        <is>
          <t>Tổng 9-Bóng 4</t>
        </is>
      </c>
      <c r="J82" s="3" t="n">
        <v>60</v>
      </c>
      <c r="K82" s="7" t="inlineStr">
        <is>
          <t>TRƯỢT ❌</t>
        </is>
      </c>
      <c r="L82" s="3" t="inlineStr">
        <is>
          <t>00, 04, 09, 16, 19, 23, 28, 34, 36, 39, 52, 54, 63, 68, 70, 84, 87, 89, 90, 96</t>
        </is>
      </c>
      <c r="M82" s="7" t="inlineStr">
        <is>
          <t>TRƯỢT ❌</t>
        </is>
      </c>
      <c r="N82" s="6" t="inlineStr">
        <is>
          <t>TRÚNG N2 🎯</t>
        </is>
      </c>
      <c r="O8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83">
      <c r="A83" s="2" t="n">
        <v>209</v>
      </c>
      <c r="B83" s="2" t="inlineStr">
        <is>
          <t>Chủ nhật ngày 02-08-2026</t>
        </is>
      </c>
      <c r="C83" s="3" t="inlineStr">
        <is>
          <t>Thứ Bảy</t>
        </is>
      </c>
      <c r="D83" s="3" t="inlineStr">
        <is>
          <t>11909</t>
        </is>
      </c>
      <c r="E83" s="3" t="inlineStr">
        <is>
          <t>09</t>
        </is>
      </c>
      <c r="F83" s="3" t="inlineStr">
        <is>
          <t>G7.1, G7.3</t>
        </is>
      </c>
      <c r="G83" s="3" t="inlineStr">
        <is>
          <t>Tổng 0, Tổng 1, Tổng 2, Tổng 5, Tổng 6, Tổng 7</t>
        </is>
      </c>
      <c r="H83" s="3" t="inlineStr">
        <is>
          <t>0123456789</t>
        </is>
      </c>
      <c r="I83" s="3" t="inlineStr">
        <is>
          <t>Tổng 5-Bóng 0</t>
        </is>
      </c>
      <c r="J83" s="3" t="n">
        <v>60</v>
      </c>
      <c r="K83" s="7" t="inlineStr">
        <is>
          <t>TRƯỢT ❌</t>
        </is>
      </c>
      <c r="L83" s="3" t="inlineStr">
        <is>
          <t>00, 01, 10, 16, 19, 23, 28, 34, 38, 39, 47, 51, 65, 70, 79, 83, 87, 89, 96, 97</t>
        </is>
      </c>
      <c r="M83" s="7" t="inlineStr">
        <is>
          <t>TRƯỢT ❌</t>
        </is>
      </c>
      <c r="N83" s="6" t="inlineStr">
        <is>
          <t>TRÚNG N2 🎯</t>
        </is>
      </c>
      <c r="O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4">
      <c r="A84" s="2" t="n">
        <v>208</v>
      </c>
      <c r="B84" s="2" t="inlineStr">
        <is>
          <t>Thứ bảy ngày 01-08-2026</t>
        </is>
      </c>
      <c r="C84" s="3" t="inlineStr">
        <is>
          <t>Thứ Sáu</t>
        </is>
      </c>
      <c r="D84" s="3" t="inlineStr">
        <is>
          <t>44823</t>
        </is>
      </c>
      <c r="E84" s="3" t="inlineStr">
        <is>
          <t>23</t>
        </is>
      </c>
      <c r="F84" s="3" t="inlineStr">
        <is>
          <t>G7.1, G7.4</t>
        </is>
      </c>
      <c r="G84" s="3" t="inlineStr">
        <is>
          <t>Tổng 1, Tổng 4, Tổng 6, Tổng 9</t>
        </is>
      </c>
      <c r="H84" s="3" t="inlineStr">
        <is>
          <t>01345689</t>
        </is>
      </c>
      <c r="I84" s="3" t="inlineStr">
        <is>
          <t>Tổng 4-Bóng 9</t>
        </is>
      </c>
      <c r="J84" s="3" t="n">
        <v>36</v>
      </c>
      <c r="K84" s="7" t="inlineStr">
        <is>
          <t>TRƯỢT ❌</t>
        </is>
      </c>
      <c r="L84" s="3" t="inlineStr">
        <is>
          <t>01, 04, 10, 13, 36, 38, 40, 42, 47, 51, 54, 60, 63, 65, 68, 79, 83, 90, 92, 97</t>
        </is>
      </c>
      <c r="M84" s="7" t="inlineStr">
        <is>
          <t>TRƯỢT ❌</t>
        </is>
      </c>
      <c r="N84" s="6" t="inlineStr">
        <is>
          <t>TRÚNG N2 🎯</t>
        </is>
      </c>
      <c r="O84" s="3" t="inlineStr">
        <is>
          <t>01, 04, 06, 09, 10, 13, 15, 18, 24, 29, 31, 33, 36, 38, 40, 42, 45, 47, 51, 54, 56, 59, 60, 63, 65, 68, 74, 79, 81, 83, 86, 88, 90, 92, 95, 97</t>
        </is>
      </c>
    </row>
    <row r="85">
      <c r="A85" s="2" t="n">
        <v>207</v>
      </c>
      <c r="B85" s="2" t="inlineStr">
        <is>
          <t>Thứ sáu ngày 31-07-2026</t>
        </is>
      </c>
      <c r="C85" s="3" t="inlineStr">
        <is>
          <t>Thứ Năm</t>
        </is>
      </c>
      <c r="D85" s="3" t="inlineStr">
        <is>
          <t>41710</t>
        </is>
      </c>
      <c r="E85" s="3" t="inlineStr">
        <is>
          <t>10</t>
        </is>
      </c>
      <c r="F85" s="3" t="inlineStr">
        <is>
          <t>G7.4, G7.1</t>
        </is>
      </c>
      <c r="G85" s="3" t="inlineStr">
        <is>
          <t>Tổng 0, Tổng 1, Tổng 4, Tổng 5, Tổng 6, Tổng 9</t>
        </is>
      </c>
      <c r="H85" s="3" t="inlineStr">
        <is>
          <t>0123456789</t>
        </is>
      </c>
      <c r="I85" s="3" t="inlineStr">
        <is>
          <t>Tổng 0-Bóng 5</t>
        </is>
      </c>
      <c r="J85" s="3" t="n">
        <v>60</v>
      </c>
      <c r="K85" s="6" t="inlineStr">
        <is>
          <t>TRÚNG N1 🎯</t>
        </is>
      </c>
      <c r="L85" s="3" t="inlineStr">
        <is>
          <t>00, 01, 04, 19, 28, 36, 38, 42, 47, 51, 54, 63, 65, 68, 79, 83, 87, 90, 96, 97</t>
        </is>
      </c>
      <c r="M85" s="7" t="inlineStr">
        <is>
          <t>TRƯỢT ❌</t>
        </is>
      </c>
      <c r="N85" s="6" t="inlineStr">
        <is>
          <t>TRÚNG N1 🎯</t>
        </is>
      </c>
      <c r="O8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6">
      <c r="A86" s="2" t="n">
        <v>206</v>
      </c>
      <c r="B86" s="2" t="inlineStr">
        <is>
          <t>Thứ năm ngày 30-07-2026</t>
        </is>
      </c>
      <c r="C86" s="3" t="inlineStr">
        <is>
          <t>Thứ Tư</t>
        </is>
      </c>
      <c r="D86" s="3" t="inlineStr">
        <is>
          <t>50834</t>
        </is>
      </c>
      <c r="E86" s="3" t="inlineStr">
        <is>
          <t>34</t>
        </is>
      </c>
      <c r="F86" s="3" t="inlineStr">
        <is>
          <t>G7.2, G7.4</t>
        </is>
      </c>
      <c r="G86" s="3" t="inlineStr">
        <is>
          <t>Tổng 2, Tổng 3, Tổng 4, Tổng 7, Tổng 8, Tổng 9</t>
        </is>
      </c>
      <c r="H86" s="3" t="inlineStr">
        <is>
          <t>0123456789</t>
        </is>
      </c>
      <c r="I86" s="3" t="inlineStr">
        <is>
          <t>Tổng 8-Bóng 3</t>
        </is>
      </c>
      <c r="J86" s="3" t="n">
        <v>60</v>
      </c>
      <c r="K86" s="6" t="inlineStr">
        <is>
          <t>TRÚNG N1 🎯</t>
        </is>
      </c>
      <c r="L86" s="3" t="inlineStr">
        <is>
          <t>04, 08, 16, 36, 39, 52, 53, 54, 63, 67, 68, 70, 71, 84, 85, 89, 90, 93, 94, 99</t>
        </is>
      </c>
      <c r="M86" s="7" t="inlineStr">
        <is>
          <t>TRƯỢT ❌</t>
        </is>
      </c>
      <c r="N86" s="6" t="inlineStr">
        <is>
          <t>TRÚNG N1 🎯</t>
        </is>
      </c>
      <c r="O8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7">
      <c r="A87" s="2" t="n">
        <v>205</v>
      </c>
      <c r="B87" s="2" t="inlineStr">
        <is>
          <t>Thứ tư ngày 29-07-2026</t>
        </is>
      </c>
      <c r="C87" s="3" t="inlineStr">
        <is>
          <t>Thứ Ba</t>
        </is>
      </c>
      <c r="D87" s="3" t="inlineStr">
        <is>
          <t>39983</t>
        </is>
      </c>
      <c r="E87" s="3" t="inlineStr">
        <is>
          <t>83</t>
        </is>
      </c>
      <c r="F87" s="3" t="inlineStr">
        <is>
          <t>G7.3, G7.4</t>
        </is>
      </c>
      <c r="G87" s="3" t="inlineStr">
        <is>
          <t>Tổng 0, Tổng 1, Tổng 5, Tổng 6</t>
        </is>
      </c>
      <c r="H87" s="3" t="inlineStr">
        <is>
          <t>01345689</t>
        </is>
      </c>
      <c r="I87" s="3" t="inlineStr">
        <is>
          <t>Tổng 6-Bóng 1</t>
        </is>
      </c>
      <c r="J87" s="3" t="n">
        <v>40</v>
      </c>
      <c r="K87" s="6" t="inlineStr">
        <is>
          <t>TRÚNG N1 🎯</t>
        </is>
      </c>
      <c r="L87" s="3" t="inlineStr">
        <is>
          <t>00, 01, 05, 19, 23, 28, 32, 37, 38, 42, 47, 51, 60, 65, 78, 79, 83, 87, 96, 97</t>
        </is>
      </c>
      <c r="M87" s="6" t="inlineStr">
        <is>
          <t>TRÚNG HỎA LỰC 🎯</t>
        </is>
      </c>
      <c r="N87" s="6" t="inlineStr">
        <is>
          <t>TRÚNG N1 🎯</t>
        </is>
      </c>
      <c r="O87" s="3" t="inlineStr">
        <is>
          <t>00, 01, 05, 06, 10, 14, 15, 19, 23, 24, 28, 29, 32, 33, 37, 38, 41, 42, 46, 47, 50, 51, 55, 56, 60, 64, 65, 69, 73, 74, 78, 79, 82, 83, 87, 88, 91, 92, 96, 97</t>
        </is>
      </c>
    </row>
    <row r="88">
      <c r="A88" s="2" t="n">
        <v>204</v>
      </c>
      <c r="B88" s="2" t="inlineStr">
        <is>
          <t>Thứ ba ngày 28-07-2026</t>
        </is>
      </c>
      <c r="C88" s="3" t="inlineStr">
        <is>
          <t>Thứ Hai</t>
        </is>
      </c>
      <c r="D88" s="3" t="inlineStr">
        <is>
          <t>65000</t>
        </is>
      </c>
      <c r="E88" s="3" t="inlineStr">
        <is>
          <t>00</t>
        </is>
      </c>
      <c r="F88" s="3" t="inlineStr">
        <is>
          <t>G7.4, G7.2</t>
        </is>
      </c>
      <c r="G88" s="3" t="inlineStr">
        <is>
          <t>Tổng 0, Tổng 1, Tổng 2, Tổng 5, Tổng 6, Tổng 7</t>
        </is>
      </c>
      <c r="H88" s="3" t="inlineStr">
        <is>
          <t>02345789</t>
        </is>
      </c>
      <c r="I88" s="3" t="inlineStr">
        <is>
          <t>Tổng 0-Bóng 5</t>
        </is>
      </c>
      <c r="J88" s="3" t="n">
        <v>56</v>
      </c>
      <c r="K88" s="6" t="inlineStr">
        <is>
          <t>TRÚNG N1 🎯</t>
        </is>
      </c>
      <c r="L88" s="3" t="inlineStr">
        <is>
          <t>01, 19, 23, 28, 32, 38, 39, 42, 47, 51, 52, 65, 70, 79, 83, 84, 87, 89, 96, 97</t>
        </is>
      </c>
      <c r="M88" s="7" t="inlineStr">
        <is>
          <t>TRƯỢT ❌</t>
        </is>
      </c>
      <c r="N88" s="6" t="inlineStr">
        <is>
          <t>TRÚNG N1 🎯</t>
        </is>
      </c>
      <c r="O88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89">
      <c r="A89" s="2" t="n">
        <v>203</v>
      </c>
      <c r="B89" s="2" t="inlineStr">
        <is>
          <t>Thứ hai ngày 27-07-2026</t>
        </is>
      </c>
      <c r="C89" s="3" t="inlineStr">
        <is>
          <t>Chủ Nhật</t>
        </is>
      </c>
      <c r="D89" s="3" t="inlineStr">
        <is>
          <t>54796</t>
        </is>
      </c>
      <c r="E89" s="3" t="inlineStr">
        <is>
          <t>96</t>
        </is>
      </c>
      <c r="F89" s="3" t="inlineStr">
        <is>
          <t>G7.3, G7.1</t>
        </is>
      </c>
      <c r="G89" s="3" t="inlineStr">
        <is>
          <t>Tổng 0, Tổng 2, Tổng 3, Tổng 5, Tổng 7, Tổng 8</t>
        </is>
      </c>
      <c r="H89" s="3" t="inlineStr">
        <is>
          <t>01235678</t>
        </is>
      </c>
      <c r="I89" s="3" t="inlineStr">
        <is>
          <t>Tổng 3-Bóng 8</t>
        </is>
      </c>
      <c r="J89" s="3" t="n">
        <v>56</v>
      </c>
      <c r="K89" s="6" t="inlineStr">
        <is>
          <t>TRÚNG N1 🎯</t>
        </is>
      </c>
      <c r="L89" s="3" t="inlineStr">
        <is>
          <t>03, 05, 08, 16, 19, 23, 28, 32, 37, 39, 52, 53, 67, 70, 71, 84, 85, 87, 89, 93</t>
        </is>
      </c>
      <c r="M89" s="7" t="inlineStr">
        <is>
          <t>TRƯỢT ❌</t>
        </is>
      </c>
      <c r="N89" s="6" t="inlineStr">
        <is>
          <t>TRÚNG N1 🎯</t>
        </is>
      </c>
      <c r="O89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90">
      <c r="A90" s="2" t="n">
        <v>202</v>
      </c>
      <c r="B90" s="2" t="inlineStr">
        <is>
          <t>Chủ nhật ngày 26-07-2026</t>
        </is>
      </c>
      <c r="C90" s="3" t="inlineStr">
        <is>
          <t>Thứ Bảy</t>
        </is>
      </c>
      <c r="D90" s="3" t="inlineStr">
        <is>
          <t>42916</t>
        </is>
      </c>
      <c r="E90" s="3" t="inlineStr">
        <is>
          <t>16</t>
        </is>
      </c>
      <c r="F90" s="3" t="inlineStr">
        <is>
          <t>G7.1, G7.3</t>
        </is>
      </c>
      <c r="G90" s="3" t="inlineStr">
        <is>
          <t>Tổng 0, Tổng 3, Tổng 5, Tổng 8</t>
        </is>
      </c>
      <c r="H90" s="3" t="inlineStr">
        <is>
          <t>0123456789</t>
        </is>
      </c>
      <c r="I90" s="3" t="inlineStr">
        <is>
          <t>Tổng 5-Bóng 0</t>
        </is>
      </c>
      <c r="J90" s="3" t="n">
        <v>40</v>
      </c>
      <c r="K90" s="7" t="inlineStr">
        <is>
          <t>TRƯỢT ❌</t>
        </is>
      </c>
      <c r="L90" s="3" t="inlineStr">
        <is>
          <t>00, 03, 05, 08, 14, 19, 23, 28, 32, 37, 50, 53, 55, 67, 71, 78, 85, 87, 94, 99</t>
        </is>
      </c>
      <c r="M90" s="7" t="inlineStr">
        <is>
          <t>TRƯỢT ❌</t>
        </is>
      </c>
      <c r="N90" s="6" t="inlineStr">
        <is>
          <t>TRÚNG N2 🎯</t>
        </is>
      </c>
      <c r="O90" s="3" t="inlineStr">
        <is>
          <t>00, 03, 05, 08, 12, 14, 17, 19, 21, 23, 26, 28, 30, 32, 35, 37, 41, 44, 46, 49, 50, 53, 55, 58, 62, 64, 67, 69, 71, 73, 76, 78, 80, 82, 85, 87, 91, 94, 96, 99</t>
        </is>
      </c>
    </row>
    <row r="91">
      <c r="A91" s="2" t="n">
        <v>201</v>
      </c>
      <c r="B91" s="2" t="inlineStr">
        <is>
          <t>Thứ bảy ngày 25-07-2026</t>
        </is>
      </c>
      <c r="C91" s="3" t="inlineStr">
        <is>
          <t>Thứ Sáu</t>
        </is>
      </c>
      <c r="D91" s="3" t="inlineStr">
        <is>
          <t>89228</t>
        </is>
      </c>
      <c r="E91" s="3" t="inlineStr">
        <is>
          <t>28</t>
        </is>
      </c>
      <c r="F91" s="3" t="inlineStr">
        <is>
          <t>G7.4, G7.1</t>
        </is>
      </c>
      <c r="G91" s="3" t="inlineStr">
        <is>
          <t>Tổng 0, Tổng 1, Tổng 2, Tổng 5, Tổng 6, Tổng 7</t>
        </is>
      </c>
      <c r="H91" s="3" t="inlineStr">
        <is>
          <t>0123456789</t>
        </is>
      </c>
      <c r="I91" s="3" t="inlineStr">
        <is>
          <t>Tổng 2-Bóng 7</t>
        </is>
      </c>
      <c r="J91" s="3" t="n">
        <v>60</v>
      </c>
      <c r="K91" s="6" t="inlineStr">
        <is>
          <t>TRÚNG N1 🎯</t>
        </is>
      </c>
      <c r="L91" s="3" t="inlineStr">
        <is>
          <t>01, 16, 19, 23, 28, 32, 38, 39, 42, 47, 51, 52, 65, 70, 79, 83, 84, 87, 89, 97</t>
        </is>
      </c>
      <c r="M91" s="6" t="inlineStr">
        <is>
          <t>TRÚNG HỎA LỰC 🎯</t>
        </is>
      </c>
      <c r="N91" s="6" t="inlineStr">
        <is>
          <t>TRÚNG N1 🎯</t>
        </is>
      </c>
      <c r="O9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92">
      <c r="A92" s="2" t="n">
        <v>200</v>
      </c>
      <c r="B92" s="2" t="inlineStr">
        <is>
          <t>Thứ sáu ngày 24-07-2026</t>
        </is>
      </c>
      <c r="C92" s="3" t="inlineStr">
        <is>
          <t>Thứ Năm</t>
        </is>
      </c>
      <c r="D92" s="3" t="inlineStr">
        <is>
          <t>94738</t>
        </is>
      </c>
      <c r="E92" s="3" t="inlineStr">
        <is>
          <t>38</t>
        </is>
      </c>
      <c r="F92" s="3" t="inlineStr">
        <is>
          <t>G7.4, G7.1</t>
        </is>
      </c>
      <c r="G92" s="3" t="inlineStr">
        <is>
          <t>Tổng 0, Tổng 3, Tổng 4, Tổng 5, Tổng 8, Tổng 9</t>
        </is>
      </c>
      <c r="H92" s="3" t="inlineStr">
        <is>
          <t>0123456789</t>
        </is>
      </c>
      <c r="I92" s="3" t="inlineStr">
        <is>
          <t>Tổng 5-Bóng 0</t>
        </is>
      </c>
      <c r="J92" s="3" t="n">
        <v>60</v>
      </c>
      <c r="K92" s="7" t="inlineStr">
        <is>
          <t>TRƯỢT ❌</t>
        </is>
      </c>
      <c r="L92" s="3" t="inlineStr">
        <is>
          <t>04, 08, 13, 19, 23, 28, 32, 36, 37, 53, 54, 63, 67, 68, 71, 85, 87, 90, 94, 99</t>
        </is>
      </c>
      <c r="M92" s="7" t="inlineStr">
        <is>
          <t>TRƯỢT ❌</t>
        </is>
      </c>
      <c r="N92" s="6" t="inlineStr">
        <is>
          <t>TRÚNG N2 🎯</t>
        </is>
      </c>
      <c r="O9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93">
      <c r="A93" s="2" t="n">
        <v>199</v>
      </c>
      <c r="B93" s="2" t="inlineStr">
        <is>
          <t>Thứ năm ngày 23-07-2026</t>
        </is>
      </c>
      <c r="C93" s="3" t="inlineStr">
        <is>
          <t>Thứ Tư</t>
        </is>
      </c>
      <c r="D93" s="3" t="inlineStr">
        <is>
          <t>78754</t>
        </is>
      </c>
      <c r="E93" s="3" t="inlineStr">
        <is>
          <t>54</t>
        </is>
      </c>
      <c r="F93" s="3" t="inlineStr">
        <is>
          <t>G7.2, G7.4</t>
        </is>
      </c>
      <c r="G93" s="3" t="inlineStr">
        <is>
          <t>Tổng 0, Tổng 2, Tổng 4, Tổng 5, Tổng 7, Tổng 9</t>
        </is>
      </c>
      <c r="H93" s="3" t="inlineStr">
        <is>
          <t>01245679</t>
        </is>
      </c>
      <c r="I93" s="3" t="inlineStr">
        <is>
          <t>Tổng 2-Bóng 7</t>
        </is>
      </c>
      <c r="J93" s="3" t="n">
        <v>60</v>
      </c>
      <c r="K93" s="6" t="inlineStr">
        <is>
          <t>TRÚNG N1 🎯</t>
        </is>
      </c>
      <c r="L93" s="3" t="inlineStr">
        <is>
          <t>04, 13, 16, 19, 23, 28, 32, 36, 37, 39, 52, 54, 63, 68, 70, 84, 87, 89, 90, 93</t>
        </is>
      </c>
      <c r="M93" s="6" t="inlineStr">
        <is>
          <t>TRÚNG HỎA LỰC 🎯</t>
        </is>
      </c>
      <c r="N93" s="6" t="inlineStr">
        <is>
          <t>TRÚNG N1 🎯</t>
        </is>
      </c>
      <c r="O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94">
      <c r="A94" s="2" t="n">
        <v>198</v>
      </c>
      <c r="B94" s="2" t="inlineStr">
        <is>
          <t>Thứ tư ngày 22-07-2026</t>
        </is>
      </c>
      <c r="C94" s="3" t="inlineStr">
        <is>
          <t>Thứ Ba</t>
        </is>
      </c>
      <c r="D94" s="3" t="inlineStr">
        <is>
          <t>92154</t>
        </is>
      </c>
      <c r="E94" s="3" t="inlineStr">
        <is>
          <t>54</t>
        </is>
      </c>
      <c r="F94" s="3" t="inlineStr">
        <is>
          <t>G7.3, G7.4</t>
        </is>
      </c>
      <c r="G94" s="3" t="inlineStr">
        <is>
          <t>Tổng 1, Tổng 3, Tổng 4, Tổng 6, Tổng 8, Tổng 9</t>
        </is>
      </c>
      <c r="H94" s="3" t="inlineStr">
        <is>
          <t>02345789</t>
        </is>
      </c>
      <c r="I94" s="3" t="inlineStr">
        <is>
          <t>Tổng 8-Bóng 3</t>
        </is>
      </c>
      <c r="J94" s="3" t="n">
        <v>60</v>
      </c>
      <c r="K94" s="6" t="inlineStr">
        <is>
          <t>TRÚNG N1 🎯</t>
        </is>
      </c>
      <c r="L94" s="3" t="inlineStr">
        <is>
          <t>01, 04, 36, 38, 42, 47, 51, 53, 54, 63, 65, 67, 71, 79, 83, 85, 90, 94, 97, 99</t>
        </is>
      </c>
      <c r="M94" s="6" t="inlineStr">
        <is>
          <t>TRÚNG HỎA LỰC 🎯</t>
        </is>
      </c>
      <c r="N94" s="6" t="inlineStr">
        <is>
          <t>TRÚNG N1 🎯</t>
        </is>
      </c>
      <c r="O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5">
      <c r="A95" s="2" t="n">
        <v>197</v>
      </c>
      <c r="B95" s="2" t="inlineStr">
        <is>
          <t>Thứ ba ngày 21-07-2026</t>
        </is>
      </c>
      <c r="C95" s="3" t="inlineStr">
        <is>
          <t>Thứ Hai</t>
        </is>
      </c>
      <c r="D95" s="3" t="inlineStr">
        <is>
          <t>73070</t>
        </is>
      </c>
      <c r="E95" s="3" t="inlineStr">
        <is>
          <t>70</t>
        </is>
      </c>
      <c r="F95" s="3" t="inlineStr">
        <is>
          <t>G7.4, G7.2</t>
        </is>
      </c>
      <c r="G95" s="3" t="inlineStr">
        <is>
          <t>Tổng 3, Tổng 4, Tổng 8, Tổng 9</t>
        </is>
      </c>
      <c r="H95" s="3" t="inlineStr">
        <is>
          <t>01345689</t>
        </is>
      </c>
      <c r="I95" s="3" t="inlineStr">
        <is>
          <t>Tổng 3-Bóng 8</t>
        </is>
      </c>
      <c r="J95" s="3" t="n">
        <v>36</v>
      </c>
      <c r="K95" s="7" t="inlineStr">
        <is>
          <t>TRƯỢT ❌</t>
        </is>
      </c>
      <c r="L95" s="3" t="inlineStr">
        <is>
          <t>03, 04, 08, 13, 17, 21, 36, 40, 53, 54, 63, 67, 68, 71, 80, 81, 85, 90, 94, 99</t>
        </is>
      </c>
      <c r="M95" s="7" t="inlineStr">
        <is>
          <t>TRƯỢT ❌</t>
        </is>
      </c>
      <c r="N95" s="6" t="inlineStr">
        <is>
          <t>TRÚNG N2 🎯</t>
        </is>
      </c>
      <c r="O95" s="3" t="inlineStr">
        <is>
          <t>03, 04, 08, 09, 12, 13, 17, 18, 21, 26, 30, 31, 35, 36, 40, 44, 45, 49, 53, 54, 58, 59, 62, 63, 67, 68, 71, 76, 80, 81, 85, 86, 90, 94, 95, 99</t>
        </is>
      </c>
    </row>
    <row r="96">
      <c r="A96" s="2" t="n">
        <v>196</v>
      </c>
      <c r="B96" s="2" t="inlineStr">
        <is>
          <t>Thứ hai ngày 20-07-2026</t>
        </is>
      </c>
      <c r="C96" s="3" t="inlineStr">
        <is>
          <t>Chủ Nhật</t>
        </is>
      </c>
      <c r="D96" s="3" t="inlineStr">
        <is>
          <t>39128</t>
        </is>
      </c>
      <c r="E96" s="3" t="inlineStr">
        <is>
          <t>28</t>
        </is>
      </c>
      <c r="F96" s="3" t="inlineStr">
        <is>
          <t>G7.3, G7.1</t>
        </is>
      </c>
      <c r="G96" s="3" t="inlineStr">
        <is>
          <t>Tổng 0, Tổng 2, Tổng 4, Tổng 5, Tổng 7, Tổng 9</t>
        </is>
      </c>
      <c r="H96" s="3" t="inlineStr">
        <is>
          <t>01235678</t>
        </is>
      </c>
      <c r="I96" s="3" t="inlineStr">
        <is>
          <t>Tổng 5-Bóng 0</t>
        </is>
      </c>
      <c r="J96" s="3" t="n">
        <v>60</v>
      </c>
      <c r="K96" s="6" t="inlineStr">
        <is>
          <t>TRÚNG N1 🎯</t>
        </is>
      </c>
      <c r="L96" s="3" t="inlineStr">
        <is>
          <t>04, 05, 13, 16, 19, 23, 32, 36, 37, 39, 52, 54, 63, 68, 78, 84, 87, 89, 90, 93</t>
        </is>
      </c>
      <c r="M96" s="7" t="inlineStr">
        <is>
          <t>TRƯỢT ❌</t>
        </is>
      </c>
      <c r="N96" s="6" t="inlineStr">
        <is>
          <t>TRÚNG N1 🎯</t>
        </is>
      </c>
      <c r="O9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97">
      <c r="A97" s="2" t="n">
        <v>195</v>
      </c>
      <c r="B97" s="2" t="inlineStr">
        <is>
          <t>Chủ nhật ngày 19-07-2026</t>
        </is>
      </c>
      <c r="C97" s="3" t="inlineStr">
        <is>
          <t>Thứ Bảy</t>
        </is>
      </c>
      <c r="D97" s="3" t="inlineStr">
        <is>
          <t>46438</t>
        </is>
      </c>
      <c r="E97" s="3" t="inlineStr">
        <is>
          <t>38</t>
        </is>
      </c>
      <c r="F97" s="3" t="inlineStr">
        <is>
          <t>G7.1, G7.3</t>
        </is>
      </c>
      <c r="G97" s="3" t="inlineStr">
        <is>
          <t>Tổng 3, Tổng 4, Tổng 8, Tổng 9</t>
        </is>
      </c>
      <c r="H97" s="3" t="inlineStr">
        <is>
          <t>01345689</t>
        </is>
      </c>
      <c r="I97" s="3" t="inlineStr">
        <is>
          <t>Tổng 8-Bóng 3</t>
        </is>
      </c>
      <c r="J97" s="3" t="n">
        <v>36</v>
      </c>
      <c r="K97" s="7" t="inlineStr">
        <is>
          <t>TRƯỢT ❌</t>
        </is>
      </c>
      <c r="L97" s="3" t="inlineStr">
        <is>
          <t>03, 04, 08, 13, 17, 21, 36, 53, 54, 63, 67, 68, 71, 76, 80, 81, 85, 90, 94, 99</t>
        </is>
      </c>
      <c r="M97" s="7" t="inlineStr">
        <is>
          <t>TRƯỢT ❌</t>
        </is>
      </c>
      <c r="N97" s="7" t="inlineStr">
        <is>
          <t>TRƯỢT KHUNG ❌</t>
        </is>
      </c>
      <c r="O97" s="3" t="inlineStr">
        <is>
          <t>03, 04, 08, 09, 12, 13, 17, 18, 21, 26, 30, 31, 35, 36, 40, 44, 45, 49, 53, 54, 58, 59, 62, 63, 67, 68, 71, 76, 80, 81, 85, 86, 90, 94, 95, 99</t>
        </is>
      </c>
    </row>
    <row r="98">
      <c r="A98" s="2" t="n">
        <v>194</v>
      </c>
      <c r="B98" s="2" t="inlineStr">
        <is>
          <t>Thứ bảy ngày 18-07-2026</t>
        </is>
      </c>
      <c r="C98" s="3" t="inlineStr">
        <is>
          <t>Thứ Sáu</t>
        </is>
      </c>
      <c r="D98" s="3" t="inlineStr">
        <is>
          <t>26890</t>
        </is>
      </c>
      <c r="E98" s="3" t="inlineStr">
        <is>
          <t>90</t>
        </is>
      </c>
      <c r="F98" s="3" t="inlineStr">
        <is>
          <t>G7.4, G7.2</t>
        </is>
      </c>
      <c r="G98" s="3" t="inlineStr">
        <is>
          <t>Tổng 3, Tổng 4, Tổng 8, Tổng 9</t>
        </is>
      </c>
      <c r="H98" s="3" t="inlineStr">
        <is>
          <t>0123456789</t>
        </is>
      </c>
      <c r="I98" s="3" t="inlineStr">
        <is>
          <t>Tổng 8-Bóng 3</t>
        </is>
      </c>
      <c r="J98" s="3" t="n">
        <v>40</v>
      </c>
      <c r="K98" s="6" t="inlineStr">
        <is>
          <t>TRÚNG N1 🎯</t>
        </is>
      </c>
      <c r="L98" s="3" t="inlineStr">
        <is>
          <t>03, 04, 08, 13, 17, 21, 36, 40, 53, 54, 63, 67, 68, 71, 76, 80, 81, 85, 94, 99</t>
        </is>
      </c>
      <c r="M98" s="7" t="inlineStr">
        <is>
          <t>TRƯỢT ❌</t>
        </is>
      </c>
      <c r="N98" s="6" t="inlineStr">
        <is>
          <t>TRÚNG N1 🎯</t>
        </is>
      </c>
      <c r="O98" s="3" t="inlineStr">
        <is>
          <t>03, 04, 08, 09, 12, 13, 17, 18, 21, 22, 26, 27, 30, 31, 35, 36, 40, 44, 45, 49, 53, 54, 58, 59, 62, 63, 67, 68, 71, 72, 76, 77, 80, 81, 85, 86, 90, 94, 95, 99</t>
        </is>
      </c>
    </row>
    <row r="99">
      <c r="A99" s="2" t="n">
        <v>193</v>
      </c>
      <c r="B99" s="2" t="inlineStr">
        <is>
          <t>Thứ sáu ngày 17-07-2026</t>
        </is>
      </c>
      <c r="C99" s="3" t="inlineStr">
        <is>
          <t>Thứ Năm</t>
        </is>
      </c>
      <c r="D99" s="3" t="inlineStr">
        <is>
          <t>45739</t>
        </is>
      </c>
      <c r="E99" s="3" t="inlineStr">
        <is>
          <t>39</t>
        </is>
      </c>
      <c r="F99" s="3" t="inlineStr">
        <is>
          <t>G7.4, G7.1</t>
        </is>
      </c>
      <c r="G99" s="3" t="inlineStr">
        <is>
          <t>Tổng 2, Tổng 7</t>
        </is>
      </c>
      <c r="H99" s="3" t="inlineStr">
        <is>
          <t>01345689</t>
        </is>
      </c>
      <c r="I99" s="3" t="inlineStr">
        <is>
          <t>Tổng 7-Bóng 2</t>
        </is>
      </c>
      <c r="J99" s="3" t="n">
        <v>20</v>
      </c>
      <c r="K99" s="6" t="inlineStr">
        <is>
          <t>TRÚNG N1 🎯</t>
        </is>
      </c>
      <c r="L99" s="3" t="inlineStr">
        <is>
          <t>02, 07, 11, 16, 20, 25, 34, 39, 43, 48, 52, 57, 61, 66, 70, 75, 84, 89, 93, 98</t>
        </is>
      </c>
      <c r="M99" s="6" t="inlineStr">
        <is>
          <t>TRÚNG HỎA LỰC 🎯</t>
        </is>
      </c>
      <c r="N99" s="6" t="inlineStr">
        <is>
          <t>TRÚNG N1 🎯</t>
        </is>
      </c>
      <c r="O99" s="3" t="inlineStr">
        <is>
          <t>02, 07, 11, 16, 20, 25, 34, 39, 43, 48, 52, 57, 61, 66, 70, 75, 84, 89, 93, 98</t>
        </is>
      </c>
    </row>
    <row r="100">
      <c r="A100" s="2" t="n">
        <v>192</v>
      </c>
      <c r="B100" s="2" t="inlineStr">
        <is>
          <t>Thứ năm ngày 16-07-2026</t>
        </is>
      </c>
      <c r="C100" s="3" t="inlineStr">
        <is>
          <t>Thứ Tư</t>
        </is>
      </c>
      <c r="D100" s="3" t="inlineStr">
        <is>
          <t>96763</t>
        </is>
      </c>
      <c r="E100" s="3" t="inlineStr">
        <is>
          <t>63</t>
        </is>
      </c>
      <c r="F100" s="3" t="inlineStr">
        <is>
          <t>G7.2, G7.4</t>
        </is>
      </c>
      <c r="G100" s="3" t="inlineStr">
        <is>
          <t>Tổng 1, Tổng 3, Tổng 4, Tổng 6, Tổng 8, Tổng 9</t>
        </is>
      </c>
      <c r="H100" s="3" t="inlineStr">
        <is>
          <t>02345789</t>
        </is>
      </c>
      <c r="I100" s="3" t="inlineStr">
        <is>
          <t>Tổng 9-Bóng 4</t>
        </is>
      </c>
      <c r="J100" s="3" t="n">
        <v>60</v>
      </c>
      <c r="K100" s="6" t="inlineStr">
        <is>
          <t>TRÚNG N1 🎯</t>
        </is>
      </c>
      <c r="L100" s="3" t="inlineStr">
        <is>
          <t>01, 03, 04, 36, 42, 47, 51, 53, 54, 60, 65, 67, 68, 71, 79, 83, 85, 94, 97, 99</t>
        </is>
      </c>
      <c r="M100" s="7" t="inlineStr">
        <is>
          <t>TRƯỢT ❌</t>
        </is>
      </c>
      <c r="N100" s="6" t="inlineStr">
        <is>
          <t>TRÚNG N1 🎯</t>
        </is>
      </c>
      <c r="O1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01">
      <c r="A101" s="2" t="n">
        <v>191</v>
      </c>
      <c r="B101" s="2" t="inlineStr">
        <is>
          <t>Thứ tư ngày 15-07-2026</t>
        </is>
      </c>
      <c r="C101" s="3" t="inlineStr">
        <is>
          <t>Thứ Ba</t>
        </is>
      </c>
      <c r="D101" s="3" t="inlineStr">
        <is>
          <t>36119</t>
        </is>
      </c>
      <c r="E101" s="3" t="inlineStr">
        <is>
          <t>19</t>
        </is>
      </c>
      <c r="F101" s="3" t="inlineStr">
        <is>
          <t>G7.3, G7.1</t>
        </is>
      </c>
      <c r="G101" s="3" t="inlineStr">
        <is>
          <t>Tổng 0, Tổng 1, Tổng 4, Tổng 5, Tổng 6, Tổng 9</t>
        </is>
      </c>
      <c r="H101" s="3" t="inlineStr">
        <is>
          <t>0123456789</t>
        </is>
      </c>
      <c r="I101" s="3" t="inlineStr">
        <is>
          <t>Tổng 1-Bóng 6</t>
        </is>
      </c>
      <c r="J101" s="3" t="n">
        <v>60</v>
      </c>
      <c r="K101" s="6" t="inlineStr">
        <is>
          <t>TRÚNG N1 🎯</t>
        </is>
      </c>
      <c r="L101" s="3" t="inlineStr">
        <is>
          <t>01, 04, 05, 13, 23, 32, 36, 37, 42, 47, 51, 54, 55, 60, 65, 68, 79, 83, 87, 97</t>
        </is>
      </c>
      <c r="M101" s="7" t="inlineStr">
        <is>
          <t>TRƯỢT ❌</t>
        </is>
      </c>
      <c r="N101" s="6" t="inlineStr">
        <is>
          <t>TRÚNG N1 🎯</t>
        </is>
      </c>
      <c r="O10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2">
      <c r="A102" s="2" t="n">
        <v>190</v>
      </c>
      <c r="B102" s="2" t="inlineStr">
        <is>
          <t>Thứ ba ngày 14-07-2026</t>
        </is>
      </c>
      <c r="C102" s="3" t="inlineStr">
        <is>
          <t>Thứ Hai</t>
        </is>
      </c>
      <c r="D102" s="3" t="inlineStr">
        <is>
          <t>59147</t>
        </is>
      </c>
      <c r="E102" s="3" t="inlineStr">
        <is>
          <t>47</t>
        </is>
      </c>
      <c r="F102" s="3" t="inlineStr">
        <is>
          <t>G7.4, G7.2</t>
        </is>
      </c>
      <c r="G102" s="3" t="inlineStr">
        <is>
          <t>Tổng 2, Tổng 3, Tổng 4, Tổng 7, Tổng 8, Tổng 9</t>
        </is>
      </c>
      <c r="H102" s="3" t="inlineStr">
        <is>
          <t>01245679</t>
        </is>
      </c>
      <c r="I102" s="3" t="inlineStr">
        <is>
          <t>Tổng 4-Bóng 9</t>
        </is>
      </c>
      <c r="J102" s="3" t="n">
        <v>60</v>
      </c>
      <c r="K102" s="7" t="inlineStr">
        <is>
          <t>TRƯỢT ❌</t>
        </is>
      </c>
      <c r="L102" s="3" t="inlineStr">
        <is>
          <t>03, 04, 08, 16, 36, 39, 43, 52, 53, 54, 67, 68, 71, 80, 84, 85, 89, 93, 94, 99</t>
        </is>
      </c>
      <c r="M102" s="7" t="inlineStr">
        <is>
          <t>TRƯỢT ❌</t>
        </is>
      </c>
      <c r="N102" s="6" t="inlineStr">
        <is>
          <t>TRÚNG N3 🎯</t>
        </is>
      </c>
      <c r="O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3">
      <c r="A103" s="2" t="n">
        <v>189</v>
      </c>
      <c r="B103" s="2" t="inlineStr">
        <is>
          <t>Thứ hai ngày 13-07-2026</t>
        </is>
      </c>
      <c r="C103" s="3" t="inlineStr">
        <is>
          <t>Chủ Nhật</t>
        </is>
      </c>
      <c r="D103" s="3" t="inlineStr">
        <is>
          <t>74299</t>
        </is>
      </c>
      <c r="E103" s="3" t="inlineStr">
        <is>
          <t>99</t>
        </is>
      </c>
      <c r="F103" s="3" t="inlineStr">
        <is>
          <t>G7.3, G7.1</t>
        </is>
      </c>
      <c r="G103" s="3" t="inlineStr">
        <is>
          <t>Tổng 0, Tổng 2, Tổng 4, Tổng 5, Tổng 7, Tổng 9</t>
        </is>
      </c>
      <c r="H103" s="3" t="inlineStr">
        <is>
          <t>0123456789</t>
        </is>
      </c>
      <c r="I103" s="3" t="inlineStr">
        <is>
          <t>Tổng 7-Bóng 2</t>
        </is>
      </c>
      <c r="J103" s="3" t="n">
        <v>60</v>
      </c>
      <c r="K103" s="7" t="inlineStr">
        <is>
          <t>TRƯỢT ❌</t>
        </is>
      </c>
      <c r="L103" s="3" t="inlineStr">
        <is>
          <t>00, 04, 13, 14, 16, 23, 32, 36, 37, 39, 43, 52, 54, 55, 68, 69, 84, 87, 89, 93</t>
        </is>
      </c>
      <c r="M103" s="7" t="inlineStr">
        <is>
          <t>TRƯỢT ❌</t>
        </is>
      </c>
      <c r="N103" s="6" t="inlineStr">
        <is>
          <t>TRÚNG N3 🎯</t>
        </is>
      </c>
      <c r="O10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04">
      <c r="A104" s="2" t="n">
        <v>188</v>
      </c>
      <c r="B104" s="2" t="inlineStr">
        <is>
          <t>Chủ nhật ngày 12-07-2026</t>
        </is>
      </c>
      <c r="C104" s="3" t="inlineStr">
        <is>
          <t>Thứ Bảy</t>
        </is>
      </c>
      <c r="D104" s="3" t="inlineStr">
        <is>
          <t>10494</t>
        </is>
      </c>
      <c r="E104" s="3" t="inlineStr">
        <is>
          <t>94</t>
        </is>
      </c>
      <c r="F104" s="3" t="inlineStr">
        <is>
          <t>G7.1, G7.3</t>
        </is>
      </c>
      <c r="G104" s="3" t="inlineStr">
        <is>
          <t>Tổng 0, Tổng 1, Tổng 2, Tổng 5, Tổng 6, Tổng 7</t>
        </is>
      </c>
      <c r="H104" s="3" t="inlineStr">
        <is>
          <t>01235678</t>
        </is>
      </c>
      <c r="I104" s="3" t="inlineStr">
        <is>
          <t>Tổng 2-Bóng 7</t>
        </is>
      </c>
      <c r="J104" s="3" t="n">
        <v>60</v>
      </c>
      <c r="K104" s="7" t="inlineStr">
        <is>
          <t>TRƯỢT ❌</t>
        </is>
      </c>
      <c r="L104" s="3" t="inlineStr">
        <is>
          <t>00, 01, 14, 16, 32, 37, 39, 42, 51, 52, 55, 60, 65, 69, 79, 83, 84, 87, 89, 97</t>
        </is>
      </c>
      <c r="M104" s="7" t="inlineStr">
        <is>
          <t>TRƯỢT ❌</t>
        </is>
      </c>
      <c r="N104" s="6" t="inlineStr">
        <is>
          <t>TRÚNG N3 🎯</t>
        </is>
      </c>
      <c r="O10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05">
      <c r="A105" s="2" t="n">
        <v>187</v>
      </c>
      <c r="B105" s="2" t="inlineStr">
        <is>
          <t>Thứ bảy ngày 11-07-2026</t>
        </is>
      </c>
      <c r="C105" s="3" t="inlineStr">
        <is>
          <t>Thứ Sáu</t>
        </is>
      </c>
      <c r="D105" s="3" t="inlineStr">
        <is>
          <t>09401</t>
        </is>
      </c>
      <c r="E105" s="3" t="inlineStr">
        <is>
          <t>01</t>
        </is>
      </c>
      <c r="F105" s="3" t="inlineStr">
        <is>
          <t>G7.4, G7.1</t>
        </is>
      </c>
      <c r="G105" s="3" t="inlineStr">
        <is>
          <t>Tổng 0, Tổng 2, Tổng 5, Tổng 7</t>
        </is>
      </c>
      <c r="H105" s="3" t="inlineStr">
        <is>
          <t>0123456789</t>
        </is>
      </c>
      <c r="I105" s="3" t="inlineStr">
        <is>
          <t>Tổng 2-Bóng 7</t>
        </is>
      </c>
      <c r="J105" s="3" t="n">
        <v>40</v>
      </c>
      <c r="K105" s="7" t="inlineStr">
        <is>
          <t>TRƯỢT ❌</t>
        </is>
      </c>
      <c r="L105" s="3" t="inlineStr">
        <is>
          <t>00, 05, 11, 14, 16, 23, 32, 37, 39, 43, 50, 52, 55, 61, 69, 78, 84, 87, 89, 93</t>
        </is>
      </c>
      <c r="M105" s="7" t="inlineStr">
        <is>
          <t>TRƯỢT ❌</t>
        </is>
      </c>
      <c r="N105" s="7" t="inlineStr">
        <is>
          <t>TRƯỢT KHUNG ❌</t>
        </is>
      </c>
      <c r="O105" s="3" t="inlineStr">
        <is>
          <t>00, 02, 05, 07, 11, 14, 16, 19, 20, 23, 25, 28, 32, 34, 37, 39, 41, 43, 46, 48, 50, 52, 55, 57, 61, 64, 66, 69, 70, 73, 75, 78, 82, 84, 87, 89, 91, 93, 96, 98</t>
        </is>
      </c>
    </row>
    <row r="106">
      <c r="A106" s="2" t="n">
        <v>186</v>
      </c>
      <c r="B106" s="2" t="inlineStr">
        <is>
          <t>Thứ sáu ngày 10-07-2026</t>
        </is>
      </c>
      <c r="C106" s="3" t="inlineStr">
        <is>
          <t>Thứ Năm</t>
        </is>
      </c>
      <c r="D106" s="3" t="inlineStr">
        <is>
          <t>72767</t>
        </is>
      </c>
      <c r="E106" s="3" t="inlineStr">
        <is>
          <t>67</t>
        </is>
      </c>
      <c r="F106" s="3" t="inlineStr">
        <is>
          <t>G7.4, G7.1</t>
        </is>
      </c>
      <c r="G106" s="3" t="inlineStr">
        <is>
          <t>Tổng 0, Tổng 2, Tổng 4, Tổng 5, Tổng 7, Tổng 9</t>
        </is>
      </c>
      <c r="H106" s="3" t="inlineStr">
        <is>
          <t>01345689</t>
        </is>
      </c>
      <c r="I106" s="3" t="inlineStr">
        <is>
          <t>Tổng 7-Bóng 2</t>
        </is>
      </c>
      <c r="J106" s="3" t="n">
        <v>56</v>
      </c>
      <c r="K106" s="7" t="inlineStr">
        <is>
          <t>TRƯỢT ❌</t>
        </is>
      </c>
      <c r="L106" s="3" t="inlineStr">
        <is>
          <t>00, 04, 13, 14, 16, 23, 32, 36, 37, 39, 43, 52, 54, 55, 68, 69, 84, 87, 89, 93</t>
        </is>
      </c>
      <c r="M106" s="7" t="inlineStr">
        <is>
          <t>TRƯỢT ❌</t>
        </is>
      </c>
      <c r="N106" s="7" t="inlineStr">
        <is>
          <t>TRƯỢT KHUNG ❌</t>
        </is>
      </c>
      <c r="O106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07">
      <c r="A107" s="2" t="n">
        <v>185</v>
      </c>
      <c r="B107" s="2" t="inlineStr">
        <is>
          <t>Thứ năm ngày 09-07-2026</t>
        </is>
      </c>
      <c r="C107" s="3" t="inlineStr">
        <is>
          <t>Thứ Tư</t>
        </is>
      </c>
      <c r="D107" s="3" t="inlineStr">
        <is>
          <t>69185</t>
        </is>
      </c>
      <c r="E107" s="3" t="inlineStr">
        <is>
          <t>85</t>
        </is>
      </c>
      <c r="F107" s="3" t="inlineStr">
        <is>
          <t>G7.2, G7.4</t>
        </is>
      </c>
      <c r="G107" s="3" t="inlineStr">
        <is>
          <t>Tổng 0, Tổng 1, Tổng 5, Tổng 6</t>
        </is>
      </c>
      <c r="H107" s="3" t="inlineStr">
        <is>
          <t>0123456789</t>
        </is>
      </c>
      <c r="I107" s="3" t="inlineStr">
        <is>
          <t>Tổng 1-Bóng 6</t>
        </is>
      </c>
      <c r="J107" s="3" t="n">
        <v>40</v>
      </c>
      <c r="K107" s="7" t="inlineStr">
        <is>
          <t>TRƯỢT ❌</t>
        </is>
      </c>
      <c r="L107" s="3" t="inlineStr">
        <is>
          <t>00, 05, 14, 23, 32, 33, 37, 38, 42, 50, 51, 55, 60, 65, 69, 78, 79, 83, 87, 97</t>
        </is>
      </c>
      <c r="M107" s="7" t="inlineStr">
        <is>
          <t>TRƯỢT ❌</t>
        </is>
      </c>
      <c r="N107" s="6" t="inlineStr">
        <is>
          <t>TRÚNG N3 🎯</t>
        </is>
      </c>
      <c r="O107" s="3" t="inlineStr">
        <is>
          <t>00, 01, 05, 06, 10, 14, 15, 19, 23, 24, 28, 29, 32, 33, 37, 38, 41, 42, 46, 47, 50, 51, 55, 56, 60, 64, 65, 69, 73, 74, 78, 79, 82, 83, 87, 88, 91, 92, 96, 97</t>
        </is>
      </c>
    </row>
    <row r="108">
      <c r="A108" s="2" t="n">
        <v>184</v>
      </c>
      <c r="B108" s="2" t="inlineStr">
        <is>
          <t>Thứ tư ngày 08-07-2026</t>
        </is>
      </c>
      <c r="C108" s="3" t="inlineStr">
        <is>
          <t>Thứ Ba</t>
        </is>
      </c>
      <c r="D108" s="3" t="inlineStr">
        <is>
          <t>95089</t>
        </is>
      </c>
      <c r="E108" s="3" t="inlineStr">
        <is>
          <t>89</t>
        </is>
      </c>
      <c r="F108" s="3" t="inlineStr">
        <is>
          <t>G7.3, G7.1</t>
        </is>
      </c>
      <c r="G108" s="3" t="inlineStr">
        <is>
          <t>Tổng 3, Tổng 4, Tổng 8, Tổng 9</t>
        </is>
      </c>
      <c r="H108" s="3" t="inlineStr">
        <is>
          <t>0123456789</t>
        </is>
      </c>
      <c r="I108" s="3" t="inlineStr">
        <is>
          <t>Tổng 9-Bóng 4</t>
        </is>
      </c>
      <c r="J108" s="3" t="n">
        <v>40</v>
      </c>
      <c r="K108" s="7" t="inlineStr">
        <is>
          <t>TRƯỢT ❌</t>
        </is>
      </c>
      <c r="L108" s="3" t="inlineStr">
        <is>
          <t>03, 04, 08, 12, 13, 17, 21, 36, 40, 53, 54, 59, 63, 68, 71, 76, 80, 81, 85, 94</t>
        </is>
      </c>
      <c r="M108" s="7" t="inlineStr">
        <is>
          <t>TRƯỢT ❌</t>
        </is>
      </c>
      <c r="N108" s="6" t="inlineStr">
        <is>
          <t>TRÚNG N2 🎯</t>
        </is>
      </c>
      <c r="O108" s="3" t="inlineStr">
        <is>
          <t>03, 04, 08, 09, 12, 13, 17, 18, 21, 22, 26, 27, 30, 31, 35, 36, 40, 44, 45, 49, 53, 54, 58, 59, 62, 63, 67, 68, 71, 72, 76, 77, 80, 81, 85, 86, 90, 94, 95, 99</t>
        </is>
      </c>
    </row>
    <row r="109">
      <c r="A109" s="2" t="n">
        <v>183</v>
      </c>
      <c r="B109" s="2" t="inlineStr">
        <is>
          <t>Thứ ba ngày 07-07-2026</t>
        </is>
      </c>
      <c r="C109" s="3" t="inlineStr">
        <is>
          <t>Thứ Hai</t>
        </is>
      </c>
      <c r="D109" s="3" t="inlineStr">
        <is>
          <t>92579</t>
        </is>
      </c>
      <c r="E109" s="3" t="inlineStr">
        <is>
          <t>79</t>
        </is>
      </c>
      <c r="F109" s="3" t="inlineStr">
        <is>
          <t>G7.4, G7.2</t>
        </is>
      </c>
      <c r="G109" s="3" t="inlineStr">
        <is>
          <t>Tổng 0, Tổng 2, Tổng 3, Tổng 5, Tổng 7, Tổng 8</t>
        </is>
      </c>
      <c r="H109" s="3" t="inlineStr">
        <is>
          <t>02345789</t>
        </is>
      </c>
      <c r="I109" s="3" t="inlineStr">
        <is>
          <t>Tổng 3-Bóng 8</t>
        </is>
      </c>
      <c r="J109" s="3" t="n">
        <v>56</v>
      </c>
      <c r="K109" s="7" t="inlineStr">
        <is>
          <t>TRƯỢT ❌</t>
        </is>
      </c>
      <c r="L109" s="3" t="inlineStr">
        <is>
          <t>00, 03, 05, 08, 14, 23, 32, 37, 39, 50, 52, 53, 55, 69, 71, 80, 84, 87, 89, 93</t>
        </is>
      </c>
      <c r="M109" s="7" t="inlineStr">
        <is>
          <t>TRƯỢT ❌</t>
        </is>
      </c>
      <c r="N109" s="6" t="inlineStr">
        <is>
          <t>TRÚNG N2 🎯</t>
        </is>
      </c>
      <c r="O109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110">
      <c r="A110" s="2" t="n">
        <v>182</v>
      </c>
      <c r="B110" s="2" t="inlineStr">
        <is>
          <t>Thứ hai ngày 06-07-2026</t>
        </is>
      </c>
      <c r="C110" s="3" t="inlineStr">
        <is>
          <t>Chủ Nhật</t>
        </is>
      </c>
      <c r="D110" s="3" t="inlineStr">
        <is>
          <t>43497</t>
        </is>
      </c>
      <c r="E110" s="3" t="inlineStr">
        <is>
          <t>97</t>
        </is>
      </c>
      <c r="F110" s="3" t="inlineStr">
        <is>
          <t>G7.3, G7.1</t>
        </is>
      </c>
      <c r="G110" s="3" t="inlineStr">
        <is>
          <t>Tổng 0, Tổng 3, Tổng 5, Tổng 8</t>
        </is>
      </c>
      <c r="H110" s="3" t="inlineStr">
        <is>
          <t>01345689</t>
        </is>
      </c>
      <c r="I110" s="3" t="inlineStr">
        <is>
          <t>Tổng 5-Bóng 0</t>
        </is>
      </c>
      <c r="J110" s="3" t="n">
        <v>40</v>
      </c>
      <c r="K110" s="7" t="inlineStr">
        <is>
          <t>TRƯỢT ❌</t>
        </is>
      </c>
      <c r="L110" s="3" t="inlineStr">
        <is>
          <t>00, 03, 05, 08, 14, 17, 21, 23, 32, 37, 50, 53, 55, 69, 71, 78, 80, 85, 87, 94</t>
        </is>
      </c>
      <c r="M110" s="7" t="inlineStr">
        <is>
          <t>TRƯỢT ❌</t>
        </is>
      </c>
      <c r="N110" s="7" t="inlineStr">
        <is>
          <t>TRƯỢT KHUNG ❌</t>
        </is>
      </c>
      <c r="O110" s="3" t="inlineStr">
        <is>
          <t>00, 03, 05, 08, 12, 14, 17, 19, 21, 23, 26, 28, 30, 32, 35, 37, 41, 44, 46, 49, 50, 53, 55, 58, 62, 64, 67, 69, 71, 73, 76, 78, 80, 82, 85, 87, 91, 94, 96, 99</t>
        </is>
      </c>
    </row>
    <row r="111">
      <c r="A111" s="2" t="n">
        <v>181</v>
      </c>
      <c r="B111" s="2" t="inlineStr">
        <is>
          <t>Chủ nhật ngày 05-07-2026</t>
        </is>
      </c>
      <c r="C111" s="3" t="inlineStr">
        <is>
          <t>Thứ Bảy</t>
        </is>
      </c>
      <c r="D111" s="3" t="inlineStr">
        <is>
          <t>66771</t>
        </is>
      </c>
      <c r="E111" s="3" t="inlineStr">
        <is>
          <t>71</t>
        </is>
      </c>
      <c r="F111" s="3" t="inlineStr">
        <is>
          <t>G7.1, G7.3</t>
        </is>
      </c>
      <c r="G111" s="3" t="inlineStr">
        <is>
          <t>Tổng 0, Tổng 3, Tổng 5, Tổng 8</t>
        </is>
      </c>
      <c r="H111" s="3" t="inlineStr">
        <is>
          <t>0123456789</t>
        </is>
      </c>
      <c r="I111" s="3" t="inlineStr">
        <is>
          <t>Tổng 8-Bóng 3</t>
        </is>
      </c>
      <c r="J111" s="3" t="n">
        <v>40</v>
      </c>
      <c r="K111" s="6" t="inlineStr">
        <is>
          <t>TRÚNG N1 🎯</t>
        </is>
      </c>
      <c r="L111" s="3" t="inlineStr">
        <is>
          <t>00, 03, 05, 08, 14, 17, 21, 23, 32, 37, 41, 50, 53, 55, 69, 78, 80, 85, 87, 94</t>
        </is>
      </c>
      <c r="M111" s="7" t="inlineStr">
        <is>
          <t>TRƯỢT ❌</t>
        </is>
      </c>
      <c r="N111" s="6" t="inlineStr">
        <is>
          <t>TRÚNG N1 🎯</t>
        </is>
      </c>
      <c r="O111" s="3" t="inlineStr">
        <is>
          <t>00, 03, 05, 08, 12, 14, 17, 19, 21, 23, 26, 28, 30, 32, 35, 37, 41, 44, 46, 49, 50, 53, 55, 58, 62, 64, 67, 69, 71, 73, 76, 78, 80, 82, 85, 87, 91, 94, 96, 99</t>
        </is>
      </c>
    </row>
    <row r="112">
      <c r="A112" s="2" t="n">
        <v>180</v>
      </c>
      <c r="B112" s="2" t="inlineStr">
        <is>
          <t>Thứ bảy ngày 04-07-2026</t>
        </is>
      </c>
      <c r="C112" s="3" t="inlineStr">
        <is>
          <t>Thứ Sáu</t>
        </is>
      </c>
      <c r="D112" s="3" t="inlineStr">
        <is>
          <t>14887</t>
        </is>
      </c>
      <c r="E112" s="3" t="inlineStr">
        <is>
          <t>87</t>
        </is>
      </c>
      <c r="F112" s="3" t="inlineStr">
        <is>
          <t>G7.4, G7.1</t>
        </is>
      </c>
      <c r="G112" s="3" t="inlineStr">
        <is>
          <t>Tổng 2, Tổng 4, Tổng 7, Tổng 9</t>
        </is>
      </c>
      <c r="H112" s="3" t="inlineStr">
        <is>
          <t>0123456789</t>
        </is>
      </c>
      <c r="I112" s="3" t="inlineStr">
        <is>
          <t>Tổng 2-Bóng 7</t>
        </is>
      </c>
      <c r="J112" s="3" t="n">
        <v>40</v>
      </c>
      <c r="K112" s="7" t="inlineStr">
        <is>
          <t>TRƯỢT ❌</t>
        </is>
      </c>
      <c r="L112" s="3" t="inlineStr">
        <is>
          <t>04, 11, 13, 16, 25, 36, 39, 40, 43, 48, 52, 54, 59, 61, 63, 68, 81, 84, 89, 93</t>
        </is>
      </c>
      <c r="M112" s="7" t="inlineStr">
        <is>
          <t>TRƯỢT ❌</t>
        </is>
      </c>
      <c r="N112" s="7" t="inlineStr">
        <is>
          <t>TRƯỢT KHUNG ❌</t>
        </is>
      </c>
      <c r="O112" s="3" t="inlineStr">
        <is>
          <t>02, 04, 07, 09, 11, 13, 16, 18, 20, 22, 25, 27, 31, 34, 36, 39, 40, 43, 45, 48, 52, 54, 57, 59, 61, 63, 66, 68, 70, 72, 75, 77, 81, 84, 86, 89, 90, 93, 95, 98</t>
        </is>
      </c>
    </row>
    <row r="113">
      <c r="A113" s="2" t="n">
        <v>179</v>
      </c>
      <c r="B113" s="2" t="inlineStr">
        <is>
          <t>Thứ sáu ngày 03-07-2026</t>
        </is>
      </c>
      <c r="C113" s="3" t="inlineStr">
        <is>
          <t>Thứ Năm</t>
        </is>
      </c>
      <c r="D113" s="3" t="inlineStr">
        <is>
          <t>18165</t>
        </is>
      </c>
      <c r="E113" s="3" t="inlineStr">
        <is>
          <t>65</t>
        </is>
      </c>
      <c r="F113" s="3" t="inlineStr">
        <is>
          <t>G7.4, G7.1</t>
        </is>
      </c>
      <c r="G113" s="3" t="inlineStr">
        <is>
          <t>Tổng 0, Tổng 2, Tổng 4, Tổng 5, Tổng 7, Tổng 9</t>
        </is>
      </c>
      <c r="H113" s="3" t="inlineStr">
        <is>
          <t>02345789</t>
        </is>
      </c>
      <c r="I113" s="3" t="inlineStr">
        <is>
          <t>Tổng 5-Bóng 0</t>
        </is>
      </c>
      <c r="J113" s="3" t="n">
        <v>56</v>
      </c>
      <c r="K113" s="7" t="inlineStr">
        <is>
          <t>TRƯỢT ❌</t>
        </is>
      </c>
      <c r="L113" s="3" t="inlineStr">
        <is>
          <t>00, 04, 05, 14, 23, 32, 36, 37, 39, 43, 50, 52, 54, 55, 68, 69, 78, 84, 89, 93</t>
        </is>
      </c>
      <c r="M113" s="7" t="inlineStr">
        <is>
          <t>TRƯỢT ❌</t>
        </is>
      </c>
      <c r="N113" s="6" t="inlineStr">
        <is>
          <t>TRÚNG N2 🎯</t>
        </is>
      </c>
      <c r="O113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114">
      <c r="A114" s="2" t="n">
        <v>178</v>
      </c>
      <c r="B114" s="2" t="inlineStr">
        <is>
          <t>Thứ năm ngày 02-07-2026</t>
        </is>
      </c>
      <c r="C114" s="3" t="inlineStr">
        <is>
          <t>Thứ Tư</t>
        </is>
      </c>
      <c r="D114" s="3" t="inlineStr">
        <is>
          <t>51139</t>
        </is>
      </c>
      <c r="E114" s="3" t="inlineStr">
        <is>
          <t>39</t>
        </is>
      </c>
      <c r="F114" s="3" t="inlineStr">
        <is>
          <t>G7.2, G7.4</t>
        </is>
      </c>
      <c r="G114" s="3" t="inlineStr">
        <is>
          <t>Tổng 2, Tổng 3, Tổng 4, Tổng 7, Tổng 8, Tổng 9</t>
        </is>
      </c>
      <c r="H114" s="3" t="inlineStr">
        <is>
          <t>0123456789</t>
        </is>
      </c>
      <c r="I114" s="3" t="inlineStr">
        <is>
          <t>Tổng 9-Bóng 4</t>
        </is>
      </c>
      <c r="J114" s="3" t="n">
        <v>60</v>
      </c>
      <c r="K114" s="6" t="inlineStr">
        <is>
          <t>TRÚNG N1 🎯</t>
        </is>
      </c>
      <c r="L114" s="3" t="inlineStr">
        <is>
          <t>03, 04, 08, 13, 16, 17, 36, 39, 40, 43, 52, 53, 54, 61, 68, 80, 81, 84, 89, 93</t>
        </is>
      </c>
      <c r="M114" s="6" t="inlineStr">
        <is>
          <t>TRÚNG HỎA LỰC 🎯</t>
        </is>
      </c>
      <c r="N114" s="6" t="inlineStr">
        <is>
          <t>TRÚNG N1 🎯</t>
        </is>
      </c>
      <c r="O11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5">
      <c r="A115" s="2" t="n">
        <v>177</v>
      </c>
      <c r="B115" s="2" t="inlineStr">
        <is>
          <t>Thứ tư ngày 01-07-2026</t>
        </is>
      </c>
      <c r="C115" s="3" t="inlineStr">
        <is>
          <t>Thứ Ba</t>
        </is>
      </c>
      <c r="D115" s="3" t="inlineStr">
        <is>
          <t>31854</t>
        </is>
      </c>
      <c r="E115" s="3" t="inlineStr">
        <is>
          <t>54</t>
        </is>
      </c>
      <c r="F115" s="3" t="inlineStr">
        <is>
          <t>G7.3, G7.4</t>
        </is>
      </c>
      <c r="G115" s="3" t="inlineStr">
        <is>
          <t>Tổng 0, Tổng 1, Tổng 3, Tổng 5, Tổng 6, Tổng 8</t>
        </is>
      </c>
      <c r="H115" s="3" t="inlineStr">
        <is>
          <t>0123456789</t>
        </is>
      </c>
      <c r="I115" s="3" t="inlineStr">
        <is>
          <t>Tổng 5-Bóng 0</t>
        </is>
      </c>
      <c r="J115" s="3" t="n">
        <v>60</v>
      </c>
      <c r="K115" s="7" t="inlineStr">
        <is>
          <t>TRƯỢT ❌</t>
        </is>
      </c>
      <c r="L115" s="3" t="inlineStr">
        <is>
          <t>00, 03, 05, 08, 14, 17, 23, 32, 37, 42, 50, 51, 53, 55, 60, 65, 69, 78, 80, 83</t>
        </is>
      </c>
      <c r="M115" s="7" t="inlineStr">
        <is>
          <t>TRƯỢT ❌</t>
        </is>
      </c>
      <c r="N115" s="6" t="inlineStr">
        <is>
          <t>TRÚNG N3 🎯</t>
        </is>
      </c>
      <c r="O11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16">
      <c r="A116" s="2" t="n">
        <v>176</v>
      </c>
      <c r="B116" s="2" t="inlineStr">
        <is>
          <t>Thứ ba ngày 30-06-2026</t>
        </is>
      </c>
      <c r="C116" s="3" t="inlineStr">
        <is>
          <t>Thứ Hai</t>
        </is>
      </c>
      <c r="D116" s="3" t="inlineStr">
        <is>
          <t>60468</t>
        </is>
      </c>
      <c r="E116" s="3" t="inlineStr">
        <is>
          <t>68</t>
        </is>
      </c>
      <c r="F116" s="3" t="inlineStr">
        <is>
          <t>G7.4, G7.2</t>
        </is>
      </c>
      <c r="G116" s="3" t="inlineStr">
        <is>
          <t>Tổng 2, Tổng 3, Tổng 4, Tổng 7, Tổng 8, Tổng 9</t>
        </is>
      </c>
      <c r="H116" s="3" t="inlineStr">
        <is>
          <t>02345789</t>
        </is>
      </c>
      <c r="I116" s="3" t="inlineStr">
        <is>
          <t>Tổng 9-Bóng 4</t>
        </is>
      </c>
      <c r="J116" s="3" t="n">
        <v>56</v>
      </c>
      <c r="K116" s="6" t="inlineStr">
        <is>
          <t>TRÚNG N1 🎯</t>
        </is>
      </c>
      <c r="L116" s="3" t="inlineStr">
        <is>
          <t>03, 04, 08, 13, 17, 21, 36, 39, 40, 43, 52, 53, 54, 68, 80, 81, 84, 89, 93, 94</t>
        </is>
      </c>
      <c r="M116" s="6" t="inlineStr">
        <is>
          <t>TRÚNG HỎA LỰC 🎯</t>
        </is>
      </c>
      <c r="N116" s="6" t="inlineStr">
        <is>
          <t>TRÚNG N1 🎯</t>
        </is>
      </c>
      <c r="O116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117">
      <c r="A117" s="2" t="n">
        <v>175</v>
      </c>
      <c r="B117" s="2" t="inlineStr">
        <is>
          <t>Thứ hai ngày 29-06-2026</t>
        </is>
      </c>
      <c r="C117" s="3" t="inlineStr">
        <is>
          <t>Chủ Nhật</t>
        </is>
      </c>
      <c r="D117" s="3" t="inlineStr">
        <is>
          <t>37642</t>
        </is>
      </c>
      <c r="E117" s="3" t="inlineStr">
        <is>
          <t>42</t>
        </is>
      </c>
      <c r="F117" s="3" t="inlineStr">
        <is>
          <t>G7.3, G7.4</t>
        </is>
      </c>
      <c r="G117" s="3" t="inlineStr">
        <is>
          <t>Tổng 0, Tổng 4, Tổng 5, Tổng 9</t>
        </is>
      </c>
      <c r="H117" s="3" t="inlineStr">
        <is>
          <t>01345689</t>
        </is>
      </c>
      <c r="I117" s="3" t="inlineStr">
        <is>
          <t>Tổng 4-Bóng 9</t>
        </is>
      </c>
      <c r="J117" s="3" t="n">
        <v>36</v>
      </c>
      <c r="K117" s="7" t="inlineStr">
        <is>
          <t>TRƯỢT ❌</t>
        </is>
      </c>
      <c r="L117" s="3" t="inlineStr">
        <is>
          <t>00, 04, 05, 13, 14, 23, 32, 36, 37, 40, 41, 50, 54, 55, 63, 64, 68, 69, 78, 81</t>
        </is>
      </c>
      <c r="M117" s="7" t="inlineStr">
        <is>
          <t>TRƯỢT ❌</t>
        </is>
      </c>
      <c r="N117" s="6" t="inlineStr">
        <is>
          <t>TRÚNG N2 🎯</t>
        </is>
      </c>
      <c r="O117" s="3" t="inlineStr">
        <is>
          <t>00, 04, 05, 09, 13, 14, 18, 19, 23, 28, 31, 32, 36, 37, 40, 41, 45, 46, 50, 54, 55, 59, 63, 64, 68, 69, 73, 78, 81, 82, 86, 87, 90, 91, 95, 96</t>
        </is>
      </c>
    </row>
    <row r="118">
      <c r="A118" s="2" t="n">
        <v>174</v>
      </c>
      <c r="B118" s="2" t="inlineStr">
        <is>
          <t>Chủ nhật ngày 28-06-2026</t>
        </is>
      </c>
      <c r="C118" s="3" t="inlineStr">
        <is>
          <t>Thứ Bảy</t>
        </is>
      </c>
      <c r="D118" s="3" t="inlineStr">
        <is>
          <t>12452</t>
        </is>
      </c>
      <c r="E118" s="3" t="inlineStr">
        <is>
          <t>52</t>
        </is>
      </c>
      <c r="F118" s="3" t="inlineStr">
        <is>
          <t>G7.1, G7.3</t>
        </is>
      </c>
      <c r="G118" s="3" t="inlineStr">
        <is>
          <t>Tổng 0, Tổng 2, Tổng 4, Tổng 5, Tổng 7, Tổng 9</t>
        </is>
      </c>
      <c r="H118" s="3" t="inlineStr">
        <is>
          <t>01345689</t>
        </is>
      </c>
      <c r="I118" s="3" t="inlineStr">
        <is>
          <t>Tổng 7-Bóng 2</t>
        </is>
      </c>
      <c r="J118" s="3" t="n">
        <v>56</v>
      </c>
      <c r="K118" s="6" t="inlineStr">
        <is>
          <t>TRÚNG N1 🎯</t>
        </is>
      </c>
      <c r="L118" s="3" t="inlineStr">
        <is>
          <t>00, 04, 05, 14, 16, 23, 32, 36, 37, 39, 43, 50, 54, 55, 64, 69, 78, 84, 89, 93</t>
        </is>
      </c>
      <c r="M118" s="7" t="inlineStr">
        <is>
          <t>TRƯỢT ❌</t>
        </is>
      </c>
      <c r="N118" s="6" t="inlineStr">
        <is>
          <t>TRÚNG N1 🎯</t>
        </is>
      </c>
      <c r="O118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19">
      <c r="A119" s="2" t="n">
        <v>173</v>
      </c>
      <c r="B119" s="2" t="inlineStr">
        <is>
          <t>Thứ bảy ngày 27-06-2026</t>
        </is>
      </c>
      <c r="C119" s="3" t="inlineStr">
        <is>
          <t>Thứ Sáu</t>
        </is>
      </c>
      <c r="D119" s="3" t="inlineStr">
        <is>
          <t>09253</t>
        </is>
      </c>
      <c r="E119" s="3" t="inlineStr">
        <is>
          <t>53</t>
        </is>
      </c>
      <c r="F119" s="3" t="inlineStr">
        <is>
          <t>G7.4, G7.1</t>
        </is>
      </c>
      <c r="G119" s="3" t="inlineStr">
        <is>
          <t>Tổng 0, Tổng 2, Tổng 5, Tổng 7</t>
        </is>
      </c>
      <c r="H119" s="3" t="inlineStr">
        <is>
          <t>02345789</t>
        </is>
      </c>
      <c r="I119" s="3" t="inlineStr">
        <is>
          <t>Tổng 0-Bóng 5</t>
        </is>
      </c>
      <c r="J119" s="3" t="n">
        <v>36</v>
      </c>
      <c r="K119" s="7" t="inlineStr">
        <is>
          <t>TRƯỢT ❌</t>
        </is>
      </c>
      <c r="L119" s="3" t="inlineStr">
        <is>
          <t>00, 05, 14, 23, 25, 28, 32, 37, 39, 41, 43, 50, 55, 64, 69, 75, 78, 84, 89, 93</t>
        </is>
      </c>
      <c r="M119" s="7" t="inlineStr">
        <is>
          <t>TRƯỢT ❌</t>
        </is>
      </c>
      <c r="N119" s="6" t="inlineStr">
        <is>
          <t>TRÚNG N2 🎯</t>
        </is>
      </c>
      <c r="O119" s="3" t="inlineStr">
        <is>
          <t>00, 02, 05, 07, 14, 19, 20, 23, 25, 28, 32, 34, 37, 39, 41, 43, 46, 48, 50, 52, 55, 57, 64, 69, 70, 73, 75, 78, 82, 84, 87, 89, 91, 93, 96, 98</t>
        </is>
      </c>
    </row>
    <row r="120">
      <c r="A120" s="2" t="n">
        <v>172</v>
      </c>
      <c r="B120" s="2" t="inlineStr">
        <is>
          <t>Thứ sáu ngày 26-06-2026</t>
        </is>
      </c>
      <c r="C120" s="3" t="inlineStr">
        <is>
          <t>Thứ Năm</t>
        </is>
      </c>
      <c r="D120" s="3" t="inlineStr">
        <is>
          <t>54804</t>
        </is>
      </c>
      <c r="E120" s="3" t="inlineStr">
        <is>
          <t>04</t>
        </is>
      </c>
      <c r="F120" s="3" t="inlineStr">
        <is>
          <t>G7.4, G7.1</t>
        </is>
      </c>
      <c r="G120" s="3" t="inlineStr">
        <is>
          <t>Tổng 0, Tổng 1, Tổng 3, Tổng 5, Tổng 6, Tổng 8</t>
        </is>
      </c>
      <c r="H120" s="3" t="inlineStr">
        <is>
          <t>013568</t>
        </is>
      </c>
      <c r="I120" s="3" t="inlineStr">
        <is>
          <t>Tổng 3-Bóng 8</t>
        </is>
      </c>
      <c r="J120" s="3" t="n">
        <v>48</v>
      </c>
      <c r="K120" s="7" t="inlineStr">
        <is>
          <t>TRƯỢT ❌</t>
        </is>
      </c>
      <c r="L120" s="3" t="inlineStr">
        <is>
          <t>00, 03, 05, 08, 14, 17, 23, 32, 37, 50, 51, 53, 55, 60, 64, 65, 69, 78, 80, 83</t>
        </is>
      </c>
      <c r="M120" s="7" t="inlineStr">
        <is>
          <t>TRƯỢT ❌</t>
        </is>
      </c>
      <c r="N120" s="6" t="inlineStr">
        <is>
          <t>TRÚNG N2 🎯</t>
        </is>
      </c>
      <c r="O120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121">
      <c r="A121" s="2" t="n">
        <v>171</v>
      </c>
      <c r="B121" s="2" t="inlineStr">
        <is>
          <t>Thứ năm ngày 25-06-2026</t>
        </is>
      </c>
      <c r="C121" s="3" t="inlineStr">
        <is>
          <t>Thứ Tư</t>
        </is>
      </c>
      <c r="D121" s="3" t="inlineStr">
        <is>
          <t>01816</t>
        </is>
      </c>
      <c r="E121" s="3" t="inlineStr">
        <is>
          <t>16</t>
        </is>
      </c>
      <c r="F121" s="3" t="inlineStr">
        <is>
          <t>G7.2, G7.4</t>
        </is>
      </c>
      <c r="G121" s="3" t="inlineStr">
        <is>
          <t>Tổng 0, Tổng 3, Tổng 4, Tổng 5, Tổng 8, Tổng 9</t>
        </is>
      </c>
      <c r="H121" s="3" t="inlineStr">
        <is>
          <t>0123456789</t>
        </is>
      </c>
      <c r="I121" s="3" t="inlineStr">
        <is>
          <t>Tổng 0-Bóng 5</t>
        </is>
      </c>
      <c r="J121" s="3" t="n">
        <v>60</v>
      </c>
      <c r="K121" s="7" t="inlineStr">
        <is>
          <t>TRƯỢT ❌</t>
        </is>
      </c>
      <c r="L121" s="3" t="inlineStr">
        <is>
          <t>00, 03, 04, 05, 08, 13, 14, 17, 23, 32, 36, 37, 50, 53, 54, 55, 64, 69, 78, 80</t>
        </is>
      </c>
      <c r="M121" s="7" t="inlineStr">
        <is>
          <t>TRƯỢT ❌</t>
        </is>
      </c>
      <c r="N121" s="6" t="inlineStr">
        <is>
          <t>TRÚNG N2 🎯</t>
        </is>
      </c>
      <c r="O12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22">
      <c r="A122" s="2" t="n">
        <v>170</v>
      </c>
      <c r="B122" s="2" t="inlineStr">
        <is>
          <t>Thứ tư ngày 24-06-2026</t>
        </is>
      </c>
      <c r="C122" s="3" t="inlineStr">
        <is>
          <t>Thứ Ba</t>
        </is>
      </c>
      <c r="D122" s="3" t="inlineStr">
        <is>
          <t>52751</t>
        </is>
      </c>
      <c r="E122" s="3" t="inlineStr">
        <is>
          <t>51</t>
        </is>
      </c>
      <c r="F122" s="3" t="inlineStr">
        <is>
          <t>G7.3, G7.4</t>
        </is>
      </c>
      <c r="G122" s="3" t="inlineStr">
        <is>
          <t>Tổng 0, Tổng 2, Tổng 3, Tổng 5, Tổng 7, Tổng 8</t>
        </is>
      </c>
      <c r="H122" s="3" t="inlineStr">
        <is>
          <t>12346789</t>
        </is>
      </c>
      <c r="I122" s="3" t="inlineStr">
        <is>
          <t>Tổng 5-Bóng 0</t>
        </is>
      </c>
      <c r="J122" s="3" t="n">
        <v>56</v>
      </c>
      <c r="K122" s="7" t="inlineStr">
        <is>
          <t>TRƯỢT ❌</t>
        </is>
      </c>
      <c r="L122" s="3" t="inlineStr">
        <is>
          <t>03, 08, 11, 14, 17, 23, 28, 32, 37, 39, 43, 53, 61, 64, 69, 78, 80, 84, 89, 93</t>
        </is>
      </c>
      <c r="M122" s="7" t="inlineStr">
        <is>
          <t>TRƯỢT ❌</t>
        </is>
      </c>
      <c r="N122" s="6" t="inlineStr">
        <is>
          <t>TRÚNG N2 🎯</t>
        </is>
      </c>
      <c r="O122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23">
      <c r="A123" s="2" t="n">
        <v>169</v>
      </c>
      <c r="B123" s="2" t="inlineStr">
        <is>
          <t>Thứ ba ngày 23-06-2026</t>
        </is>
      </c>
      <c r="C123" s="3" t="inlineStr">
        <is>
          <t>Thứ Hai</t>
        </is>
      </c>
      <c r="D123" s="3" t="inlineStr">
        <is>
          <t>50437</t>
        </is>
      </c>
      <c r="E123" s="3" t="inlineStr">
        <is>
          <t>37</t>
        </is>
      </c>
      <c r="F123" s="3" t="inlineStr">
        <is>
          <t>G7.2, G7.4</t>
        </is>
      </c>
      <c r="G123" s="3" t="inlineStr">
        <is>
          <t>Tổng 1, Tổng 4, Tổng 6, Tổng 9</t>
        </is>
      </c>
      <c r="H123" s="3" t="inlineStr">
        <is>
          <t>02345789</t>
        </is>
      </c>
      <c r="I123" s="3" t="inlineStr">
        <is>
          <t>Tổng 6-Bóng 1</t>
        </is>
      </c>
      <c r="J123" s="3" t="n">
        <v>40</v>
      </c>
      <c r="K123" s="7" t="inlineStr">
        <is>
          <t>TRƯỢT ❌</t>
        </is>
      </c>
      <c r="L123" s="3" t="inlineStr">
        <is>
          <t>04, 13, 33, 36, 38, 40, 42, 47, 51, 54, 59, 60, 63, 65, 68, 81, 83, 88, 92, 97</t>
        </is>
      </c>
      <c r="M123" s="7" t="inlineStr">
        <is>
          <t>TRƯỢT ❌</t>
        </is>
      </c>
      <c r="N123" s="6" t="inlineStr">
        <is>
          <t>TRÚNG N2 🎯</t>
        </is>
      </c>
      <c r="O123" s="3" t="inlineStr">
        <is>
          <t>01, 04, 06, 09, 10, 13, 15, 18, 22, 24, 27, 29, 31, 33, 36, 38, 40, 42, 45, 47, 51, 54, 56, 59, 60, 63, 65, 68, 72, 74, 77, 79, 81, 83, 86, 88, 90, 92, 95, 97</t>
        </is>
      </c>
    </row>
    <row r="124">
      <c r="A124" s="2" t="n">
        <v>168</v>
      </c>
      <c r="B124" s="2" t="inlineStr">
        <is>
          <t>Thứ hai ngày 22-06-2026</t>
        </is>
      </c>
      <c r="C124" s="3" t="inlineStr">
        <is>
          <t>Chủ Nhật</t>
        </is>
      </c>
      <c r="D124" s="3" t="inlineStr">
        <is>
          <t>62136</t>
        </is>
      </c>
      <c r="E124" s="3" t="inlineStr">
        <is>
          <t>36</t>
        </is>
      </c>
      <c r="F124" s="3" t="inlineStr">
        <is>
          <t>G7.3, G7.4</t>
        </is>
      </c>
      <c r="G124" s="3" t="inlineStr">
        <is>
          <t>Tổng 2, Tổng 4, Tổng 7, Tổng 9</t>
        </is>
      </c>
      <c r="H124" s="3" t="inlineStr">
        <is>
          <t>0123456789</t>
        </is>
      </c>
      <c r="I124" s="3" t="inlineStr">
        <is>
          <t>Tổng 2-Bóng 7</t>
        </is>
      </c>
      <c r="J124" s="3" t="n">
        <v>40</v>
      </c>
      <c r="K124" s="6" t="inlineStr">
        <is>
          <t>TRÚNG N1 🎯</t>
        </is>
      </c>
      <c r="L124" s="3" t="inlineStr">
        <is>
          <t>04, 11, 13, 25, 36, 39, 40, 43, 48, 54, 59, 61, 63, 66, 68, 75, 81, 84, 89, 93</t>
        </is>
      </c>
      <c r="M124" s="6" t="inlineStr">
        <is>
          <t>TRÚNG HỎA LỰC 🎯</t>
        </is>
      </c>
      <c r="N124" s="6" t="inlineStr">
        <is>
          <t>TRÚNG N1 🎯</t>
        </is>
      </c>
      <c r="O124" s="3" t="inlineStr">
        <is>
          <t>02, 04, 07, 09, 11, 13, 16, 18, 20, 22, 25, 27, 31, 34, 36, 39, 40, 43, 45, 48, 52, 54, 57, 59, 61, 63, 66, 68, 70, 72, 75, 77, 81, 84, 86, 89, 90, 93, 95, 98</t>
        </is>
      </c>
    </row>
    <row r="125">
      <c r="A125" s="2" t="n">
        <v>167</v>
      </c>
      <c r="B125" s="2" t="inlineStr">
        <is>
          <t>Chủ nhật ngày 21-06-2026</t>
        </is>
      </c>
      <c r="C125" s="3" t="inlineStr">
        <is>
          <t>Thứ Bảy</t>
        </is>
      </c>
      <c r="D125" s="3" t="inlineStr">
        <is>
          <t>28083</t>
        </is>
      </c>
      <c r="E125" s="3" t="inlineStr">
        <is>
          <t>83</t>
        </is>
      </c>
      <c r="F125" s="3" t="inlineStr">
        <is>
          <t>G7.1, G7.3</t>
        </is>
      </c>
      <c r="G125" s="3" t="inlineStr">
        <is>
          <t>Tổng 0, Tổng 2, Tổng 3, Tổng 5, Tổng 7, Tổng 8</t>
        </is>
      </c>
      <c r="H125" s="3" t="inlineStr">
        <is>
          <t>0123456789</t>
        </is>
      </c>
      <c r="I125" s="3" t="inlineStr">
        <is>
          <t>Tổng 7-Bóng 2</t>
        </is>
      </c>
      <c r="J125" s="3" t="n">
        <v>60</v>
      </c>
      <c r="K125" s="7" t="inlineStr">
        <is>
          <t>TRƯỢT ❌</t>
        </is>
      </c>
      <c r="L125" s="3" t="inlineStr">
        <is>
          <t>00, 03, 05, 08, 11, 14, 21, 23, 32, 39, 43, 50, 53, 55, 69, 78, 80, 84, 89, 93</t>
        </is>
      </c>
      <c r="M125" s="7" t="inlineStr">
        <is>
          <t>TRƯỢT ❌</t>
        </is>
      </c>
      <c r="N125" s="6" t="inlineStr">
        <is>
          <t>TRÚNG N3 🎯</t>
        </is>
      </c>
      <c r="O12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26">
      <c r="A126" s="2" t="n">
        <v>166</v>
      </c>
      <c r="B126" s="2" t="inlineStr">
        <is>
          <t>Thứ bảy ngày 20-06-2026</t>
        </is>
      </c>
      <c r="C126" s="3" t="inlineStr">
        <is>
          <t>Thứ Sáu</t>
        </is>
      </c>
      <c r="D126" s="3" t="inlineStr">
        <is>
          <t>54860</t>
        </is>
      </c>
      <c r="E126" s="3" t="inlineStr">
        <is>
          <t>60</t>
        </is>
      </c>
      <c r="F126" s="3" t="inlineStr">
        <is>
          <t>G7.4, G7.1</t>
        </is>
      </c>
      <c r="G126" s="3" t="inlineStr">
        <is>
          <t>Tổng 0, Tổng 3, Tổng 5, Tổng 8</t>
        </is>
      </c>
      <c r="H126" s="3" t="inlineStr">
        <is>
          <t>01345689</t>
        </is>
      </c>
      <c r="I126" s="3" t="inlineStr">
        <is>
          <t>Tổng 0-Bóng 5</t>
        </is>
      </c>
      <c r="J126" s="3" t="n">
        <v>40</v>
      </c>
      <c r="K126" s="7" t="inlineStr">
        <is>
          <t>TRƯỢT ❌</t>
        </is>
      </c>
      <c r="L126" s="3" t="inlineStr">
        <is>
          <t>00, 03, 05, 08, 14, 17, 21, 23, 28, 32, 37, 50, 53, 55, 64, 69, 76, 78, 80, 85</t>
        </is>
      </c>
      <c r="M126" s="7" t="inlineStr">
        <is>
          <t>TRƯỢT ❌</t>
        </is>
      </c>
      <c r="N126" s="7" t="inlineStr">
        <is>
          <t>TRƯỢT KHUNG ❌</t>
        </is>
      </c>
      <c r="O126" s="3" t="inlineStr">
        <is>
          <t>00, 03, 05, 08, 12, 14, 17, 19, 21, 23, 26, 28, 30, 32, 35, 37, 41, 44, 46, 49, 50, 53, 55, 58, 62, 64, 67, 69, 71, 73, 76, 78, 80, 82, 85, 87, 91, 94, 96, 99</t>
        </is>
      </c>
    </row>
    <row r="127">
      <c r="A127" s="2" t="n">
        <v>165</v>
      </c>
      <c r="B127" s="2" t="inlineStr">
        <is>
          <t>Thứ sáu ngày 19-06-2026</t>
        </is>
      </c>
      <c r="C127" s="3" t="inlineStr">
        <is>
          <t>Thứ Năm</t>
        </is>
      </c>
      <c r="D127" s="3" t="inlineStr">
        <is>
          <t>63155</t>
        </is>
      </c>
      <c r="E127" s="3" t="inlineStr">
        <is>
          <t>55</t>
        </is>
      </c>
      <c r="F127" s="3" t="inlineStr">
        <is>
          <t>G7.4, G7.1</t>
        </is>
      </c>
      <c r="G127" s="3" t="inlineStr">
        <is>
          <t>Tổng 1, Tổng 4, Tổng 6, Tổng 9</t>
        </is>
      </c>
      <c r="H127" s="3" t="inlineStr">
        <is>
          <t>013568</t>
        </is>
      </c>
      <c r="I127" s="3" t="inlineStr">
        <is>
          <t>Tổng 1-Bóng 6</t>
        </is>
      </c>
      <c r="J127" s="3" t="n">
        <v>28</v>
      </c>
      <c r="K127" s="7" t="inlineStr">
        <is>
          <t>TRƯỢT ❌</t>
        </is>
      </c>
      <c r="L127" s="3" t="inlineStr">
        <is>
          <t>04, 06, 13, 15, 18, 33, 36, 38, 40, 51, 54, 56, 59, 60, 63, 65, 68, 81, 83, 88</t>
        </is>
      </c>
      <c r="M127" s="7" t="inlineStr">
        <is>
          <t>TRƯỢT ❌</t>
        </is>
      </c>
      <c r="N127" s="6" t="inlineStr">
        <is>
          <t>TRÚNG N2 🎯</t>
        </is>
      </c>
      <c r="O127" s="3" t="inlineStr">
        <is>
          <t>01, 04, 06, 09, 10, 13, 15, 18, 31, 33, 36, 38, 40, 45, 51, 54, 56, 59, 60, 63, 65, 68, 81, 83, 86, 88, 90, 95</t>
        </is>
      </c>
    </row>
    <row r="128">
      <c r="A128" s="2" t="n">
        <v>164</v>
      </c>
      <c r="B128" s="2" t="inlineStr">
        <is>
          <t>Thứ năm ngày 18-06-2026</t>
        </is>
      </c>
      <c r="C128" s="3" t="inlineStr">
        <is>
          <t>Thứ Tư</t>
        </is>
      </c>
      <c r="D128" s="3" t="inlineStr">
        <is>
          <t>15032</t>
        </is>
      </c>
      <c r="E128" s="3" t="inlineStr">
        <is>
          <t>32</t>
        </is>
      </c>
      <c r="F128" s="3" t="inlineStr">
        <is>
          <t>G7.2, G7.1</t>
        </is>
      </c>
      <c r="G128" s="3" t="inlineStr">
        <is>
          <t>Tổng 2, Tổng 3, Tổng 4, Tổng 7, Tổng 8, Tổng 9</t>
        </is>
      </c>
      <c r="H128" s="3" t="inlineStr">
        <is>
          <t>124679</t>
        </is>
      </c>
      <c r="I128" s="3" t="inlineStr">
        <is>
          <t>Tổng 9-Bóng 4</t>
        </is>
      </c>
      <c r="J128" s="3" t="n">
        <v>52</v>
      </c>
      <c r="K128" s="7" t="inlineStr">
        <is>
          <t>TRƯỢT ❌</t>
        </is>
      </c>
      <c r="L128" s="3" t="inlineStr">
        <is>
          <t>04, 11, 13, 17, 21, 25, 36, 39, 40, 43, 48, 54, 61, 68, 76, 81, 84, 89, 93, 94</t>
        </is>
      </c>
      <c r="M128" s="7" t="inlineStr">
        <is>
          <t>TRƯỢT ❌</t>
        </is>
      </c>
      <c r="N128" s="7" t="inlineStr">
        <is>
          <t>TRƯỢT KHUNG ❌</t>
        </is>
      </c>
      <c r="O128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129">
      <c r="A129" s="2" t="n">
        <v>163</v>
      </c>
      <c r="B129" s="2" t="inlineStr">
        <is>
          <t>Thứ tư ngày 17-06-2026</t>
        </is>
      </c>
      <c r="C129" s="3" t="inlineStr">
        <is>
          <t>Thứ Ba</t>
        </is>
      </c>
      <c r="D129" s="3" t="inlineStr">
        <is>
          <t>71203</t>
        </is>
      </c>
      <c r="E129" s="3" t="inlineStr">
        <is>
          <t>03</t>
        </is>
      </c>
      <c r="F129" s="3" t="inlineStr">
        <is>
          <t>G7.3, G7.4</t>
        </is>
      </c>
      <c r="G129" s="3" t="inlineStr">
        <is>
          <t>Tổng 0, Tổng 1, Tổng 2, Tổng 5, Tổng 6, Tổng 7</t>
        </is>
      </c>
      <c r="H129" s="3" t="inlineStr">
        <is>
          <t>01245679</t>
        </is>
      </c>
      <c r="I129" s="3" t="inlineStr">
        <is>
          <t>Tổng 1-Bóng 6</t>
        </is>
      </c>
      <c r="J129" s="3" t="n">
        <v>56</v>
      </c>
      <c r="K129" s="7" t="inlineStr">
        <is>
          <t>TRƯỢT ❌</t>
        </is>
      </c>
      <c r="L129" s="3" t="inlineStr">
        <is>
          <t>00, 05, 11, 14, 23, 25, 32, 39, 42, 43, 50, 51, 61, 64, 65, 69, 78, 84, 89, 93</t>
        </is>
      </c>
      <c r="M129" s="7" t="inlineStr">
        <is>
          <t>TRƯỢT ❌</t>
        </is>
      </c>
      <c r="N129" s="6" t="inlineStr">
        <is>
          <t>TRÚNG N2 🎯</t>
        </is>
      </c>
      <c r="O129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30">
      <c r="A130" s="2" t="n">
        <v>162</v>
      </c>
      <c r="B130" s="2" t="inlineStr">
        <is>
          <t>Thứ ba ngày 16-06-2026</t>
        </is>
      </c>
      <c r="C130" s="3" t="inlineStr">
        <is>
          <t>Thứ Hai</t>
        </is>
      </c>
      <c r="D130" s="3" t="inlineStr">
        <is>
          <t>80384</t>
        </is>
      </c>
      <c r="E130" s="3" t="inlineStr">
        <is>
          <t>84</t>
        </is>
      </c>
      <c r="F130" s="3" t="inlineStr">
        <is>
          <t>G7.4, G7.2</t>
        </is>
      </c>
      <c r="G130" s="3" t="inlineStr">
        <is>
          <t>Tổng 0, Tổng 1, Tổng 4, Tổng 5, Tổng 6, Tổng 9</t>
        </is>
      </c>
      <c r="H130" s="3" t="inlineStr">
        <is>
          <t>01235678</t>
        </is>
      </c>
      <c r="I130" s="3" t="inlineStr">
        <is>
          <t>Tổng 6-Bóng 1</t>
        </is>
      </c>
      <c r="J130" s="3" t="n">
        <v>60</v>
      </c>
      <c r="K130" s="7" t="inlineStr">
        <is>
          <t>TRƯỢT ❌</t>
        </is>
      </c>
      <c r="L130" s="3" t="inlineStr">
        <is>
          <t>00, 04, 05, 13, 14, 23, 32, 36, 42, 50, 51, 54, 55, 64, 65, 68, 69, 78, 81, 83</t>
        </is>
      </c>
      <c r="M130" s="7" t="inlineStr">
        <is>
          <t>TRƯỢT ❌</t>
        </is>
      </c>
      <c r="N130" s="6" t="inlineStr">
        <is>
          <t>TRÚNG N3 🎯</t>
        </is>
      </c>
      <c r="O13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31">
      <c r="A131" s="2" t="n">
        <v>161</v>
      </c>
      <c r="B131" s="2" t="inlineStr">
        <is>
          <t>Thứ hai ngày 15-06-2026</t>
        </is>
      </c>
      <c r="C131" s="3" t="inlineStr">
        <is>
          <t>Chủ Nhật</t>
        </is>
      </c>
      <c r="D131" s="3" t="inlineStr">
        <is>
          <t>71680</t>
        </is>
      </c>
      <c r="E131" s="3" t="inlineStr">
        <is>
          <t>80</t>
        </is>
      </c>
      <c r="F131" s="3" t="inlineStr">
        <is>
          <t>G7.3, G7.1</t>
        </is>
      </c>
      <c r="G131" s="3" t="inlineStr">
        <is>
          <t>Tổng 0, Tổng 2, Tổng 5, Tổng 7</t>
        </is>
      </c>
      <c r="H131" s="3" t="inlineStr">
        <is>
          <t>134689</t>
        </is>
      </c>
      <c r="I131" s="3" t="inlineStr">
        <is>
          <t>Tổng 2-Bóng 7</t>
        </is>
      </c>
      <c r="J131" s="3" t="n">
        <v>28</v>
      </c>
      <c r="K131" s="7" t="inlineStr">
        <is>
          <t>TRƯỢT ❌</t>
        </is>
      </c>
      <c r="L131" s="3" t="inlineStr">
        <is>
          <t>11, 14, 23, 28, 32, 37, 39, 41, 43, 46, 48, 61, 64, 66, 69, 78, 82, 84, 89, 93</t>
        </is>
      </c>
      <c r="M131" s="7" t="inlineStr">
        <is>
          <t>TRƯỢT ❌</t>
        </is>
      </c>
      <c r="N131" s="6" t="inlineStr">
        <is>
          <t>TRÚNG N2 🎯</t>
        </is>
      </c>
      <c r="O131" s="3" t="inlineStr">
        <is>
          <t>11, 14, 16, 19, 23, 28, 32, 34, 37, 39, 41, 43, 46, 48, 61, 64, 66, 69, 73, 78, 82, 84, 87, 89, 91, 93, 96, 98</t>
        </is>
      </c>
    </row>
    <row r="132">
      <c r="A132" s="2" t="n">
        <v>160</v>
      </c>
      <c r="B132" s="2" t="inlineStr">
        <is>
          <t>Chủ nhật ngày 14-06-2026</t>
        </is>
      </c>
      <c r="C132" s="3" t="inlineStr">
        <is>
          <t>Thứ Bảy</t>
        </is>
      </c>
      <c r="D132" s="3" t="inlineStr">
        <is>
          <t>63000</t>
        </is>
      </c>
      <c r="E132" s="3" t="inlineStr">
        <is>
          <t>00</t>
        </is>
      </c>
      <c r="F132" s="3" t="inlineStr">
        <is>
          <t>G7.1, G7.3</t>
        </is>
      </c>
      <c r="G132" s="3" t="inlineStr">
        <is>
          <t>Tổng 1, Tổng 2, Tổng 6, Tổng 7</t>
        </is>
      </c>
      <c r="H132" s="3" t="inlineStr">
        <is>
          <t>0123456789</t>
        </is>
      </c>
      <c r="I132" s="3" t="inlineStr">
        <is>
          <t>Tổng 2-Bóng 7</t>
        </is>
      </c>
      <c r="J132" s="3" t="n">
        <v>40</v>
      </c>
      <c r="K132" s="7" t="inlineStr">
        <is>
          <t>TRƯỢT ❌</t>
        </is>
      </c>
      <c r="L132" s="3" t="inlineStr">
        <is>
          <t>11, 25, 33, 38, 39, 42, 43, 47, 48, 51, 61, 65, 75, 83, 84, 88, 89, 92, 93, 97</t>
        </is>
      </c>
      <c r="M132" s="7" t="inlineStr">
        <is>
          <t>TRƯỢT ❌</t>
        </is>
      </c>
      <c r="N132" s="6" t="inlineStr">
        <is>
          <t>TRÚNG N3 🎯</t>
        </is>
      </c>
      <c r="O132" s="3" t="inlineStr">
        <is>
          <t>01, 02, 06, 07, 10, 11, 15, 16, 20, 24, 25, 29, 33, 34, 38, 39, 42, 43, 47, 48, 51, 52, 56, 57, 60, 61, 65, 66, 70, 74, 75, 79, 83, 84, 88, 89, 92, 93, 97, 98</t>
        </is>
      </c>
    </row>
    <row r="133">
      <c r="A133" s="2" t="n">
        <v>159</v>
      </c>
      <c r="B133" s="2" t="inlineStr">
        <is>
          <t>Thứ bảy ngày 13-06-2026</t>
        </is>
      </c>
      <c r="C133" s="3" t="inlineStr">
        <is>
          <t>Thứ Sáu</t>
        </is>
      </c>
      <c r="D133" s="3" t="inlineStr">
        <is>
          <t>60014</t>
        </is>
      </c>
      <c r="E133" s="3" t="inlineStr">
        <is>
          <t>14</t>
        </is>
      </c>
      <c r="F133" s="3" t="inlineStr">
        <is>
          <t>G7.4, G7.1</t>
        </is>
      </c>
      <c r="G133" s="3" t="inlineStr">
        <is>
          <t>Tổng 1, Tổng 3, Tổng 4, Tổng 6, Tổng 8, Tổng 9</t>
        </is>
      </c>
      <c r="H133" s="3" t="inlineStr">
        <is>
          <t>12346789</t>
        </is>
      </c>
      <c r="I133" s="3" t="inlineStr">
        <is>
          <t>Tổng 4-Bóng 9</t>
        </is>
      </c>
      <c r="J133" s="3" t="n">
        <v>60</v>
      </c>
      <c r="K133" s="7" t="inlineStr">
        <is>
          <t>TRƯỢT ❌</t>
        </is>
      </c>
      <c r="L133" s="3" t="inlineStr">
        <is>
          <t>04, 08, 13, 17, 21, 36, 38, 42, 51, 53, 54, 63, 65, 68, 76, 81, 83, 85, 94, 97</t>
        </is>
      </c>
      <c r="M133" s="7" t="inlineStr">
        <is>
          <t>TRƯỢT ❌</t>
        </is>
      </c>
      <c r="N133" s="6" t="inlineStr">
        <is>
          <t>TRÚNG N3 🎯</t>
        </is>
      </c>
      <c r="O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4">
      <c r="A134" s="2" t="n">
        <v>158</v>
      </c>
      <c r="B134" s="2" t="inlineStr">
        <is>
          <t>Thứ sáu ngày 12-06-2026</t>
        </is>
      </c>
      <c r="C134" s="3" t="inlineStr">
        <is>
          <t>Thứ Năm</t>
        </is>
      </c>
      <c r="D134" s="3" t="inlineStr">
        <is>
          <t>24889</t>
        </is>
      </c>
      <c r="E134" s="3" t="inlineStr">
        <is>
          <t>89</t>
        </is>
      </c>
      <c r="F134" s="3" t="inlineStr">
        <is>
          <t>G7.4, G7.1</t>
        </is>
      </c>
      <c r="G134" s="3" t="inlineStr">
        <is>
          <t>Tổng 1, Tổng 2, Tổng 4, Tổng 6, Tổng 7, Tổng 9</t>
        </is>
      </c>
      <c r="H134" s="3" t="inlineStr">
        <is>
          <t>01245679</t>
        </is>
      </c>
      <c r="I134" s="3" t="inlineStr">
        <is>
          <t>Tổng 6-Bóng 1</t>
        </is>
      </c>
      <c r="J134" s="3" t="n">
        <v>56</v>
      </c>
      <c r="K134" s="6" t="inlineStr">
        <is>
          <t>TRÚNG N1 🎯</t>
        </is>
      </c>
      <c r="L134" s="3" t="inlineStr">
        <is>
          <t>04, 11, 13, 25, 36, 39, 40, 42, 43, 48, 51, 54, 61, 63, 65, 68, 81, 84, 93, 97</t>
        </is>
      </c>
      <c r="M134" s="7" t="inlineStr">
        <is>
          <t>TRƯỢT ❌</t>
        </is>
      </c>
      <c r="N134" s="6" t="inlineStr">
        <is>
          <t>TRÚNG N1 🎯</t>
        </is>
      </c>
      <c r="O134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35">
      <c r="A135" s="2" t="n">
        <v>157</v>
      </c>
      <c r="B135" s="2" t="inlineStr">
        <is>
          <t>Thứ năm ngày 11-06-2026</t>
        </is>
      </c>
      <c r="C135" s="3" t="inlineStr">
        <is>
          <t>Thứ Tư</t>
        </is>
      </c>
      <c r="D135" s="3" t="inlineStr">
        <is>
          <t>99983</t>
        </is>
      </c>
      <c r="E135" s="3" t="inlineStr">
        <is>
          <t>83</t>
        </is>
      </c>
      <c r="F135" s="3" t="inlineStr">
        <is>
          <t>G7.2, G7.1</t>
        </is>
      </c>
      <c r="G135" s="3" t="inlineStr">
        <is>
          <t>Tổng 2, Tổng 4, Tổng 7, Tổng 9</t>
        </is>
      </c>
      <c r="H135" s="3" t="inlineStr">
        <is>
          <t>01235678</t>
        </is>
      </c>
      <c r="I135" s="3" t="inlineStr">
        <is>
          <t>Tổng 2-Bóng 7</t>
        </is>
      </c>
      <c r="J135" s="3" t="n">
        <v>40</v>
      </c>
      <c r="K135" s="7" t="inlineStr">
        <is>
          <t>TRƯỢT ❌</t>
        </is>
      </c>
      <c r="L135" s="3" t="inlineStr">
        <is>
          <t>04, 11, 13, 25, 36, 39, 40, 43, 48, 52, 54, 59, 61, 63, 66, 68, 75, 81, 84, 93</t>
        </is>
      </c>
      <c r="M135" s="7" t="inlineStr">
        <is>
          <t>TRƯỢT ❌</t>
        </is>
      </c>
      <c r="N135" s="6" t="inlineStr">
        <is>
          <t>TRÚNG N2 🎯</t>
        </is>
      </c>
      <c r="O135" s="3" t="inlineStr">
        <is>
          <t>02, 04, 07, 09, 11, 13, 16, 18, 20, 22, 25, 27, 31, 34, 36, 39, 40, 43, 45, 48, 52, 54, 57, 59, 61, 63, 66, 68, 70, 72, 75, 77, 81, 84, 86, 89, 90, 93, 95, 98</t>
        </is>
      </c>
    </row>
    <row r="136">
      <c r="A136" s="2" t="n">
        <v>156</v>
      </c>
      <c r="B136" s="2" t="inlineStr">
        <is>
          <t>Thứ tư ngày 10-06-2026</t>
        </is>
      </c>
      <c r="C136" s="3" t="inlineStr">
        <is>
          <t>Thứ Ba</t>
        </is>
      </c>
      <c r="D136" s="3" t="inlineStr">
        <is>
          <t>04308</t>
        </is>
      </c>
      <c r="E136" s="3" t="inlineStr">
        <is>
          <t>08</t>
        </is>
      </c>
      <c r="F136" s="3" t="inlineStr">
        <is>
          <t>G7.3, G7.4</t>
        </is>
      </c>
      <c r="G136" s="3" t="inlineStr">
        <is>
          <t>Tổng 0, Tổng 1, Tổng 3, Tổng 5, Tổng 6, Tổng 8</t>
        </is>
      </c>
      <c r="H136" s="3" t="inlineStr">
        <is>
          <t>01245679</t>
        </is>
      </c>
      <c r="I136" s="3" t="inlineStr">
        <is>
          <t>Tổng 0-Bóng 5</t>
        </is>
      </c>
      <c r="J136" s="3" t="n">
        <v>56</v>
      </c>
      <c r="K136" s="6" t="inlineStr">
        <is>
          <t>TRÚNG N1 🎯</t>
        </is>
      </c>
      <c r="L136" s="3" t="inlineStr">
        <is>
          <t>05, 14, 17, 21, 23, 32, 37, 42, 50, 51, 53, 55, 64, 65, 69, 76, 78, 85, 94, 97</t>
        </is>
      </c>
      <c r="M136" s="7" t="inlineStr">
        <is>
          <t>TRƯỢT ❌</t>
        </is>
      </c>
      <c r="N136" s="6" t="inlineStr">
        <is>
          <t>TRÚNG N1 🎯</t>
        </is>
      </c>
      <c r="O136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37">
      <c r="A137" s="2" t="n">
        <v>155</v>
      </c>
      <c r="B137" s="2" t="inlineStr">
        <is>
          <t>Thứ ba ngày 09-06-2026</t>
        </is>
      </c>
      <c r="C137" s="3" t="inlineStr">
        <is>
          <t>Thứ Hai</t>
        </is>
      </c>
      <c r="D137" s="3" t="inlineStr">
        <is>
          <t>07251</t>
        </is>
      </c>
      <c r="E137" s="3" t="inlineStr">
        <is>
          <t>51</t>
        </is>
      </c>
      <c r="F137" s="3" t="inlineStr">
        <is>
          <t>G7.4, G7.2</t>
        </is>
      </c>
      <c r="G137" s="3" t="inlineStr">
        <is>
          <t>Tổng 0, Tổng 2, Tổng 3, Tổng 5, Tổng 7, Tổng 8</t>
        </is>
      </c>
      <c r="H137" s="3" t="inlineStr">
        <is>
          <t>01235678</t>
        </is>
      </c>
      <c r="I137" s="3" t="inlineStr">
        <is>
          <t>Tổng 0-Bóng 5</t>
        </is>
      </c>
      <c r="J137" s="3" t="n">
        <v>56</v>
      </c>
      <c r="K137" s="7" t="inlineStr">
        <is>
          <t>TRƯỢT ❌</t>
        </is>
      </c>
      <c r="L137" s="3" t="inlineStr">
        <is>
          <t>05, 11, 14, 17, 21, 23, 39, 43, 48, 50, 53, 55, 61, 64, 69, 76, 78, 84, 85, 93</t>
        </is>
      </c>
      <c r="M137" s="7" t="inlineStr">
        <is>
          <t>TRƯỢT ❌</t>
        </is>
      </c>
      <c r="N137" s="6" t="inlineStr">
        <is>
          <t>TRÚNG N2 🎯</t>
        </is>
      </c>
      <c r="O137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38">
      <c r="A138" s="2" t="n">
        <v>154</v>
      </c>
      <c r="B138" s="2" t="inlineStr">
        <is>
          <t>Thứ hai ngày 08-06-2026</t>
        </is>
      </c>
      <c r="C138" s="3" t="inlineStr">
        <is>
          <t>Chủ Nhật</t>
        </is>
      </c>
      <c r="D138" s="3" t="inlineStr">
        <is>
          <t>53505</t>
        </is>
      </c>
      <c r="E138" s="3" t="inlineStr">
        <is>
          <t>05</t>
        </is>
      </c>
      <c r="F138" s="3" t="inlineStr">
        <is>
          <t>G7.3, G7.1</t>
        </is>
      </c>
      <c r="G138" s="3" t="inlineStr">
        <is>
          <t>Tổng 0, Tổng 4, Tổng 5, Tổng 9</t>
        </is>
      </c>
      <c r="H138" s="3" t="inlineStr">
        <is>
          <t>014569</t>
        </is>
      </c>
      <c r="I138" s="3" t="inlineStr">
        <is>
          <t>Tổng 5-Bóng 0</t>
        </is>
      </c>
      <c r="J138" s="3" t="n">
        <v>28</v>
      </c>
      <c r="K138" s="6" t="inlineStr">
        <is>
          <t>TRÚNG N1 🎯</t>
        </is>
      </c>
      <c r="L138" s="3" t="inlineStr">
        <is>
          <t>00, 04, 13, 14, 18, 36, 40, 41, 46, 50, 54, 55, 59, 63, 64, 68, 69, 81, 91, 95</t>
        </is>
      </c>
      <c r="M138" s="7" t="inlineStr">
        <is>
          <t>TRƯỢT ❌</t>
        </is>
      </c>
      <c r="N138" s="6" t="inlineStr">
        <is>
          <t>TRÚNG N1 🎯</t>
        </is>
      </c>
      <c r="O138" s="3" t="inlineStr">
        <is>
          <t>00, 04, 05, 09, 13, 14, 18, 19, 31, 36, 40, 41, 45, 46, 50, 54, 55, 59, 63, 64, 68, 69, 81, 86, 90, 91, 95, 96</t>
        </is>
      </c>
    </row>
    <row r="139">
      <c r="A139" s="2" t="n">
        <v>153</v>
      </c>
      <c r="B139" s="2" t="inlineStr">
        <is>
          <t>Chủ nhật ngày 07-06-2026</t>
        </is>
      </c>
      <c r="C139" s="3" t="inlineStr">
        <is>
          <t>Thứ Bảy</t>
        </is>
      </c>
      <c r="D139" s="3" t="inlineStr">
        <is>
          <t>15393</t>
        </is>
      </c>
      <c r="E139" s="3" t="inlineStr">
        <is>
          <t>93</t>
        </is>
      </c>
      <c r="F139" s="3" t="inlineStr">
        <is>
          <t>G7.1, G7.3</t>
        </is>
      </c>
      <c r="G139" s="3" t="inlineStr">
        <is>
          <t>Tổng 0, Tổng 2, Tổng 3, Tổng 5, Tổng 7, Tổng 8</t>
        </is>
      </c>
      <c r="H139" s="3" t="inlineStr">
        <is>
          <t>0123456789</t>
        </is>
      </c>
      <c r="I139" s="3" t="inlineStr">
        <is>
          <t>Tổng 7-Bóng 2</t>
        </is>
      </c>
      <c r="J139" s="3" t="n">
        <v>60</v>
      </c>
      <c r="K139" s="6" t="inlineStr">
        <is>
          <t>TRÚNG N1 🎯</t>
        </is>
      </c>
      <c r="L139" s="3" t="inlineStr">
        <is>
          <t>11, 14, 17, 21, 23, 25, 39, 43, 48, 50, 53, 55, 61, 64, 69, 76, 78, 84, 85, 94</t>
        </is>
      </c>
      <c r="M139" s="7" t="inlineStr">
        <is>
          <t>TRƯỢT ❌</t>
        </is>
      </c>
      <c r="N139" s="6" t="inlineStr">
        <is>
          <t>TRÚNG N1 🎯</t>
        </is>
      </c>
      <c r="O13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40">
      <c r="A140" s="2" t="n">
        <v>152</v>
      </c>
      <c r="B140" s="2" t="inlineStr">
        <is>
          <t>Thứ bảy ngày 06-06-2026</t>
        </is>
      </c>
      <c r="C140" s="3" t="inlineStr">
        <is>
          <t>Thứ Sáu</t>
        </is>
      </c>
      <c r="D140" s="3" t="inlineStr">
        <is>
          <t>33465</t>
        </is>
      </c>
      <c r="E140" s="3" t="inlineStr">
        <is>
          <t>65</t>
        </is>
      </c>
      <c r="F140" s="3" t="inlineStr">
        <is>
          <t>G7.4, G7.1</t>
        </is>
      </c>
      <c r="G140" s="3" t="inlineStr">
        <is>
          <t>Tổng 0, Tổng 3, Tổng 5, Tổng 8</t>
        </is>
      </c>
      <c r="H140" s="3" t="inlineStr">
        <is>
          <t>01245679</t>
        </is>
      </c>
      <c r="I140" s="3" t="inlineStr">
        <is>
          <t>Tổng 0-Bóng 5</t>
        </is>
      </c>
      <c r="J140" s="3" t="n">
        <v>40</v>
      </c>
      <c r="K140" s="7" t="inlineStr">
        <is>
          <t>TRƯỢT ❌</t>
        </is>
      </c>
      <c r="L140" s="3" t="inlineStr">
        <is>
          <t>00, 12, 14, 17, 21, 23, 28, 32, 37, 41, 50, 53, 55, 64, 69, 76, 78, 82, 85, 94</t>
        </is>
      </c>
      <c r="M140" s="7" t="inlineStr">
        <is>
          <t>TRƯỢT ❌</t>
        </is>
      </c>
      <c r="N140" s="6" t="inlineStr">
        <is>
          <t>TRÚNG N3 🎯</t>
        </is>
      </c>
      <c r="O140" s="3" t="inlineStr">
        <is>
          <t>00, 03, 05, 08, 12, 14, 17, 19, 21, 23, 26, 28, 30, 32, 35, 37, 41, 44, 46, 49, 50, 53, 55, 58, 62, 64, 67, 69, 71, 73, 76, 78, 80, 82, 85, 87, 91, 94, 96, 99</t>
        </is>
      </c>
    </row>
    <row r="141">
      <c r="A141" s="2" t="n">
        <v>151</v>
      </c>
      <c r="B141" s="2" t="inlineStr">
        <is>
          <t>Thứ sáu ngày 05-06-2026</t>
        </is>
      </c>
      <c r="C141" s="3" t="inlineStr">
        <is>
          <t>Thứ Năm</t>
        </is>
      </c>
      <c r="D141" s="3" t="inlineStr">
        <is>
          <t>74978</t>
        </is>
      </c>
      <c r="E141" s="3" t="inlineStr">
        <is>
          <t>78</t>
        </is>
      </c>
      <c r="F141" s="3" t="inlineStr">
        <is>
          <t>G7.4, G7.1</t>
        </is>
      </c>
      <c r="G141" s="3" t="inlineStr">
        <is>
          <t>Tổng 1, Tổng 2, Tổng 4, Tổng 6, Tổng 7, Tổng 9</t>
        </is>
      </c>
      <c r="H141" s="3" t="inlineStr">
        <is>
          <t>01235678</t>
        </is>
      </c>
      <c r="I141" s="3" t="inlineStr">
        <is>
          <t>Tổng 9-Bóng 4</t>
        </is>
      </c>
      <c r="J141" s="3" t="n">
        <v>60</v>
      </c>
      <c r="K141" s="7" t="inlineStr">
        <is>
          <t>TRƯỢT ❌</t>
        </is>
      </c>
      <c r="L141" s="3" t="inlineStr">
        <is>
          <t>04, 11, 13, 25, 33, 36, 38, 39, 40, 42, 43, 47, 51, 54, 61, 68, 81, 83, 84, 92</t>
        </is>
      </c>
      <c r="M141" s="7" t="inlineStr">
        <is>
          <t>TRƯỢT ❌</t>
        </is>
      </c>
      <c r="N141" s="6" t="inlineStr">
        <is>
          <t>TRÚNG N2 🎯</t>
        </is>
      </c>
      <c r="O1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2">
      <c r="A142" s="2" t="n">
        <v>150</v>
      </c>
      <c r="B142" s="2" t="inlineStr">
        <is>
          <t>Thứ năm ngày 04-06-2026</t>
        </is>
      </c>
      <c r="C142" s="3" t="inlineStr">
        <is>
          <t>Thứ Tư</t>
        </is>
      </c>
      <c r="D142" s="3" t="inlineStr">
        <is>
          <t>05583</t>
        </is>
      </c>
      <c r="E142" s="3" t="inlineStr">
        <is>
          <t>83</t>
        </is>
      </c>
      <c r="F142" s="3" t="inlineStr">
        <is>
          <t>G7.2, G7.1</t>
        </is>
      </c>
      <c r="G142" s="3" t="inlineStr">
        <is>
          <t>Tổng 2, Tổng 4, Tổng 7, Tổng 9</t>
        </is>
      </c>
      <c r="H142" s="3" t="inlineStr">
        <is>
          <t>02345789</t>
        </is>
      </c>
      <c r="I142" s="3" t="inlineStr">
        <is>
          <t>Tổng 9-Bóng 4</t>
        </is>
      </c>
      <c r="J142" s="3" t="n">
        <v>36</v>
      </c>
      <c r="K142" s="7" t="inlineStr">
        <is>
          <t>TRƯỢT ❌</t>
        </is>
      </c>
      <c r="L142" s="3" t="inlineStr">
        <is>
          <t>04, 13, 20, 25, 36, 39, 40, 43, 48, 52, 54, 59, 63, 68, 70, 75, 81, 84, 93, 95</t>
        </is>
      </c>
      <c r="M142" s="7" t="inlineStr">
        <is>
          <t>TRƯỢT ❌</t>
        </is>
      </c>
      <c r="N142" s="7" t="inlineStr">
        <is>
          <t>TRƯỢT KHUNG ❌</t>
        </is>
      </c>
      <c r="O142" s="3" t="inlineStr">
        <is>
          <t>02, 04, 07, 09, 13, 18, 20, 22, 25, 27, 31, 34, 36, 39, 40, 43, 45, 48, 52, 54, 57, 59, 63, 68, 70, 72, 75, 77, 81, 84, 86, 89, 90, 93, 95, 98</t>
        </is>
      </c>
    </row>
    <row r="143">
      <c r="A143" s="2" t="n">
        <v>149</v>
      </c>
      <c r="B143" s="2" t="inlineStr">
        <is>
          <t>Thứ tư ngày 03-06-2026</t>
        </is>
      </c>
      <c r="C143" s="3" t="inlineStr">
        <is>
          <t>Thứ Ba</t>
        </is>
      </c>
      <c r="D143" s="3" t="inlineStr">
        <is>
          <t>02636</t>
        </is>
      </c>
      <c r="E143" s="3" t="inlineStr">
        <is>
          <t>36</t>
        </is>
      </c>
      <c r="F143" s="3" t="inlineStr">
        <is>
          <t>G7.3, G7.4</t>
        </is>
      </c>
      <c r="G143" s="3" t="inlineStr">
        <is>
          <t>Tổng 0, Tổng 1, Tổng 5, Tổng 6</t>
        </is>
      </c>
      <c r="H143" s="3" t="inlineStr">
        <is>
          <t>02345789</t>
        </is>
      </c>
      <c r="I143" s="3" t="inlineStr">
        <is>
          <t>Tổng 0-Bóng 5</t>
        </is>
      </c>
      <c r="J143" s="3" t="n">
        <v>40</v>
      </c>
      <c r="K143" s="7" t="inlineStr">
        <is>
          <t>TRƯỢT ❌</t>
        </is>
      </c>
      <c r="L143" s="3" t="inlineStr">
        <is>
          <t>00, 06, 14, 23, 28, 32, 33, 37, 38, 41, 42, 47, 50, 51, 55, 64, 69, 82, 92, 97</t>
        </is>
      </c>
      <c r="M143" s="7" t="inlineStr">
        <is>
          <t>TRƯỢT ❌</t>
        </is>
      </c>
      <c r="N143" s="6" t="inlineStr">
        <is>
          <t>TRÚNG N2 🎯</t>
        </is>
      </c>
      <c r="O143" s="3" t="inlineStr">
        <is>
          <t>00, 01, 05, 06, 10, 14, 15, 19, 23, 24, 28, 29, 32, 33, 37, 38, 41, 42, 46, 47, 50, 51, 55, 56, 60, 64, 65, 69, 73, 74, 78, 79, 82, 83, 87, 88, 91, 92, 96, 97</t>
        </is>
      </c>
    </row>
    <row r="144">
      <c r="A144" s="2" t="n">
        <v>148</v>
      </c>
      <c r="B144" s="2" t="inlineStr">
        <is>
          <t>Thứ ba ngày 02-06-2026</t>
        </is>
      </c>
      <c r="C144" s="3" t="inlineStr">
        <is>
          <t>Thứ Hai</t>
        </is>
      </c>
      <c r="D144" s="3" t="inlineStr">
        <is>
          <t>73823</t>
        </is>
      </c>
      <c r="E144" s="3" t="inlineStr">
        <is>
          <t>23</t>
        </is>
      </c>
      <c r="F144" s="3" t="inlineStr">
        <is>
          <t>G7.4, G7.2</t>
        </is>
      </c>
      <c r="G144" s="3" t="inlineStr">
        <is>
          <t>Tổng 1, Tổng 3, Tổng 4, Tổng 6, Tổng 8, Tổng 9</t>
        </is>
      </c>
      <c r="H144" s="3" t="inlineStr">
        <is>
          <t>01245679</t>
        </is>
      </c>
      <c r="I144" s="3" t="inlineStr">
        <is>
          <t>Tổng 4-Bóng 9</t>
        </is>
      </c>
      <c r="J144" s="3" t="n">
        <v>56</v>
      </c>
      <c r="K144" s="7" t="inlineStr">
        <is>
          <t>TRƯỢT ❌</t>
        </is>
      </c>
      <c r="L144" s="3" t="inlineStr">
        <is>
          <t>04, 12, 13, 17, 21, 40, 42, 47, 51, 53, 54, 59, 63, 68, 76, 81, 85, 92, 94, 97</t>
        </is>
      </c>
      <c r="M144" s="7" t="inlineStr">
        <is>
          <t>TRƯỢT ❌</t>
        </is>
      </c>
      <c r="N144" s="6" t="inlineStr">
        <is>
          <t>TRÚNG N2 🎯</t>
        </is>
      </c>
      <c r="O144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145">
      <c r="A145" s="2" t="n">
        <v>147</v>
      </c>
      <c r="B145" s="2" t="inlineStr">
        <is>
          <t>Thứ hai ngày 01-06-2026</t>
        </is>
      </c>
      <c r="C145" s="3" t="inlineStr">
        <is>
          <t>Chủ Nhật</t>
        </is>
      </c>
      <c r="D145" s="3" t="inlineStr">
        <is>
          <t>90353</t>
        </is>
      </c>
      <c r="E145" s="3" t="inlineStr">
        <is>
          <t>53</t>
        </is>
      </c>
      <c r="F145" s="3" t="inlineStr">
        <is>
          <t>G7.3, G7.1</t>
        </is>
      </c>
      <c r="G145" s="3" t="inlineStr">
        <is>
          <t>Tổng 0, Tổng 1, Tổng 4, Tổng 5, Tổng 6, Tổng 9</t>
        </is>
      </c>
      <c r="H145" s="3" t="inlineStr">
        <is>
          <t>12346789</t>
        </is>
      </c>
      <c r="I145" s="3" t="inlineStr">
        <is>
          <t>Tổng 1-Bóng 6</t>
        </is>
      </c>
      <c r="J145" s="3" t="n">
        <v>56</v>
      </c>
      <c r="K145" s="7" t="inlineStr">
        <is>
          <t>TRƯỢT ❌</t>
        </is>
      </c>
      <c r="L145" s="3" t="inlineStr">
        <is>
          <t>04, 13, 14, 23, 32, 33, 37, 38, 40, 41, 42, 47, 51, 54, 59, 64, 68, 69, 81, 92</t>
        </is>
      </c>
      <c r="M145" s="7" t="inlineStr">
        <is>
          <t>TRƯỢT ❌</t>
        </is>
      </c>
      <c r="N145" s="6" t="inlineStr">
        <is>
          <t>TRÚNG N2 🎯</t>
        </is>
      </c>
      <c r="O145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146">
      <c r="A146" s="2" t="n">
        <v>146</v>
      </c>
      <c r="B146" s="2" t="inlineStr">
        <is>
          <t>Chủ nhật ngày 31-05-2026</t>
        </is>
      </c>
      <c r="C146" s="3" t="inlineStr">
        <is>
          <t>Thứ Bảy</t>
        </is>
      </c>
      <c r="D146" s="3" t="inlineStr">
        <is>
          <t>24042</t>
        </is>
      </c>
      <c r="E146" s="3" t="inlineStr">
        <is>
          <t>42</t>
        </is>
      </c>
      <c r="F146" s="3" t="inlineStr">
        <is>
          <t>G7.1, G7.3</t>
        </is>
      </c>
      <c r="G146" s="3" t="inlineStr">
        <is>
          <t>Tổng 0, Tổng 1, Tổng 4, Tổng 5, Tổng 6, Tổng 9</t>
        </is>
      </c>
      <c r="H146" s="3" t="inlineStr">
        <is>
          <t>014569</t>
        </is>
      </c>
      <c r="I146" s="3" t="inlineStr">
        <is>
          <t>Tổng 9-Bóng 4</t>
        </is>
      </c>
      <c r="J146" s="3" t="n">
        <v>44</v>
      </c>
      <c r="K146" s="6" t="inlineStr">
        <is>
          <t>TRÚNG N1 🎯</t>
        </is>
      </c>
      <c r="L146" s="3" t="inlineStr">
        <is>
          <t>00, 04, 06, 13, 14, 40, 41, 47, 50, 51, 54, 55, 59, 63, 64, 68, 69, 81, 92, 97</t>
        </is>
      </c>
      <c r="M146" s="7" t="inlineStr">
        <is>
          <t>TRƯỢT ❌</t>
        </is>
      </c>
      <c r="N146" s="6" t="inlineStr">
        <is>
          <t>TRÚNG N1 🎯</t>
        </is>
      </c>
      <c r="O146" s="3" t="inlineStr">
        <is>
          <t>00, 01, 04, 05, 06, 09, 10, 13, 14, 15, 18, 19, 24, 29, 31, 36, 40, 41, 42, 45, 46, 47, 50, 51, 54, 55, 56, 59, 60, 63, 64, 65, 68, 69, 74, 79, 81, 86, 90, 91, 92, 95, 96, 97</t>
        </is>
      </c>
    </row>
    <row r="147">
      <c r="A147" s="2" t="n">
        <v>145</v>
      </c>
      <c r="B147" s="2" t="inlineStr">
        <is>
          <t>Thứ bảy ngày 30-05-2026</t>
        </is>
      </c>
      <c r="C147" s="3" t="inlineStr">
        <is>
          <t>Thứ Sáu</t>
        </is>
      </c>
      <c r="D147" s="3" t="inlineStr">
        <is>
          <t>17743</t>
        </is>
      </c>
      <c r="E147" s="3" t="inlineStr">
        <is>
          <t>43</t>
        </is>
      </c>
      <c r="F147" s="3" t="inlineStr">
        <is>
          <t>G7.4, G7.1</t>
        </is>
      </c>
      <c r="G147" s="3" t="inlineStr">
        <is>
          <t>Tổng 1, Tổng 3, Tổng 4, Tổng 6, Tổng 8, Tổng 9</t>
        </is>
      </c>
      <c r="H147" s="3" t="inlineStr">
        <is>
          <t>123678</t>
        </is>
      </c>
      <c r="I147" s="3" t="inlineStr">
        <is>
          <t>Tổng 4-Bóng 9</t>
        </is>
      </c>
      <c r="J147" s="3" t="n">
        <v>48</v>
      </c>
      <c r="K147" s="7" t="inlineStr">
        <is>
          <t>TRƯỢT ❌</t>
        </is>
      </c>
      <c r="L147" s="3" t="inlineStr">
        <is>
          <t>06, 12, 13, 17, 21, 24, 33, 35, 38, 47, 51, 63, 67, 68, 76, 81, 85, 88, 92, 97</t>
        </is>
      </c>
      <c r="M147" s="7" t="inlineStr">
        <is>
          <t>TRƯỢT ❌</t>
        </is>
      </c>
      <c r="N147" s="6" t="inlineStr">
        <is>
          <t>TRÚNG N2 🎯</t>
        </is>
      </c>
      <c r="O147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148">
      <c r="A148" s="2" t="n">
        <v>144</v>
      </c>
      <c r="B148" s="2" t="inlineStr">
        <is>
          <t>Thứ sáu ngày 29-05-2026</t>
        </is>
      </c>
      <c r="C148" s="3" t="inlineStr">
        <is>
          <t>Thứ Năm</t>
        </is>
      </c>
      <c r="D148" s="3" t="inlineStr">
        <is>
          <t>77954</t>
        </is>
      </c>
      <c r="E148" s="3" t="inlineStr">
        <is>
          <t>54</t>
        </is>
      </c>
      <c r="F148" s="3" t="inlineStr">
        <is>
          <t>G7.4, G7.1</t>
        </is>
      </c>
      <c r="G148" s="3" t="inlineStr">
        <is>
          <t>Tổng 0, Tổng 2, Tổng 3, Tổng 5, Tổng 7, Tổng 8</t>
        </is>
      </c>
      <c r="H148" s="3" t="inlineStr">
        <is>
          <t>014569</t>
        </is>
      </c>
      <c r="I148" s="3" t="inlineStr">
        <is>
          <t>Tổng 0-Bóng 5</t>
        </is>
      </c>
      <c r="J148" s="3" t="n">
        <v>52</v>
      </c>
      <c r="K148" s="7" t="inlineStr">
        <is>
          <t>TRƯỢT ❌</t>
        </is>
      </c>
      <c r="L148" s="3" t="inlineStr">
        <is>
          <t>11, 12, 14, 17, 21, 25, 39, 41, 48, 50, 55, 61, 64, 69, 75, 76, 84, 85, 91, 94</t>
        </is>
      </c>
      <c r="M148" s="7" t="inlineStr">
        <is>
          <t>TRƯỢT ❌</t>
        </is>
      </c>
      <c r="N148" s="6" t="inlineStr">
        <is>
          <t>TRÚNG N2 🎯</t>
        </is>
      </c>
      <c r="O148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49">
      <c r="A149" s="2" t="n">
        <v>143</v>
      </c>
      <c r="B149" s="2" t="inlineStr">
        <is>
          <t>Thứ năm ngày 28-05-2026</t>
        </is>
      </c>
      <c r="C149" s="3" t="inlineStr">
        <is>
          <t>Thứ Tư</t>
        </is>
      </c>
      <c r="D149" s="3" t="inlineStr">
        <is>
          <t>00250</t>
        </is>
      </c>
      <c r="E149" s="3" t="inlineStr">
        <is>
          <t>50</t>
        </is>
      </c>
      <c r="F149" s="3" t="inlineStr">
        <is>
          <t>G7.2, G7.3</t>
        </is>
      </c>
      <c r="G149" s="3" t="inlineStr">
        <is>
          <t>Tổng 2, Tổng 4, Tổng 7, Tổng 9</t>
        </is>
      </c>
      <c r="H149" s="3" t="inlineStr">
        <is>
          <t>01245679</t>
        </is>
      </c>
      <c r="I149" s="3" t="inlineStr">
        <is>
          <t>Tổng 9-Bóng 4</t>
        </is>
      </c>
      <c r="J149" s="3" t="n">
        <v>40</v>
      </c>
      <c r="K149" s="7" t="inlineStr">
        <is>
          <t>TRƯỢT ❌</t>
        </is>
      </c>
      <c r="L149" s="3" t="inlineStr">
        <is>
          <t>04, 11, 13, 20, 25, 36, 39, 40, 43, 48, 52, 54, 59, 61, 63, 66, 68, 75, 81, 84</t>
        </is>
      </c>
      <c r="M149" s="7" t="inlineStr">
        <is>
          <t>TRƯỢT ❌</t>
        </is>
      </c>
      <c r="N149" s="6" t="inlineStr">
        <is>
          <t>TRÚNG N2 🎯</t>
        </is>
      </c>
      <c r="O149" s="3" t="inlineStr">
        <is>
          <t>02, 04, 07, 09, 11, 13, 16, 18, 20, 22, 25, 27, 31, 34, 36, 39, 40, 43, 45, 48, 52, 54, 57, 59, 61, 63, 66, 68, 70, 72, 75, 77, 81, 84, 86, 89, 90, 93, 95, 98</t>
        </is>
      </c>
    </row>
    <row r="150">
      <c r="A150" s="2" t="n">
        <v>142</v>
      </c>
      <c r="B150" s="2" t="inlineStr">
        <is>
          <t>Thứ tư ngày 27-05-2026</t>
        </is>
      </c>
      <c r="C150" s="3" t="inlineStr">
        <is>
          <t>Thứ Ba</t>
        </is>
      </c>
      <c r="D150" s="3" t="inlineStr">
        <is>
          <t>61513</t>
        </is>
      </c>
      <c r="E150" s="3" t="inlineStr">
        <is>
          <t>13</t>
        </is>
      </c>
      <c r="F150" s="3" t="inlineStr">
        <is>
          <t>G7.3, G7.4</t>
        </is>
      </c>
      <c r="G150" s="3" t="inlineStr">
        <is>
          <t>Tổng 0, Tổng 3, Tổng 4, Tổng 5, Tổng 8, Tổng 9</t>
        </is>
      </c>
      <c r="H150" s="3" t="inlineStr">
        <is>
          <t>12346789</t>
        </is>
      </c>
      <c r="I150" s="3" t="inlineStr">
        <is>
          <t>Tổng 8-Bóng 3</t>
        </is>
      </c>
      <c r="J150" s="3" t="n">
        <v>56</v>
      </c>
      <c r="K150" s="6" t="inlineStr">
        <is>
          <t>TRÚNG N1 🎯</t>
        </is>
      </c>
      <c r="L150" s="3" t="inlineStr">
        <is>
          <t>04, 12, 14, 17, 21, 23, 32, 37, 40, 41, 54, 59, 64, 68, 69, 76, 81, 85, 91, 94</t>
        </is>
      </c>
      <c r="M150" s="7" t="inlineStr">
        <is>
          <t>TRƯỢT ❌</t>
        </is>
      </c>
      <c r="N150" s="6" t="inlineStr">
        <is>
          <t>TRÚNG N1 🎯</t>
        </is>
      </c>
      <c r="O150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51">
      <c r="A151" s="2" t="n">
        <v>141</v>
      </c>
      <c r="B151" s="2" t="inlineStr">
        <is>
          <t>Thứ ba ngày 26-05-2026</t>
        </is>
      </c>
      <c r="C151" s="3" t="inlineStr">
        <is>
          <t>Thứ Hai</t>
        </is>
      </c>
      <c r="D151" s="3" t="inlineStr">
        <is>
          <t>49111</t>
        </is>
      </c>
      <c r="E151" s="3" t="inlineStr">
        <is>
          <t>11</t>
        </is>
      </c>
      <c r="F151" s="3" t="inlineStr">
        <is>
          <t>G7.4, G7.2</t>
        </is>
      </c>
      <c r="G151" s="3" t="inlineStr">
        <is>
          <t>Tổng 0, Tổng 2, Tổng 5, Tổng 7</t>
        </is>
      </c>
      <c r="H151" s="3" t="inlineStr">
        <is>
          <t>01345689</t>
        </is>
      </c>
      <c r="I151" s="3" t="inlineStr">
        <is>
          <t>Tổng 5-Bóng 0</t>
        </is>
      </c>
      <c r="J151" s="3" t="n">
        <v>40</v>
      </c>
      <c r="K151" s="6" t="inlineStr">
        <is>
          <t>TRÚNG N1 🎯</t>
        </is>
      </c>
      <c r="L151" s="3" t="inlineStr">
        <is>
          <t>00, 14, 23, 25, 28, 32, 37, 39, 41, 48, 50, 55, 61, 64, 66, 69, 75, 82, 84, 91</t>
        </is>
      </c>
      <c r="M151" s="7" t="inlineStr">
        <is>
          <t>TRƯỢT ❌</t>
        </is>
      </c>
      <c r="N151" s="6" t="inlineStr">
        <is>
          <t>TRÚNG N1 🎯</t>
        </is>
      </c>
      <c r="O151" s="3" t="inlineStr">
        <is>
          <t>00, 02, 05, 07, 11, 14, 16, 19, 20, 23, 25, 28, 32, 34, 37, 39, 41, 43, 46, 48, 50, 52, 55, 57, 61, 64, 66, 69, 70, 73, 75, 78, 82, 84, 87, 89, 91, 93, 96, 98</t>
        </is>
      </c>
    </row>
    <row r="152">
      <c r="A152" s="2" t="n">
        <v>140</v>
      </c>
      <c r="B152" s="2" t="inlineStr">
        <is>
          <t>Thứ hai ngày 25-05-2026</t>
        </is>
      </c>
      <c r="C152" s="3" t="inlineStr">
        <is>
          <t>Chủ Nhật</t>
        </is>
      </c>
      <c r="D152" s="3" t="inlineStr">
        <is>
          <t>97281</t>
        </is>
      </c>
      <c r="E152" s="3" t="inlineStr">
        <is>
          <t>81</t>
        </is>
      </c>
      <c r="F152" s="3" t="inlineStr">
        <is>
          <t>G7.3, G7.1</t>
        </is>
      </c>
      <c r="G152" s="3" t="inlineStr">
        <is>
          <t>Tổng 1, Tổng 3, Tổng 6, Tổng 8</t>
        </is>
      </c>
      <c r="H152" s="3" t="inlineStr">
        <is>
          <t>0123456789</t>
        </is>
      </c>
      <c r="I152" s="3" t="inlineStr">
        <is>
          <t>Tổng 8-Bóng 3</t>
        </is>
      </c>
      <c r="J152" s="3" t="n">
        <v>40</v>
      </c>
      <c r="K152" s="7" t="inlineStr">
        <is>
          <t>TRƯỢT ❌</t>
        </is>
      </c>
      <c r="L152" s="3" t="inlineStr">
        <is>
          <t>06, 08, 12, 17, 21, 24, 33, 35, 38, 42, 44, 47, 51, 67, 76, 85, 88, 92, 94, 97</t>
        </is>
      </c>
      <c r="M152" s="7" t="inlineStr">
        <is>
          <t>TRƯỢT ❌</t>
        </is>
      </c>
      <c r="N152" s="7" t="inlineStr">
        <is>
          <t>TRƯỢT KHUNG ❌</t>
        </is>
      </c>
      <c r="O152" s="3" t="inlineStr">
        <is>
          <t>01, 03, 06, 08, 10, 12, 15, 17, 21, 24, 26, 29, 30, 33, 35, 38, 42, 44, 47, 49, 51, 53, 56, 58, 60, 62, 65, 67, 71, 74, 76, 79, 80, 83, 85, 88, 92, 94, 97, 99</t>
        </is>
      </c>
    </row>
    <row r="153">
      <c r="A153" s="2" t="n">
        <v>139</v>
      </c>
      <c r="B153" s="2" t="inlineStr">
        <is>
          <t>Chủ nhật ngày 24-05-2026</t>
        </is>
      </c>
      <c r="C153" s="3" t="inlineStr">
        <is>
          <t>Thứ Bảy</t>
        </is>
      </c>
      <c r="D153" s="3" t="inlineStr">
        <is>
          <t>20104</t>
        </is>
      </c>
      <c r="E153" s="3" t="inlineStr">
        <is>
          <t>04</t>
        </is>
      </c>
      <c r="F153" s="3" t="inlineStr">
        <is>
          <t>G7.1, G7.3</t>
        </is>
      </c>
      <c r="G153" s="3" t="inlineStr">
        <is>
          <t>Tổng 2, Tổng 3, Tổng 4, Tổng 7, Tổng 8, Tổng 9</t>
        </is>
      </c>
      <c r="H153" s="3" t="inlineStr">
        <is>
          <t>0123456789</t>
        </is>
      </c>
      <c r="I153" s="3" t="inlineStr">
        <is>
          <t>Tổng 4-Bóng 9</t>
        </is>
      </c>
      <c r="J153" s="3" t="n">
        <v>60</v>
      </c>
      <c r="K153" s="6" t="inlineStr">
        <is>
          <t>TRÚNG N1 🎯</t>
        </is>
      </c>
      <c r="L153" s="3" t="inlineStr">
        <is>
          <t>04, 12, 17, 21, 25, 39, 40, 48, 54, 59, 61, 63, 67, 68, 75, 76, 84, 85, 93, 94</t>
        </is>
      </c>
      <c r="M153" s="6" t="inlineStr">
        <is>
          <t>TRÚNG HỎA LỰC 🎯</t>
        </is>
      </c>
      <c r="N153" s="6" t="inlineStr">
        <is>
          <t>TRÚNG N1 🎯</t>
        </is>
      </c>
      <c r="O15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4">
      <c r="A154" s="2" t="n">
        <v>138</v>
      </c>
      <c r="B154" s="2" t="inlineStr">
        <is>
          <t>Thứ bảy ngày 23-05-2026</t>
        </is>
      </c>
      <c r="C154" s="3" t="inlineStr">
        <is>
          <t>Thứ Sáu</t>
        </is>
      </c>
      <c r="D154" s="3" t="inlineStr">
        <is>
          <t>38021</t>
        </is>
      </c>
      <c r="E154" s="3" t="inlineStr">
        <is>
          <t>21</t>
        </is>
      </c>
      <c r="F154" s="3" t="inlineStr">
        <is>
          <t>G7.4, G7.1</t>
        </is>
      </c>
      <c r="G154" s="3" t="inlineStr">
        <is>
          <t>Tổng 0, Tổng 2, Tổng 4, Tổng 5, Tổng 7, Tổng 9</t>
        </is>
      </c>
      <c r="H154" s="3" t="inlineStr">
        <is>
          <t>12346789</t>
        </is>
      </c>
      <c r="I154" s="3" t="inlineStr">
        <is>
          <t>Tổng 5-Bóng 0</t>
        </is>
      </c>
      <c r="J154" s="3" t="n">
        <v>56</v>
      </c>
      <c r="K154" s="7" t="inlineStr">
        <is>
          <t>TRƯỢT ❌</t>
        </is>
      </c>
      <c r="L154" s="3" t="inlineStr">
        <is>
          <t>04, 14, 23, 25, 28, 32, 37, 39, 40, 41, 48, 54, 59, 61, 64, 68, 69, 75, 84, 91</t>
        </is>
      </c>
      <c r="M154" s="7" t="inlineStr">
        <is>
          <t>TRƯỢT ❌</t>
        </is>
      </c>
      <c r="N154" s="6" t="inlineStr">
        <is>
          <t>TRÚNG N2 🎯</t>
        </is>
      </c>
      <c r="O154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155">
      <c r="A155" s="2" t="n">
        <v>137</v>
      </c>
      <c r="B155" s="2" t="inlineStr">
        <is>
          <t>Thứ sáu ngày 22-05-2026</t>
        </is>
      </c>
      <c r="C155" s="3" t="inlineStr">
        <is>
          <t>Thứ Năm</t>
        </is>
      </c>
      <c r="D155" s="3" t="inlineStr">
        <is>
          <t>72939</t>
        </is>
      </c>
      <c r="E155" s="3" t="inlineStr">
        <is>
          <t>39</t>
        </is>
      </c>
      <c r="F155" s="3" t="inlineStr">
        <is>
          <t>G7.4, G7.1</t>
        </is>
      </c>
      <c r="G155" s="3" t="inlineStr">
        <is>
          <t>Tổng 1, Tổng 2, Tổng 6, Tổng 7</t>
        </is>
      </c>
      <c r="H155" s="3" t="inlineStr">
        <is>
          <t>02345789</t>
        </is>
      </c>
      <c r="I155" s="3" t="inlineStr">
        <is>
          <t>Tổng 7-Bóng 2</t>
        </is>
      </c>
      <c r="J155" s="3" t="n">
        <v>36</v>
      </c>
      <c r="K155" s="6" t="inlineStr">
        <is>
          <t>TRÚNG N1 🎯</t>
        </is>
      </c>
      <c r="L155" s="3" t="inlineStr">
        <is>
          <t>06, 20, 24, 25, 29, 33, 38, 39, 42, 43, 47, 48, 51, 52, 75, 84, 88, 92, 93, 97</t>
        </is>
      </c>
      <c r="M155" s="6" t="inlineStr">
        <is>
          <t>TRÚNG HỎA LỰC 🎯</t>
        </is>
      </c>
      <c r="N155" s="6" t="inlineStr">
        <is>
          <t>TRÚNG N1 🎯</t>
        </is>
      </c>
      <c r="O155" s="3" t="inlineStr">
        <is>
          <t>01, 02, 06, 07, 10, 15, 20, 24, 25, 29, 33, 34, 38, 39, 42, 43, 47, 48, 51, 52, 56, 57, 60, 65, 70, 74, 75, 79, 83, 84, 88, 89, 92, 93, 97, 98</t>
        </is>
      </c>
    </row>
    <row r="156">
      <c r="A156" s="2" t="n">
        <v>136</v>
      </c>
      <c r="B156" s="2" t="inlineStr">
        <is>
          <t>Thứ năm ngày 21-05-2026</t>
        </is>
      </c>
      <c r="C156" s="3" t="inlineStr">
        <is>
          <t>Thứ Tư</t>
        </is>
      </c>
      <c r="D156" s="3" t="inlineStr">
        <is>
          <t>72685</t>
        </is>
      </c>
      <c r="E156" s="3" t="inlineStr">
        <is>
          <t>85</t>
        </is>
      </c>
      <c r="F156" s="3" t="inlineStr">
        <is>
          <t>G7.2, G7.3</t>
        </is>
      </c>
      <c r="G156" s="3" t="inlineStr">
        <is>
          <t>Tổng 2, Tổng 3, Tổng 7, Tổng 8</t>
        </is>
      </c>
      <c r="H156" s="3" t="inlineStr">
        <is>
          <t>01245679</t>
        </is>
      </c>
      <c r="I156" s="3" t="inlineStr">
        <is>
          <t>Tổng 2-Bóng 7</t>
        </is>
      </c>
      <c r="J156" s="3" t="n">
        <v>40</v>
      </c>
      <c r="K156" s="6" t="inlineStr">
        <is>
          <t>TRÚNG N1 🎯</t>
        </is>
      </c>
      <c r="L156" s="3" t="inlineStr">
        <is>
          <t>08, 12, 17, 20, 25, 35, 39, 43, 44, 48, 49, 52, 61, 66, 67, 75, 76, 84, 93, 94</t>
        </is>
      </c>
      <c r="M156" s="7" t="inlineStr">
        <is>
          <t>TRƯỢT ❌</t>
        </is>
      </c>
      <c r="N156" s="6" t="inlineStr">
        <is>
          <t>TRÚNG N1 🎯</t>
        </is>
      </c>
      <c r="O156" s="3" t="inlineStr">
        <is>
          <t>02, 03, 07, 08, 11, 12, 16, 17, 20, 21, 25, 26, 30, 34, 35, 39, 43, 44, 48, 49, 52, 53, 57, 58, 61, 62, 66, 67, 70, 71, 75, 76, 80, 84, 85, 89, 93, 94, 98, 99</t>
        </is>
      </c>
    </row>
    <row r="157">
      <c r="A157" s="2" t="n">
        <v>135</v>
      </c>
      <c r="B157" s="2" t="inlineStr">
        <is>
          <t>Thứ tư ngày 20-05-2026</t>
        </is>
      </c>
      <c r="C157" s="3" t="inlineStr">
        <is>
          <t>Thứ Ba</t>
        </is>
      </c>
      <c r="D157" s="3" t="inlineStr">
        <is>
          <t>88568</t>
        </is>
      </c>
      <c r="E157" s="3" t="inlineStr">
        <is>
          <t>68</t>
        </is>
      </c>
      <c r="F157" s="3" t="inlineStr">
        <is>
          <t>G7.3, G7.4</t>
        </is>
      </c>
      <c r="G157" s="3" t="inlineStr">
        <is>
          <t>Tổng 0, Tổng 3, Tổng 5, Tổng 8</t>
        </is>
      </c>
      <c r="H157" s="3" t="inlineStr">
        <is>
          <t>123678</t>
        </is>
      </c>
      <c r="I157" s="3" t="inlineStr">
        <is>
          <t>Tổng 3-Bóng 8</t>
        </is>
      </c>
      <c r="J157" s="3" t="n">
        <v>32</v>
      </c>
      <c r="K157" s="7" t="inlineStr">
        <is>
          <t>TRƯỢT ❌</t>
        </is>
      </c>
      <c r="L157" s="3" t="inlineStr">
        <is>
          <t>08, 12, 14, 17, 23, 28, 32, 35, 37, 41, 46, 64, 67, 69, 76, 78, 80, 82, 87, 91</t>
        </is>
      </c>
      <c r="M157" s="7" t="inlineStr">
        <is>
          <t>TRƯỢT ❌</t>
        </is>
      </c>
      <c r="N157" s="6" t="inlineStr">
        <is>
          <t>TRÚNG N2 🎯</t>
        </is>
      </c>
      <c r="O157" s="3" t="inlineStr">
        <is>
          <t>03, 08, 12, 14, 17, 19, 21, 23, 26, 28, 30, 32, 35, 37, 41, 46, 53, 58, 62, 64, 67, 69, 71, 73, 76, 78, 80, 82, 85, 87, 91, 96</t>
        </is>
      </c>
    </row>
    <row r="158">
      <c r="A158" s="2" t="n">
        <v>134</v>
      </c>
      <c r="B158" s="2" t="inlineStr">
        <is>
          <t>Thứ ba ngày 19-05-2026</t>
        </is>
      </c>
      <c r="C158" s="3" t="inlineStr">
        <is>
          <t>Thứ Hai</t>
        </is>
      </c>
      <c r="D158" s="3" t="inlineStr">
        <is>
          <t>81754</t>
        </is>
      </c>
      <c r="E158" s="3" t="inlineStr">
        <is>
          <t>54</t>
        </is>
      </c>
      <c r="F158" s="3" t="inlineStr">
        <is>
          <t>G7.4, G7.2</t>
        </is>
      </c>
      <c r="G158" s="3" t="inlineStr">
        <is>
          <t>Tổng 0, Tổng 1, Tổng 3, Tổng 5, Tổng 6, Tổng 8</t>
        </is>
      </c>
      <c r="H158" s="3" t="inlineStr">
        <is>
          <t>01245679</t>
        </is>
      </c>
      <c r="I158" s="3" t="inlineStr">
        <is>
          <t>Tổng 6-Bóng 1</t>
        </is>
      </c>
      <c r="J158" s="3" t="n">
        <v>56</v>
      </c>
      <c r="K158" s="7" t="inlineStr">
        <is>
          <t>TRƯỢT ❌</t>
        </is>
      </c>
      <c r="L158" s="3" t="inlineStr">
        <is>
          <t>12, 14, 17, 23, 24, 28, 32, 37, 41, 47, 51, 55, 64, 67, 69, 76, 91, 92, 94, 97</t>
        </is>
      </c>
      <c r="M158" s="7" t="inlineStr">
        <is>
          <t>TRƯỢT ❌</t>
        </is>
      </c>
      <c r="N158" s="6" t="inlineStr">
        <is>
          <t>TRÚNG N3 🎯</t>
        </is>
      </c>
      <c r="O158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59">
      <c r="A159" s="2" t="n">
        <v>133</v>
      </c>
      <c r="B159" s="2" t="inlineStr">
        <is>
          <t>Thứ hai ngày 18-05-2026</t>
        </is>
      </c>
      <c r="C159" s="3" t="inlineStr">
        <is>
          <t>Chủ Nhật</t>
        </is>
      </c>
      <c r="D159" s="3" t="inlineStr">
        <is>
          <t>55361</t>
        </is>
      </c>
      <c r="E159" s="3" t="inlineStr">
        <is>
          <t>61</t>
        </is>
      </c>
      <c r="F159" s="3" t="inlineStr">
        <is>
          <t>G7.3, G7.4</t>
        </is>
      </c>
      <c r="G159" s="3" t="inlineStr">
        <is>
          <t>Tổng 2, Tổng 3, Tổng 4, Tổng 7, Tổng 8, Tổng 9</t>
        </is>
      </c>
      <c r="H159" s="3" t="inlineStr">
        <is>
          <t>0123456789</t>
        </is>
      </c>
      <c r="I159" s="3" t="inlineStr">
        <is>
          <t>Tổng 3-Bóng 8</t>
        </is>
      </c>
      <c r="J159" s="3" t="n">
        <v>60</v>
      </c>
      <c r="K159" s="6" t="inlineStr">
        <is>
          <t>TRÚNG N1 🎯</t>
        </is>
      </c>
      <c r="L159" s="3" t="inlineStr">
        <is>
          <t>04, 12, 17, 25, 39, 40, 43, 44, 48, 54, 59, 63, 66, 67, 75, 76, 84, 93, 94, 95</t>
        </is>
      </c>
      <c r="M159" s="7" t="inlineStr">
        <is>
          <t>TRƯỢT ❌</t>
        </is>
      </c>
      <c r="N159" s="6" t="inlineStr">
        <is>
          <t>TRÚNG N1 🎯</t>
        </is>
      </c>
      <c r="O15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60">
      <c r="A160" s="2" t="n">
        <v>132</v>
      </c>
      <c r="B160" s="2" t="inlineStr">
        <is>
          <t>Chủ nhật ngày 17-05-2026</t>
        </is>
      </c>
      <c r="C160" s="3" t="inlineStr">
        <is>
          <t>Thứ Bảy</t>
        </is>
      </c>
      <c r="D160" s="3" t="inlineStr">
        <is>
          <t>96684</t>
        </is>
      </c>
      <c r="E160" s="3" t="inlineStr">
        <is>
          <t>84</t>
        </is>
      </c>
      <c r="F160" s="3" t="inlineStr">
        <is>
          <t>G7.1, G7.3</t>
        </is>
      </c>
      <c r="G160" s="3" t="inlineStr">
        <is>
          <t>Tổng 0, Tổng 2, Tổng 4, Tổng 5, Tổng 7, Tổng 9</t>
        </is>
      </c>
      <c r="H160" s="3" t="inlineStr">
        <is>
          <t>01345689</t>
        </is>
      </c>
      <c r="I160" s="3" t="inlineStr">
        <is>
          <t>Tổng 0-Bóng 5</t>
        </is>
      </c>
      <c r="J160" s="3" t="n">
        <v>56</v>
      </c>
      <c r="K160" s="6" t="inlineStr">
        <is>
          <t>TRÚNG N1 🎯</t>
        </is>
      </c>
      <c r="L160" s="3" t="inlineStr">
        <is>
          <t>04, 14, 23, 25, 28, 32, 37, 39, 40, 41, 43, 48, 54, 55, 59, 63, 64, 69, 75, 91</t>
        </is>
      </c>
      <c r="M160" s="7" t="inlineStr">
        <is>
          <t>TRƯỢT ❌</t>
        </is>
      </c>
      <c r="N160" s="6" t="inlineStr">
        <is>
          <t>TRÚNG N1 🎯</t>
        </is>
      </c>
      <c r="O160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61">
      <c r="A161" s="2" t="n">
        <v>131</v>
      </c>
      <c r="B161" s="2" t="inlineStr">
        <is>
          <t>Thứ bảy ngày 16-05-2026</t>
        </is>
      </c>
      <c r="C161" s="3" t="inlineStr">
        <is>
          <t>Thứ Sáu</t>
        </is>
      </c>
      <c r="D161" s="3" t="inlineStr">
        <is>
          <t>19404</t>
        </is>
      </c>
      <c r="E161" s="3" t="inlineStr">
        <is>
          <t>04</t>
        </is>
      </c>
      <c r="F161" s="3" t="inlineStr">
        <is>
          <t>G7.4, G7.1</t>
        </is>
      </c>
      <c r="G161" s="3" t="inlineStr">
        <is>
          <t>Tổng 1, Tổng 2, Tổng 3, Tổng 6, Tổng 7, Tổng 8</t>
        </is>
      </c>
      <c r="H161" s="3" t="inlineStr">
        <is>
          <t>02345789</t>
        </is>
      </c>
      <c r="I161" s="3" t="inlineStr">
        <is>
          <t>Tổng 7-Bóng 2</t>
        </is>
      </c>
      <c r="J161" s="3" t="n">
        <v>56</v>
      </c>
      <c r="K161" s="7" t="inlineStr">
        <is>
          <t>TRƯỢT ❌</t>
        </is>
      </c>
      <c r="L161" s="3" t="inlineStr">
        <is>
          <t>12, 17, 24, 25, 33, 35, 38, 39, 43, 47, 48, 51, 67, 75, 76, 88, 92, 93, 94, 97</t>
        </is>
      </c>
      <c r="M161" s="7" t="inlineStr">
        <is>
          <t>TRƯỢT ❌</t>
        </is>
      </c>
      <c r="N161" s="6" t="inlineStr">
        <is>
          <t>TRÚNG N2 🎯</t>
        </is>
      </c>
      <c r="O161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62">
      <c r="A162" s="2" t="n">
        <v>130</v>
      </c>
      <c r="B162" s="2" t="inlineStr">
        <is>
          <t>Thứ sáu ngày 15-05-2026</t>
        </is>
      </c>
      <c r="C162" s="3" t="inlineStr">
        <is>
          <t>Thứ Năm</t>
        </is>
      </c>
      <c r="D162" s="3" t="inlineStr">
        <is>
          <t>67294</t>
        </is>
      </c>
      <c r="E162" s="3" t="inlineStr">
        <is>
          <t>94</t>
        </is>
      </c>
      <c r="F162" s="3" t="inlineStr">
        <is>
          <t>G7.4, G7.1</t>
        </is>
      </c>
      <c r="G162" s="3" t="inlineStr">
        <is>
          <t>Tổng 2, Tổng 3, Tổng 4, Tổng 7, Tổng 8, Tổng 9</t>
        </is>
      </c>
      <c r="H162" s="3" t="inlineStr">
        <is>
          <t>0123456789</t>
        </is>
      </c>
      <c r="I162" s="3" t="inlineStr">
        <is>
          <t>Tổng 3-Bóng 8</t>
        </is>
      </c>
      <c r="J162" s="3" t="n">
        <v>60</v>
      </c>
      <c r="K162" s="6" t="inlineStr">
        <is>
          <t>TRÚNG N1 🎯</t>
        </is>
      </c>
      <c r="L162" s="3" t="inlineStr">
        <is>
          <t>04, 12, 17, 25, 35, 39, 40, 43, 44, 48, 52, 54, 59, 63, 66, 67, 75, 76, 93, 95</t>
        </is>
      </c>
      <c r="M162" s="7" t="inlineStr">
        <is>
          <t>TRƯỢT ❌</t>
        </is>
      </c>
      <c r="N162" s="6" t="inlineStr">
        <is>
          <t>TRÚNG N1 🎯</t>
        </is>
      </c>
      <c r="O16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63">
      <c r="A163" s="2" t="n">
        <v>129</v>
      </c>
      <c r="B163" s="2" t="inlineStr">
        <is>
          <t>Thứ năm ngày 14-05-2026</t>
        </is>
      </c>
      <c r="C163" s="3" t="inlineStr">
        <is>
          <t>Thứ Tư</t>
        </is>
      </c>
      <c r="D163" s="3" t="inlineStr">
        <is>
          <t>76669</t>
        </is>
      </c>
      <c r="E163" s="3" t="inlineStr">
        <is>
          <t>69</t>
        </is>
      </c>
      <c r="F163" s="3" t="inlineStr">
        <is>
          <t>G7.2, G7.3</t>
        </is>
      </c>
      <c r="G163" s="3" t="inlineStr">
        <is>
          <t>Tổng 1, Tổng 3, Tổng 4, Tổng 6, Tổng 8, Tổng 9</t>
        </is>
      </c>
      <c r="H163" s="3" t="inlineStr">
        <is>
          <t>034589</t>
        </is>
      </c>
      <c r="I163" s="3" t="inlineStr">
        <is>
          <t>Tổng 6-Bóng 1</t>
        </is>
      </c>
      <c r="J163" s="3" t="n">
        <v>48</v>
      </c>
      <c r="K163" s="7" t="inlineStr">
        <is>
          <t>TRƯỢT ❌</t>
        </is>
      </c>
      <c r="L163" s="3" t="inlineStr">
        <is>
          <t>01, 04, 06, 24, 29, 33, 35, 38, 40, 44, 47, 51, 54, 59, 63, 88, 92, 94, 95, 97</t>
        </is>
      </c>
      <c r="M163" s="7" t="inlineStr">
        <is>
          <t>TRƯỢT ❌</t>
        </is>
      </c>
      <c r="N163" s="6" t="inlineStr">
        <is>
          <t>TRÚNG N2 🎯</t>
        </is>
      </c>
      <c r="O163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64">
      <c r="A164" s="2" t="n">
        <v>128</v>
      </c>
      <c r="B164" s="2" t="inlineStr">
        <is>
          <t>Thứ tư ngày 13-05-2026</t>
        </is>
      </c>
      <c r="C164" s="3" t="inlineStr">
        <is>
          <t>Thứ Ba</t>
        </is>
      </c>
      <c r="D164" s="3" t="inlineStr">
        <is>
          <t>64138</t>
        </is>
      </c>
      <c r="E164" s="3" t="inlineStr">
        <is>
          <t>38</t>
        </is>
      </c>
      <c r="F164" s="3" t="inlineStr">
        <is>
          <t>G7.4, G7.3</t>
        </is>
      </c>
      <c r="G164" s="3" t="inlineStr">
        <is>
          <t>Tổng 0, Tổng 3, Tổng 4, Tổng 5, Tổng 8, Tổng 9</t>
        </is>
      </c>
      <c r="H164" s="3" t="inlineStr">
        <is>
          <t>01235678</t>
        </is>
      </c>
      <c r="I164" s="3" t="inlineStr">
        <is>
          <t>Tổng 0-Bóng 5</t>
        </is>
      </c>
      <c r="J164" s="3" t="n">
        <v>56</v>
      </c>
      <c r="K164" s="7" t="inlineStr">
        <is>
          <t>TRƯỢT ❌</t>
        </is>
      </c>
      <c r="L164" s="3" t="inlineStr">
        <is>
          <t>04, 12, 14, 17, 23, 28, 32, 35, 37, 40, 41, 54, 55, 59, 63, 64, 67, 69, 76, 91</t>
        </is>
      </c>
      <c r="M164" s="7" t="inlineStr">
        <is>
          <t>TRƯỢT ❌</t>
        </is>
      </c>
      <c r="N164" s="6" t="inlineStr">
        <is>
          <t>TRÚNG N2 🎯</t>
        </is>
      </c>
      <c r="O164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65">
      <c r="A165" s="2" t="n">
        <v>127</v>
      </c>
      <c r="B165" s="2" t="inlineStr">
        <is>
          <t>Thứ ba ngày 12-05-2026</t>
        </is>
      </c>
      <c r="C165" s="3" t="inlineStr">
        <is>
          <t>Thứ Hai</t>
        </is>
      </c>
      <c r="D165" s="3" t="inlineStr">
        <is>
          <t>52233</t>
        </is>
      </c>
      <c r="E165" s="3" t="inlineStr">
        <is>
          <t>33</t>
        </is>
      </c>
      <c r="F165" s="3" t="inlineStr">
        <is>
          <t>G7.4, G7.2</t>
        </is>
      </c>
      <c r="G165" s="3" t="inlineStr">
        <is>
          <t>Tổng 1, Tổng 4, Tổng 6, Tổng 9</t>
        </is>
      </c>
      <c r="H165" s="3" t="inlineStr">
        <is>
          <t>01345689</t>
        </is>
      </c>
      <c r="I165" s="3" t="inlineStr">
        <is>
          <t>Tổng 4-Bóng 9</t>
        </is>
      </c>
      <c r="J165" s="3" t="n">
        <v>36</v>
      </c>
      <c r="K165" s="6" t="inlineStr">
        <is>
          <t>TRÚNG N1 🎯</t>
        </is>
      </c>
      <c r="L165" s="3" t="inlineStr">
        <is>
          <t>01, 04, 06, 13, 24, 29, 36, 38, 40, 42, 47, 51, 54, 59, 63, 68, 88, 92, 95, 97</t>
        </is>
      </c>
      <c r="M165" s="7" t="inlineStr">
        <is>
          <t>TRƯỢT ❌</t>
        </is>
      </c>
      <c r="N165" s="6" t="inlineStr">
        <is>
          <t>TRÚNG N1 🎯</t>
        </is>
      </c>
      <c r="O165" s="3" t="inlineStr">
        <is>
          <t>01, 04, 06, 09, 10, 13, 15, 18, 24, 29, 31, 33, 36, 38, 40, 42, 45, 47, 51, 54, 56, 59, 60, 63, 65, 68, 74, 79, 81, 83, 86, 88, 90, 92, 95, 97</t>
        </is>
      </c>
    </row>
    <row r="166">
      <c r="A166" s="2" t="n">
        <v>126</v>
      </c>
      <c r="B166" s="2" t="inlineStr">
        <is>
          <t>Thứ hai ngày 11-05-2026</t>
        </is>
      </c>
      <c r="C166" s="3" t="inlineStr">
        <is>
          <t>Chủ Nhật</t>
        </is>
      </c>
      <c r="D166" s="3" t="inlineStr">
        <is>
          <t>52117</t>
        </is>
      </c>
      <c r="E166" s="3" t="inlineStr">
        <is>
          <t>17</t>
        </is>
      </c>
      <c r="F166" s="3" t="inlineStr">
        <is>
          <t>G7.3, G7.1</t>
        </is>
      </c>
      <c r="G166" s="3" t="inlineStr">
        <is>
          <t>Tổng 3, Tổng 8</t>
        </is>
      </c>
      <c r="H166" s="3" t="inlineStr">
        <is>
          <t>01235678</t>
        </is>
      </c>
      <c r="I166" s="3" t="inlineStr">
        <is>
          <t>Tổng 3-Bóng 8</t>
        </is>
      </c>
      <c r="J166" s="3" t="n">
        <v>16</v>
      </c>
      <c r="K166" s="6" t="inlineStr">
        <is>
          <t>TRÚNG N1 🎯</t>
        </is>
      </c>
      <c r="L166" s="3" t="inlineStr">
        <is>
          <t>03, 08, 12, 17, 21, 26, 30, 35, 53, 58, 62, 67, 71, 76, 80, 85</t>
        </is>
      </c>
      <c r="M166" s="6" t="inlineStr">
        <is>
          <t>TRÚNG HỎA LỰC 🎯</t>
        </is>
      </c>
      <c r="N166" s="6" t="inlineStr">
        <is>
          <t>TRÚNG N1 🎯</t>
        </is>
      </c>
      <c r="O166" s="3" t="inlineStr">
        <is>
          <t>03, 08, 12, 17, 21, 26, 30, 35, 53, 58, 62, 67, 71, 76, 80, 85</t>
        </is>
      </c>
    </row>
    <row r="167">
      <c r="A167" s="2" t="n">
        <v>125</v>
      </c>
      <c r="B167" s="2" t="inlineStr">
        <is>
          <t>Chủ nhật ngày 10-05-2026</t>
        </is>
      </c>
      <c r="C167" s="3" t="inlineStr">
        <is>
          <t>Thứ Bảy</t>
        </is>
      </c>
      <c r="D167" s="3" t="inlineStr">
        <is>
          <t>76223</t>
        </is>
      </c>
      <c r="E167" s="3" t="inlineStr">
        <is>
          <t>23</t>
        </is>
      </c>
      <c r="F167" s="3" t="inlineStr">
        <is>
          <t>G7.1, G7.3</t>
        </is>
      </c>
      <c r="G167" s="3" t="inlineStr">
        <is>
          <t>Tổng 0, Tổng 4, Tổng 5, Tổng 9</t>
        </is>
      </c>
      <c r="H167" s="3" t="inlineStr">
        <is>
          <t>01345689</t>
        </is>
      </c>
      <c r="I167" s="3" t="inlineStr">
        <is>
          <t>Tổng 5-Bóng 0</t>
        </is>
      </c>
      <c r="J167" s="3" t="n">
        <v>36</v>
      </c>
      <c r="K167" s="6" t="inlineStr">
        <is>
          <t>TRÚNG N1 🎯</t>
        </is>
      </c>
      <c r="L167" s="3" t="inlineStr">
        <is>
          <t>00, 04, 14, 28, 32, 37, 40, 41, 46, 50, 54, 55, 59, 63, 64, 68, 69, 82, 91, 95</t>
        </is>
      </c>
      <c r="M167" s="7" t="inlineStr">
        <is>
          <t>TRƯỢT ❌</t>
        </is>
      </c>
      <c r="N167" s="6" t="inlineStr">
        <is>
          <t>TRÚNG N1 🎯</t>
        </is>
      </c>
      <c r="O167" s="3" t="inlineStr">
        <is>
          <t>00, 04, 05, 09, 13, 14, 18, 19, 23, 28, 31, 32, 36, 37, 40, 41, 45, 46, 50, 54, 55, 59, 63, 64, 68, 69, 73, 78, 81, 82, 86, 87, 90, 91, 95, 96</t>
        </is>
      </c>
    </row>
    <row r="168">
      <c r="A168" s="2" t="n">
        <v>124</v>
      </c>
      <c r="B168" s="2" t="inlineStr">
        <is>
          <t>Thứ bảy ngày 09-05-2026</t>
        </is>
      </c>
      <c r="C168" s="3" t="inlineStr">
        <is>
          <t>Thứ Sáu</t>
        </is>
      </c>
      <c r="D168" s="3" t="inlineStr">
        <is>
          <t>26192</t>
        </is>
      </c>
      <c r="E168" s="3" t="inlineStr">
        <is>
          <t>92</t>
        </is>
      </c>
      <c r="F168" s="3" t="inlineStr">
        <is>
          <t>G7.4, G7.1</t>
        </is>
      </c>
      <c r="G168" s="3" t="inlineStr">
        <is>
          <t>Tổng 0, Tổng 3, Tổng 5, Tổng 8</t>
        </is>
      </c>
      <c r="H168" s="3" t="inlineStr">
        <is>
          <t>01245679</t>
        </is>
      </c>
      <c r="I168" s="3" t="inlineStr">
        <is>
          <t>Tổng 0-Bóng 5</t>
        </is>
      </c>
      <c r="J168" s="3" t="n">
        <v>40</v>
      </c>
      <c r="K168" s="7" t="inlineStr">
        <is>
          <t>TRƯỢT ❌</t>
        </is>
      </c>
      <c r="L168" s="3" t="inlineStr">
        <is>
          <t>00, 12, 14, 17, 28, 32, 35, 37, 41, 44, 46, 50, 55, 64, 67, 69, 76, 82, 87, 91</t>
        </is>
      </c>
      <c r="M168" s="7" t="inlineStr">
        <is>
          <t>TRƯỢT ❌</t>
        </is>
      </c>
      <c r="N168" s="6" t="inlineStr">
        <is>
          <t>TRÚNG N2 🎯</t>
        </is>
      </c>
      <c r="O168" s="3" t="inlineStr">
        <is>
          <t>00, 03, 05, 08, 12, 14, 17, 19, 21, 23, 26, 28, 30, 32, 35, 37, 41, 44, 46, 49, 50, 53, 55, 58, 62, 64, 67, 69, 71, 73, 76, 78, 80, 82, 85, 87, 91, 94, 96, 99</t>
        </is>
      </c>
    </row>
    <row r="169">
      <c r="A169" s="2" t="n">
        <v>123</v>
      </c>
      <c r="B169" s="2" t="inlineStr">
        <is>
          <t>Thứ sáu ngày 08-05-2026</t>
        </is>
      </c>
      <c r="C169" s="3" t="inlineStr">
        <is>
          <t>Thứ Năm</t>
        </is>
      </c>
      <c r="D169" s="3" t="inlineStr">
        <is>
          <t>29147</t>
        </is>
      </c>
      <c r="E169" s="3" t="inlineStr">
        <is>
          <t>47</t>
        </is>
      </c>
      <c r="F169" s="3" t="inlineStr">
        <is>
          <t>G7.4, G7.1</t>
        </is>
      </c>
      <c r="G169" s="3" t="inlineStr">
        <is>
          <t>Tổng 1, Tổng 2, Tổng 6, Tổng 7</t>
        </is>
      </c>
      <c r="H169" s="3" t="inlineStr">
        <is>
          <t>014569</t>
        </is>
      </c>
      <c r="I169" s="3" t="inlineStr">
        <is>
          <t>Tổng 7-Bóng 2</t>
        </is>
      </c>
      <c r="J169" s="3" t="n">
        <v>36</v>
      </c>
      <c r="K169" s="6" t="inlineStr">
        <is>
          <t>TRÚNG N1 🎯</t>
        </is>
      </c>
      <c r="L169" s="3" t="inlineStr">
        <is>
          <t>01, 06, 07, 20, 24, 25, 29, 39, 42, 43, 48, 51, 52, 57, 66, 70, 75, 92, 93, 97</t>
        </is>
      </c>
      <c r="M169" s="7" t="inlineStr">
        <is>
          <t>TRƯỢT ❌</t>
        </is>
      </c>
      <c r="N169" s="6" t="inlineStr">
        <is>
          <t>TRÚNG N1 🎯</t>
        </is>
      </c>
      <c r="O169" s="3" t="inlineStr">
        <is>
          <t>01, 02, 06, 07, 10, 11, 15, 16, 20, 24, 25, 29, 34, 39, 42, 43, 47, 48, 51, 52, 56, 57, 60, 61, 65, 66, 70, 74, 75, 79, 84, 89, 92, 93, 97, 98</t>
        </is>
      </c>
    </row>
    <row r="170">
      <c r="A170" s="2" t="n">
        <v>122</v>
      </c>
      <c r="B170" s="2" t="inlineStr">
        <is>
          <t>Thứ năm ngày 07-05-2026</t>
        </is>
      </c>
      <c r="C170" s="3" t="inlineStr">
        <is>
          <t>Thứ Tư</t>
        </is>
      </c>
      <c r="D170" s="3" t="inlineStr">
        <is>
          <t>14540</t>
        </is>
      </c>
      <c r="E170" s="3" t="inlineStr">
        <is>
          <t>40</t>
        </is>
      </c>
      <c r="F170" s="3" t="inlineStr">
        <is>
          <t>G7.2, G7.4</t>
        </is>
      </c>
      <c r="G170" s="3" t="inlineStr">
        <is>
          <t>Tổng 0, Tổng 2, Tổng 4, Tổng 5, Tổng 7, Tổng 9</t>
        </is>
      </c>
      <c r="H170" s="3" t="inlineStr">
        <is>
          <t>01245679</t>
        </is>
      </c>
      <c r="I170" s="3" t="inlineStr">
        <is>
          <t>Tổng 4-Bóng 9</t>
        </is>
      </c>
      <c r="J170" s="3" t="n">
        <v>60</v>
      </c>
      <c r="K170" s="6" t="inlineStr">
        <is>
          <t>TRÚNG N1 🎯</t>
        </is>
      </c>
      <c r="L170" s="3" t="inlineStr">
        <is>
          <t>00, 04, 14, 25, 28, 32, 37, 39, 41, 43, 48, 50, 54, 55, 59, 63, 64, 69, 75, 82</t>
        </is>
      </c>
      <c r="M170" s="7" t="inlineStr">
        <is>
          <t>TRƯỢT ❌</t>
        </is>
      </c>
      <c r="N170" s="6" t="inlineStr">
        <is>
          <t>TRÚNG N1 🎯</t>
        </is>
      </c>
      <c r="O17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1">
      <c r="A171" s="2" t="n">
        <v>121</v>
      </c>
      <c r="B171" s="2" t="inlineStr">
        <is>
          <t>Thứ tư ngày 06-05-2026</t>
        </is>
      </c>
      <c r="C171" s="3" t="inlineStr">
        <is>
          <t>Thứ Ba</t>
        </is>
      </c>
      <c r="D171" s="3" t="inlineStr">
        <is>
          <t>80241</t>
        </is>
      </c>
      <c r="E171" s="3" t="inlineStr">
        <is>
          <t>41</t>
        </is>
      </c>
      <c r="F171" s="3" t="inlineStr">
        <is>
          <t>G7.4, G7.3</t>
        </is>
      </c>
      <c r="G171" s="3" t="inlineStr">
        <is>
          <t>Tổng 0, Tổng 3, Tổng 4, Tổng 5, Tổng 8, Tổng 9</t>
        </is>
      </c>
      <c r="H171" s="3" t="inlineStr">
        <is>
          <t>0123456789</t>
        </is>
      </c>
      <c r="I171" s="3" t="inlineStr">
        <is>
          <t>Tổng 3-Bóng 8</t>
        </is>
      </c>
      <c r="J171" s="3" t="n">
        <v>60</v>
      </c>
      <c r="K171" s="6" t="inlineStr">
        <is>
          <t>TRÚNG N1 🎯</t>
        </is>
      </c>
      <c r="L171" s="3" t="inlineStr">
        <is>
          <t>00, 04, 12, 14, 17, 28, 32, 35, 37, 50, 54, 55, 59, 63, 64, 68, 69, 76, 82, 91</t>
        </is>
      </c>
      <c r="M171" s="7" t="inlineStr">
        <is>
          <t>TRƯỢT ❌</t>
        </is>
      </c>
      <c r="N171" s="6" t="inlineStr">
        <is>
          <t>TRÚNG N1 🎯</t>
        </is>
      </c>
      <c r="O17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72">
      <c r="A172" s="2" t="n">
        <v>120</v>
      </c>
      <c r="B172" s="2" t="inlineStr">
        <is>
          <t>Thứ ba ngày 05-05-2026</t>
        </is>
      </c>
      <c r="C172" s="3" t="inlineStr">
        <is>
          <t>Thứ Hai</t>
        </is>
      </c>
      <c r="D172" s="3" t="inlineStr">
        <is>
          <t>22512</t>
        </is>
      </c>
      <c r="E172" s="3" t="inlineStr">
        <is>
          <t>12</t>
        </is>
      </c>
      <c r="F172" s="3" t="inlineStr">
        <is>
          <t>G7.4, G7.2</t>
        </is>
      </c>
      <c r="G172" s="3" t="inlineStr">
        <is>
          <t>Tổng 0, Tổng 3, Tổng 5, Tổng 8</t>
        </is>
      </c>
      <c r="H172" s="3" t="inlineStr">
        <is>
          <t>0123456789</t>
        </is>
      </c>
      <c r="I172" s="3" t="inlineStr">
        <is>
          <t>Tổng 8-Bóng 3</t>
        </is>
      </c>
      <c r="J172" s="3" t="n">
        <v>40</v>
      </c>
      <c r="K172" s="6" t="inlineStr">
        <is>
          <t>TRÚNG N1 🎯</t>
        </is>
      </c>
      <c r="L172" s="3" t="inlineStr">
        <is>
          <t>00, 14, 17, 28, 32, 35, 37, 44, 46, 49, 50, 55, 64, 67, 69, 76, 80, 82, 87, 91</t>
        </is>
      </c>
      <c r="M172" s="7" t="inlineStr">
        <is>
          <t>TRƯỢT ❌</t>
        </is>
      </c>
      <c r="N172" s="6" t="inlineStr">
        <is>
          <t>TRÚNG N1 🎯</t>
        </is>
      </c>
      <c r="O172" s="3" t="inlineStr">
        <is>
          <t>00, 03, 05, 08, 12, 14, 17, 19, 21, 23, 26, 28, 30, 32, 35, 37, 41, 44, 46, 49, 50, 53, 55, 58, 62, 64, 67, 69, 71, 73, 76, 78, 80, 82, 85, 87, 91, 94, 96, 99</t>
        </is>
      </c>
    </row>
    <row r="173">
      <c r="A173" s="2" t="n">
        <v>119</v>
      </c>
      <c r="B173" s="2" t="inlineStr">
        <is>
          <t>Thứ hai ngày 04-05-2026</t>
        </is>
      </c>
      <c r="C173" s="3" t="inlineStr">
        <is>
          <t>Chủ Nhật</t>
        </is>
      </c>
      <c r="D173" s="3" t="inlineStr">
        <is>
          <t>11251</t>
        </is>
      </c>
      <c r="E173" s="3" t="inlineStr">
        <is>
          <t>51</t>
        </is>
      </c>
      <c r="F173" s="3" t="inlineStr">
        <is>
          <t>G7.3, G7.1</t>
        </is>
      </c>
      <c r="G173" s="3" t="inlineStr">
        <is>
          <t>Tổng 0, Tổng 1, Tổng 4, Tổng 5, Tổng 6, Tổng 9</t>
        </is>
      </c>
      <c r="H173" s="3" t="inlineStr">
        <is>
          <t>0123456789</t>
        </is>
      </c>
      <c r="I173" s="3" t="inlineStr">
        <is>
          <t>Tổng 5-Bóng 0</t>
        </is>
      </c>
      <c r="J173" s="3" t="n">
        <v>60</v>
      </c>
      <c r="K173" s="6" t="inlineStr">
        <is>
          <t>TRÚNG N1 🎯</t>
        </is>
      </c>
      <c r="L173" s="3" t="inlineStr">
        <is>
          <t>00, 04, 06, 14, 24, 28, 32, 37, 38, 50, 54, 55, 59, 63, 64, 69, 82, 88, 91, 97</t>
        </is>
      </c>
      <c r="M173" s="7" t="inlineStr">
        <is>
          <t>TRƯỢT ❌</t>
        </is>
      </c>
      <c r="N173" s="6" t="inlineStr">
        <is>
          <t>TRÚNG N1 🎯</t>
        </is>
      </c>
      <c r="O17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4">
      <c r="A174" s="2" t="n">
        <v>118</v>
      </c>
      <c r="B174" s="2" t="inlineStr">
        <is>
          <t>Chủ nhật ngày 03-05-2026</t>
        </is>
      </c>
      <c r="C174" s="3" t="inlineStr">
        <is>
          <t>Thứ Bảy</t>
        </is>
      </c>
      <c r="D174" s="3" t="inlineStr">
        <is>
          <t>32964</t>
        </is>
      </c>
      <c r="E174" s="3" t="inlineStr">
        <is>
          <t>64</t>
        </is>
      </c>
      <c r="F174" s="3" t="inlineStr">
        <is>
          <t>G7.1, G7.3</t>
        </is>
      </c>
      <c r="G174" s="3" t="inlineStr">
        <is>
          <t>Tổng 0, Tổng 1, Tổng 3, Tổng 5, Tổng 6, Tổng 8</t>
        </is>
      </c>
      <c r="H174" s="3" t="inlineStr">
        <is>
          <t>12346789</t>
        </is>
      </c>
      <c r="I174" s="3" t="inlineStr">
        <is>
          <t>Tổng 1-Bóng 6</t>
        </is>
      </c>
      <c r="J174" s="3" t="n">
        <v>56</v>
      </c>
      <c r="K174" s="6" t="inlineStr">
        <is>
          <t>TRÚNG N1 🎯</t>
        </is>
      </c>
      <c r="L174" s="3" t="inlineStr">
        <is>
          <t>06, 14, 17, 24, 28, 32, 35, 37, 38, 42, 44, 51, 64, 67, 69, 76, 82, 88, 91, 97</t>
        </is>
      </c>
      <c r="M174" s="6" t="inlineStr">
        <is>
          <t>TRÚNG HỎA LỰC 🎯</t>
        </is>
      </c>
      <c r="N174" s="6" t="inlineStr">
        <is>
          <t>TRÚNG N1 🎯</t>
        </is>
      </c>
      <c r="O174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75">
      <c r="A175" s="2" t="n">
        <v>117</v>
      </c>
      <c r="B175" s="2" t="inlineStr">
        <is>
          <t>Thứ bảy ngày 02-05-2026</t>
        </is>
      </c>
      <c r="C175" s="3" t="inlineStr">
        <is>
          <t>Thứ Sáu</t>
        </is>
      </c>
      <c r="D175" s="3" t="inlineStr">
        <is>
          <t>16132</t>
        </is>
      </c>
      <c r="E175" s="3" t="inlineStr">
        <is>
          <t>32</t>
        </is>
      </c>
      <c r="F175" s="3" t="inlineStr">
        <is>
          <t>G7.4, G7.1</t>
        </is>
      </c>
      <c r="G175" s="3" t="inlineStr">
        <is>
          <t>Tổng 0, Tổng 2, Tổng 5, Tổng 7</t>
        </is>
      </c>
      <c r="H175" s="3" t="inlineStr">
        <is>
          <t>12346789</t>
        </is>
      </c>
      <c r="I175" s="3" t="inlineStr">
        <is>
          <t>Tổng 0-Bóng 5</t>
        </is>
      </c>
      <c r="J175" s="3" t="n">
        <v>36</v>
      </c>
      <c r="K175" s="6" t="inlineStr">
        <is>
          <t>TRÚNG N1 🎯</t>
        </is>
      </c>
      <c r="L175" s="3" t="inlineStr">
        <is>
          <t>14, 20, 25, 28, 32, 37, 39, 43, 46, 48, 52, 64, 66, 69, 70, 75, 78, 82, 91, 93</t>
        </is>
      </c>
      <c r="M175" s="6" t="inlineStr">
        <is>
          <t>TRÚNG HỎA LỰC 🎯</t>
        </is>
      </c>
      <c r="N175" s="6" t="inlineStr">
        <is>
          <t>TRÚNG N1 🎯</t>
        </is>
      </c>
      <c r="O175" s="3" t="inlineStr">
        <is>
          <t>02, 07, 11, 14, 16, 19, 20, 23, 25, 28, 32, 34, 37, 39, 41, 43, 46, 48, 52, 57, 61, 64, 66, 69, 70, 73, 75, 78, 82, 84, 87, 89, 91, 93, 96, 98</t>
        </is>
      </c>
    </row>
    <row r="176">
      <c r="A176" s="2" t="n">
        <v>116</v>
      </c>
      <c r="B176" s="2" t="inlineStr">
        <is>
          <t>Thứ sáu ngày 01-05-2026</t>
        </is>
      </c>
      <c r="C176" s="3" t="inlineStr">
        <is>
          <t>Thứ Năm</t>
        </is>
      </c>
      <c r="D176" s="3" t="inlineStr">
        <is>
          <t>96637</t>
        </is>
      </c>
      <c r="E176" s="3" t="inlineStr">
        <is>
          <t>37</t>
        </is>
      </c>
      <c r="F176" s="3" t="inlineStr">
        <is>
          <t>G7.4, G7.1</t>
        </is>
      </c>
      <c r="G176" s="3" t="inlineStr">
        <is>
          <t>Tổng 1, Tổng 2, Tổng 3, Tổng 6, Tổng 7, Tổng 8</t>
        </is>
      </c>
      <c r="H176" s="3" t="inlineStr">
        <is>
          <t>0123456789</t>
        </is>
      </c>
      <c r="I176" s="3" t="inlineStr">
        <is>
          <t>Tổng 7-Bóng 2</t>
        </is>
      </c>
      <c r="J176" s="3" t="n">
        <v>60</v>
      </c>
      <c r="K176" s="7" t="inlineStr">
        <is>
          <t>TRƯỢT ❌</t>
        </is>
      </c>
      <c r="L176" s="3" t="inlineStr">
        <is>
          <t>06, 17, 20, 24, 25, 35, 38, 39, 42, 43, 44, 48, 51, 66, 67, 75, 76, 80, 88, 97</t>
        </is>
      </c>
      <c r="M176" s="7" t="inlineStr">
        <is>
          <t>TRƯỢT ❌</t>
        </is>
      </c>
      <c r="N176" s="7" t="inlineStr">
        <is>
          <t>TRƯỢT KHUNG ❌</t>
        </is>
      </c>
      <c r="O17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7">
      <c r="A177" s="2" t="n">
        <v>115</v>
      </c>
      <c r="B177" s="2" t="inlineStr">
        <is>
          <t>Thứ năm ngày 30-04-2026</t>
        </is>
      </c>
      <c r="C177" s="3" t="inlineStr">
        <is>
          <t>Thứ Tư</t>
        </is>
      </c>
      <c r="D177" s="3" t="inlineStr">
        <is>
          <t>82075</t>
        </is>
      </c>
      <c r="E177" s="3" t="inlineStr">
        <is>
          <t>75</t>
        </is>
      </c>
      <c r="F177" s="3" t="inlineStr">
        <is>
          <t>G7.4, G7.1</t>
        </is>
      </c>
      <c r="G177" s="3" t="inlineStr">
        <is>
          <t>Tổng 0, Tổng 4, Tổng 5, Tổng 9</t>
        </is>
      </c>
      <c r="H177" s="3" t="inlineStr">
        <is>
          <t>12346789</t>
        </is>
      </c>
      <c r="I177" s="3" t="inlineStr">
        <is>
          <t>Tổng 5-Bóng 0</t>
        </is>
      </c>
      <c r="J177" s="3" t="n">
        <v>36</v>
      </c>
      <c r="K177" s="7" t="inlineStr">
        <is>
          <t>TRƯỢT ❌</t>
        </is>
      </c>
      <c r="L177" s="3" t="inlineStr">
        <is>
          <t>04, 14, 19, 22, 28, 32, 36, 37, 46, 54, 59, 63, 64, 68, 69, 78, 82, 87, 91, 95</t>
        </is>
      </c>
      <c r="M177" s="7" t="inlineStr">
        <is>
          <t>TRƯỢT ❌</t>
        </is>
      </c>
      <c r="N177" s="6" t="inlineStr">
        <is>
          <t>TRÚNG N2 🎯</t>
        </is>
      </c>
      <c r="O177" s="3" t="inlineStr">
        <is>
          <t>04, 09, 13, 14, 18, 19, 22, 23, 27, 28, 31, 32, 36, 37, 40, 41, 45, 46, 54, 59, 63, 64, 68, 69, 72, 73, 77, 78, 81, 82, 86, 87, 90, 91, 95, 96</t>
        </is>
      </c>
    </row>
    <row r="178">
      <c r="A178" s="2" t="n">
        <v>114</v>
      </c>
      <c r="B178" s="2" t="inlineStr">
        <is>
          <t>Thứ tư ngày 29-04-2026</t>
        </is>
      </c>
      <c r="C178" s="3" t="inlineStr">
        <is>
          <t>Thứ Ba</t>
        </is>
      </c>
      <c r="D178" s="3" t="inlineStr">
        <is>
          <t>86569</t>
        </is>
      </c>
      <c r="E178" s="3" t="inlineStr">
        <is>
          <t>69</t>
        </is>
      </c>
      <c r="F178" s="3" t="inlineStr">
        <is>
          <t>G7.3, G7.4</t>
        </is>
      </c>
      <c r="G178" s="3" t="inlineStr">
        <is>
          <t>Tổng 0, Tổng 3, Tổng 5, Tổng 8</t>
        </is>
      </c>
      <c r="H178" s="3" t="inlineStr">
        <is>
          <t>0123456789</t>
        </is>
      </c>
      <c r="I178" s="3" t="inlineStr">
        <is>
          <t>Tổng 0-Bóng 5</t>
        </is>
      </c>
      <c r="J178" s="3" t="n">
        <v>40</v>
      </c>
      <c r="K178" s="6" t="inlineStr">
        <is>
          <t>TRÚNG N1 🎯</t>
        </is>
      </c>
      <c r="L178" s="3" t="inlineStr">
        <is>
          <t>00, 14, 17, 28, 32, 35, 37, 44, 46, 49, 50, 55, 64, 67, 69, 76, 78, 80, 82, 91</t>
        </is>
      </c>
      <c r="M178" s="6" t="inlineStr">
        <is>
          <t>TRÚNG HỎA LỰC 🎯</t>
        </is>
      </c>
      <c r="N178" s="6" t="inlineStr">
        <is>
          <t>TRÚNG N1 🎯</t>
        </is>
      </c>
      <c r="O178" s="3" t="inlineStr">
        <is>
          <t>00, 03, 05, 08, 12, 14, 17, 19, 21, 23, 26, 28, 30, 32, 35, 37, 41, 44, 46, 49, 50, 53, 55, 58, 62, 64, 67, 69, 71, 73, 76, 78, 80, 82, 85, 87, 91, 94, 96, 99</t>
        </is>
      </c>
    </row>
    <row r="179">
      <c r="A179" s="2" t="n">
        <v>113</v>
      </c>
      <c r="B179" s="2" t="inlineStr">
        <is>
          <t>Thứ ba ngày 28-04-2026</t>
        </is>
      </c>
      <c r="C179" s="3" t="inlineStr">
        <is>
          <t>Thứ Hai</t>
        </is>
      </c>
      <c r="D179" s="3" t="inlineStr">
        <is>
          <t>45254</t>
        </is>
      </c>
      <c r="E179" s="3" t="inlineStr">
        <is>
          <t>54</t>
        </is>
      </c>
      <c r="F179" s="3" t="inlineStr">
        <is>
          <t>G7.4, G7.2</t>
        </is>
      </c>
      <c r="G179" s="3" t="inlineStr">
        <is>
          <t>Tổng 0, Tổng 3, Tổng 4, Tổng 5, Tổng 8, Tổng 9</t>
        </is>
      </c>
      <c r="H179" s="3" t="inlineStr">
        <is>
          <t>12346789</t>
        </is>
      </c>
      <c r="I179" s="3" t="inlineStr">
        <is>
          <t>Tổng 4-Bóng 9</t>
        </is>
      </c>
      <c r="J179" s="3" t="n">
        <v>56</v>
      </c>
      <c r="K179" s="6" t="inlineStr">
        <is>
          <t>TRÚNG N1 🎯</t>
        </is>
      </c>
      <c r="L179" s="3" t="inlineStr">
        <is>
          <t>04, 14, 17, 28, 35, 36, 37, 44, 46, 49, 59, 63, 64, 67, 68, 76, 78, 80, 82, 91</t>
        </is>
      </c>
      <c r="M179" s="7" t="inlineStr">
        <is>
          <t>TRƯỢT ❌</t>
        </is>
      </c>
      <c r="N179" s="6" t="inlineStr">
        <is>
          <t>TRÚNG N1 🎯</t>
        </is>
      </c>
      <c r="O179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80">
      <c r="A180" s="2" t="n">
        <v>112</v>
      </c>
      <c r="B180" s="2" t="inlineStr">
        <is>
          <t>Thứ hai ngày 27-04-2026</t>
        </is>
      </c>
      <c r="C180" s="3" t="inlineStr">
        <is>
          <t>Chủ Nhật</t>
        </is>
      </c>
      <c r="D180" s="3" t="inlineStr">
        <is>
          <t>10059</t>
        </is>
      </c>
      <c r="E180" s="3" t="inlineStr">
        <is>
          <t>59</t>
        </is>
      </c>
      <c r="F180" s="3" t="inlineStr">
        <is>
          <t>G7.3, G7.1</t>
        </is>
      </c>
      <c r="G180" s="3" t="inlineStr">
        <is>
          <t>Tổng 0, Tổng 3, Tổng 5, Tổng 8</t>
        </is>
      </c>
      <c r="H180" s="3" t="inlineStr">
        <is>
          <t>01235678</t>
        </is>
      </c>
      <c r="I180" s="3" t="inlineStr">
        <is>
          <t>Tổng 0-Bóng 5</t>
        </is>
      </c>
      <c r="J180" s="3" t="n">
        <v>36</v>
      </c>
      <c r="K180" s="7" t="inlineStr">
        <is>
          <t>TRƯỢT ❌</t>
        </is>
      </c>
      <c r="L180" s="3" t="inlineStr">
        <is>
          <t>00, 08, 14, 17, 28, 32, 35, 37, 46, 50, 55, 64, 67, 69, 76, 78, 80, 82, 87, 91</t>
        </is>
      </c>
      <c r="M180" s="7" t="inlineStr">
        <is>
          <t>TRƯỢT ❌</t>
        </is>
      </c>
      <c r="N180" s="6" t="inlineStr">
        <is>
          <t>TRÚNG N3 🎯</t>
        </is>
      </c>
      <c r="O180" s="3" t="inlineStr">
        <is>
          <t>00, 03, 05, 08, 12, 14, 17, 19, 21, 23, 26, 28, 30, 32, 35, 37, 41, 46, 50, 53, 55, 58, 62, 64, 67, 69, 71, 73, 76, 78, 80, 82, 85, 87, 91, 96</t>
        </is>
      </c>
    </row>
    <row r="181">
      <c r="A181" s="2" t="n">
        <v>111</v>
      </c>
      <c r="B181" s="2" t="inlineStr">
        <is>
          <t>Chủ nhật ngày 26-04-2026</t>
        </is>
      </c>
      <c r="C181" s="3" t="inlineStr">
        <is>
          <t>Thứ Bảy</t>
        </is>
      </c>
      <c r="D181" s="3" t="inlineStr">
        <is>
          <t>38228</t>
        </is>
      </c>
      <c r="E181" s="3" t="inlineStr">
        <is>
          <t>28</t>
        </is>
      </c>
      <c r="F181" s="3" t="inlineStr">
        <is>
          <t>G7.1, G7.3</t>
        </is>
      </c>
      <c r="G181" s="3" t="inlineStr">
        <is>
          <t>Tổng 1, Tổng 2, Tổng 4, Tổng 6, Tổng 7, Tổng 9</t>
        </is>
      </c>
      <c r="H181" s="3" t="inlineStr">
        <is>
          <t>02345789</t>
        </is>
      </c>
      <c r="I181" s="3" t="inlineStr">
        <is>
          <t>Tổng 1-Bóng 6</t>
        </is>
      </c>
      <c r="J181" s="3" t="n">
        <v>56</v>
      </c>
      <c r="K181" s="7" t="inlineStr">
        <is>
          <t>TRƯỢT ❌</t>
        </is>
      </c>
      <c r="L181" s="3" t="inlineStr">
        <is>
          <t>04, 06, 20, 22, 24, 25, 36, 38, 39, 42, 43, 48, 51, 52, 59, 63, 68, 88, 93, 97</t>
        </is>
      </c>
      <c r="M181" s="7" t="inlineStr">
        <is>
          <t>TRƯỢT ❌</t>
        </is>
      </c>
      <c r="N181" s="6" t="inlineStr">
        <is>
          <t>TRÚNG N2 🎯</t>
        </is>
      </c>
      <c r="O181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82">
      <c r="A182" s="2" t="n">
        <v>110</v>
      </c>
      <c r="B182" s="2" t="inlineStr">
        <is>
          <t>Thứ bảy ngày 25-04-2026</t>
        </is>
      </c>
      <c r="C182" s="3" t="inlineStr">
        <is>
          <t>Thứ Sáu</t>
        </is>
      </c>
      <c r="D182" s="3" t="inlineStr">
        <is>
          <t>08717</t>
        </is>
      </c>
      <c r="E182" s="3" t="inlineStr">
        <is>
          <t>17</t>
        </is>
      </c>
      <c r="F182" s="3" t="inlineStr">
        <is>
          <t>G7.2, G7.4</t>
        </is>
      </c>
      <c r="G182" s="3" t="inlineStr">
        <is>
          <t>Tổng 0, Tổng 2, Tổng 4, Tổng 5, Tổng 7, Tổng 9</t>
        </is>
      </c>
      <c r="H182" s="3" t="inlineStr">
        <is>
          <t>01345689</t>
        </is>
      </c>
      <c r="I182" s="3" t="inlineStr">
        <is>
          <t>Tổng 4-Bóng 9</t>
        </is>
      </c>
      <c r="J182" s="3" t="n">
        <v>56</v>
      </c>
      <c r="K182" s="7" t="inlineStr">
        <is>
          <t>TRƯỢT ❌</t>
        </is>
      </c>
      <c r="L182" s="3" t="inlineStr">
        <is>
          <t>00, 04, 14, 20, 25, 32, 37, 39, 43, 48, 50, 55, 59, 63, 64, 66, 68, 82, 91, 93</t>
        </is>
      </c>
      <c r="M182" s="7" t="inlineStr">
        <is>
          <t>TRƯỢT ❌</t>
        </is>
      </c>
      <c r="N182" s="6" t="inlineStr">
        <is>
          <t>TRÚNG N2 🎯</t>
        </is>
      </c>
      <c r="O182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83">
      <c r="A183" s="2" t="n">
        <v>109</v>
      </c>
      <c r="B183" s="2" t="inlineStr">
        <is>
          <t>Thứ sáu ngày 24-04-2026</t>
        </is>
      </c>
      <c r="C183" s="3" t="inlineStr">
        <is>
          <t>Thứ Năm</t>
        </is>
      </c>
      <c r="D183" s="3" t="inlineStr">
        <is>
          <t>09876</t>
        </is>
      </c>
      <c r="E183" s="3" t="inlineStr">
        <is>
          <t>76</t>
        </is>
      </c>
      <c r="F183" s="3" t="inlineStr">
        <is>
          <t>G7.4, G7.1</t>
        </is>
      </c>
      <c r="G183" s="3" t="inlineStr">
        <is>
          <t>Tổng 2, Tổng 4, Tổng 7, Tổng 9</t>
        </is>
      </c>
      <c r="H183" s="3" t="inlineStr">
        <is>
          <t>0123456789</t>
        </is>
      </c>
      <c r="I183" s="3" t="inlineStr">
        <is>
          <t>Tổng 9-Bóng 4</t>
        </is>
      </c>
      <c r="J183" s="3" t="n">
        <v>40</v>
      </c>
      <c r="K183" s="7" t="inlineStr">
        <is>
          <t>TRƯỢT ❌</t>
        </is>
      </c>
      <c r="L183" s="3" t="inlineStr">
        <is>
          <t>04, 13, 20, 22, 25, 36, 39, 43, 48, 52, 57, 59, 61, 63, 66, 68, 70, 77, 93, 95</t>
        </is>
      </c>
      <c r="M183" s="7" t="inlineStr">
        <is>
          <t>TRƯỢT ❌</t>
        </is>
      </c>
      <c r="N183" s="7" t="inlineStr">
        <is>
          <t>TRƯỢT KHUNG ❌</t>
        </is>
      </c>
      <c r="O183" s="3" t="inlineStr">
        <is>
          <t>02, 04, 07, 09, 11, 13, 16, 18, 20, 22, 25, 27, 31, 34, 36, 39, 40, 43, 45, 48, 52, 54, 57, 59, 61, 63, 66, 68, 70, 72, 75, 77, 81, 84, 86, 89, 90, 93, 95, 98</t>
        </is>
      </c>
    </row>
    <row r="184">
      <c r="A184" s="2" t="n">
        <v>108</v>
      </c>
      <c r="B184" s="2" t="inlineStr">
        <is>
          <t>Thứ năm ngày 23-04-2026</t>
        </is>
      </c>
      <c r="C184" s="3" t="inlineStr">
        <is>
          <t>Thứ Tư</t>
        </is>
      </c>
      <c r="D184" s="3" t="inlineStr">
        <is>
          <t>66239</t>
        </is>
      </c>
      <c r="E184" s="3" t="inlineStr">
        <is>
          <t>39</t>
        </is>
      </c>
      <c r="F184" s="3" t="inlineStr">
        <is>
          <t>G7.4, G7.1</t>
        </is>
      </c>
      <c r="G184" s="3" t="inlineStr">
        <is>
          <t>Tổng 1, Tổng 2, Tổng 4, Tổng 6, Tổng 7, Tổng 9</t>
        </is>
      </c>
      <c r="H184" s="3" t="inlineStr">
        <is>
          <t>01245679</t>
        </is>
      </c>
      <c r="I184" s="3" t="inlineStr">
        <is>
          <t>Tổng 4-Bóng 9</t>
        </is>
      </c>
      <c r="J184" s="3" t="n">
        <v>56</v>
      </c>
      <c r="K184" s="6" t="inlineStr">
        <is>
          <t>TRÚNG N1 🎯</t>
        </is>
      </c>
      <c r="L184" s="3" t="inlineStr">
        <is>
          <t>04, 06, 20, 22, 24, 25, 29, 36, 42, 43, 48, 51, 52, 59, 63, 66, 68, 70, 93, 97</t>
        </is>
      </c>
      <c r="M184" s="7" t="inlineStr">
        <is>
          <t>TRƯỢT ❌</t>
        </is>
      </c>
      <c r="N184" s="6" t="inlineStr">
        <is>
          <t>TRÚNG N1 🎯</t>
        </is>
      </c>
      <c r="O184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85">
      <c r="A185" s="2" t="n">
        <v>107</v>
      </c>
      <c r="B185" s="2" t="inlineStr">
        <is>
          <t>Thứ tư ngày 22-04-2026</t>
        </is>
      </c>
      <c r="C185" s="3" t="inlineStr">
        <is>
          <t>Thứ Ba</t>
        </is>
      </c>
      <c r="D185" s="3" t="inlineStr">
        <is>
          <t>36948</t>
        </is>
      </c>
      <c r="E185" s="3" t="inlineStr">
        <is>
          <t>48</t>
        </is>
      </c>
      <c r="F185" s="3" t="inlineStr">
        <is>
          <t>G7.3, G7.4</t>
        </is>
      </c>
      <c r="G185" s="3" t="inlineStr">
        <is>
          <t>Tổng 0, Tổng 4, Tổng 5, Tổng 9</t>
        </is>
      </c>
      <c r="H185" s="3" t="inlineStr">
        <is>
          <t>0123456789</t>
        </is>
      </c>
      <c r="I185" s="3" t="inlineStr">
        <is>
          <t>Tổng 5-Bóng 0</t>
        </is>
      </c>
      <c r="J185" s="3" t="n">
        <v>40</v>
      </c>
      <c r="K185" s="7" t="inlineStr">
        <is>
          <t>TRƯỢT ❌</t>
        </is>
      </c>
      <c r="L185" s="3" t="inlineStr">
        <is>
          <t>00, 04, 13, 14, 22, 32, 36, 37, 46, 50, 55, 59, 63, 64, 68, 69, 78, 82, 91, 95</t>
        </is>
      </c>
      <c r="M185" s="7" t="inlineStr">
        <is>
          <t>TRƯỢT ❌</t>
        </is>
      </c>
      <c r="N185" s="7" t="inlineStr">
        <is>
          <t>TRƯỢT KHUNG ❌</t>
        </is>
      </c>
      <c r="O185" s="3" t="inlineStr">
        <is>
          <t>00, 04, 05, 09, 13, 14, 18, 19, 22, 23, 27, 28, 31, 32, 36, 37, 40, 41, 45, 46, 50, 54, 55, 59, 63, 64, 68, 69, 72, 73, 77, 78, 81, 82, 86, 87, 90, 91, 95, 96</t>
        </is>
      </c>
    </row>
    <row r="186">
      <c r="A186" s="2" t="n">
        <v>106</v>
      </c>
      <c r="B186" s="2" t="inlineStr">
        <is>
          <t>Thứ ba ngày 21-04-2026</t>
        </is>
      </c>
      <c r="C186" s="3" t="inlineStr">
        <is>
          <t>Thứ Hai</t>
        </is>
      </c>
      <c r="D186" s="3" t="inlineStr">
        <is>
          <t>48076</t>
        </is>
      </c>
      <c r="E186" s="3" t="inlineStr">
        <is>
          <t>76</t>
        </is>
      </c>
      <c r="F186" s="3" t="inlineStr">
        <is>
          <t>G7.4, G7.2</t>
        </is>
      </c>
      <c r="G186" s="3" t="inlineStr">
        <is>
          <t>Tổng 1, Tổng 2, Tổng 6, Tổng 7</t>
        </is>
      </c>
      <c r="H186" s="3" t="inlineStr">
        <is>
          <t>0123456789</t>
        </is>
      </c>
      <c r="I186" s="3" t="inlineStr">
        <is>
          <t>Tổng 2-Bóng 7</t>
        </is>
      </c>
      <c r="J186" s="3" t="n">
        <v>40</v>
      </c>
      <c r="K186" s="7" t="inlineStr">
        <is>
          <t>TRƯỢT ❌</t>
        </is>
      </c>
      <c r="L186" s="3" t="inlineStr">
        <is>
          <t>01, 06, 20, 24, 25, 29, 38, 42, 43, 48, 51, 52, 57, 61, 66, 70, 83, 88, 93, 97</t>
        </is>
      </c>
      <c r="M186" s="7" t="inlineStr">
        <is>
          <t>TRƯỢT ❌</t>
        </is>
      </c>
      <c r="N186" s="6" t="inlineStr">
        <is>
          <t>TRÚNG N2 🎯</t>
        </is>
      </c>
      <c r="O186" s="3" t="inlineStr">
        <is>
          <t>01, 02, 06, 07, 10, 11, 15, 16, 20, 24, 25, 29, 33, 34, 38, 39, 42, 43, 47, 48, 51, 52, 56, 57, 60, 61, 65, 66, 70, 74, 75, 79, 83, 84, 88, 89, 92, 93, 97, 98</t>
        </is>
      </c>
    </row>
    <row r="187">
      <c r="A187" s="2" t="n">
        <v>105</v>
      </c>
      <c r="B187" s="2" t="inlineStr">
        <is>
          <t>Thứ hai ngày 20-04-2026</t>
        </is>
      </c>
      <c r="C187" s="3" t="inlineStr">
        <is>
          <t>Chủ Nhật</t>
        </is>
      </c>
      <c r="D187" s="3" t="inlineStr">
        <is>
          <t>74197</t>
        </is>
      </c>
      <c r="E187" s="3" t="inlineStr">
        <is>
          <t>97</t>
        </is>
      </c>
      <c r="F187" s="3" t="inlineStr">
        <is>
          <t>G7.3, G7.4</t>
        </is>
      </c>
      <c r="G187" s="3" t="inlineStr">
        <is>
          <t>Tổng 2, Tổng 3, Tổng 4, Tổng 7, Tổng 8, Tổng 9</t>
        </is>
      </c>
      <c r="H187" s="3" t="inlineStr">
        <is>
          <t>01235678</t>
        </is>
      </c>
      <c r="I187" s="3" t="inlineStr">
        <is>
          <t>Tổng 4-Bóng 9</t>
        </is>
      </c>
      <c r="J187" s="3" t="n">
        <v>56</v>
      </c>
      <c r="K187" s="7" t="inlineStr">
        <is>
          <t>TRƯỢT ❌</t>
        </is>
      </c>
      <c r="L187" s="3" t="inlineStr">
        <is>
          <t>04, 08, 13, 20, 22, 25, 35, 36, 43, 48, 52, 59, 63, 66, 67, 68, 70, 80, 81, 93</t>
        </is>
      </c>
      <c r="M187" s="7" t="inlineStr">
        <is>
          <t>TRƯỢT ❌</t>
        </is>
      </c>
      <c r="N187" s="6" t="inlineStr">
        <is>
          <t>TRÚNG N2 🎯</t>
        </is>
      </c>
      <c r="O187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88">
      <c r="A188" s="2" t="n">
        <v>104</v>
      </c>
      <c r="B188" s="2" t="inlineStr">
        <is>
          <t>Chủ nhật ngày 19-04-2026</t>
        </is>
      </c>
      <c r="C188" s="3" t="inlineStr">
        <is>
          <t>Thứ Bảy</t>
        </is>
      </c>
      <c r="D188" s="3" t="inlineStr">
        <is>
          <t>93725</t>
        </is>
      </c>
      <c r="E188" s="3" t="inlineStr">
        <is>
          <t>25</t>
        </is>
      </c>
      <c r="F188" s="3" t="inlineStr">
        <is>
          <t>G7.1, G7.3</t>
        </is>
      </c>
      <c r="G188" s="3" t="inlineStr">
        <is>
          <t>Tổng 2, Tổng 4, Tổng 7, Tổng 9</t>
        </is>
      </c>
      <c r="H188" s="3" t="inlineStr">
        <is>
          <t>02345789</t>
        </is>
      </c>
      <c r="I188" s="3" t="inlineStr">
        <is>
          <t>Tổng 2-Bóng 7</t>
        </is>
      </c>
      <c r="J188" s="3" t="n">
        <v>36</v>
      </c>
      <c r="K188" s="6" t="inlineStr">
        <is>
          <t>TRÚNG N1 🎯</t>
        </is>
      </c>
      <c r="L188" s="3" t="inlineStr">
        <is>
          <t>04, 13, 20, 22, 25, 36, 43, 48, 52, 57, 59, 63, 68, 70, 77, 81, 86, 90, 93, 95</t>
        </is>
      </c>
      <c r="M188" s="6" t="inlineStr">
        <is>
          <t>TRÚNG HỎA LỰC 🎯</t>
        </is>
      </c>
      <c r="N188" s="6" t="inlineStr">
        <is>
          <t>TRÚNG N1 🎯</t>
        </is>
      </c>
      <c r="O188" s="3" t="inlineStr">
        <is>
          <t>02, 04, 07, 09, 13, 18, 20, 22, 25, 27, 31, 34, 36, 39, 40, 43, 45, 48, 52, 54, 57, 59, 63, 68, 70, 72, 75, 77, 81, 84, 86, 89, 90, 93, 95, 98</t>
        </is>
      </c>
    </row>
    <row r="189">
      <c r="A189" s="2" t="n">
        <v>103</v>
      </c>
      <c r="B189" s="2" t="inlineStr">
        <is>
          <t>Thứ bảy ngày 18-04-2026</t>
        </is>
      </c>
      <c r="C189" s="3" t="inlineStr">
        <is>
          <t>Thứ Sáu</t>
        </is>
      </c>
      <c r="D189" s="3" t="inlineStr">
        <is>
          <t>17243</t>
        </is>
      </c>
      <c r="E189" s="3" t="inlineStr">
        <is>
          <t>43</t>
        </is>
      </c>
      <c r="F189" s="3" t="inlineStr">
        <is>
          <t>G7.2, G7.4</t>
        </is>
      </c>
      <c r="G189" s="3" t="inlineStr">
        <is>
          <t>Tổng 0, Tổng 4, Tổng 5, Tổng 9</t>
        </is>
      </c>
      <c r="H189" s="3" t="inlineStr">
        <is>
          <t>01235678</t>
        </is>
      </c>
      <c r="I189" s="3" t="inlineStr">
        <is>
          <t>Tổng 0-Bóng 5</t>
        </is>
      </c>
      <c r="J189" s="3" t="n">
        <v>40</v>
      </c>
      <c r="K189" s="7" t="inlineStr">
        <is>
          <t>TRƯỢT ❌</t>
        </is>
      </c>
      <c r="L189" s="3" t="inlineStr">
        <is>
          <t>00, 04, 13, 14, 22, 32, 36, 37, 46, 50, 55, 59, 63, 64, 68, 77, 78, 82, 91, 95</t>
        </is>
      </c>
      <c r="M189" s="7" t="inlineStr">
        <is>
          <t>TRƯỢT ❌</t>
        </is>
      </c>
      <c r="N189" s="7" t="inlineStr">
        <is>
          <t>TRƯỢT KHUNG ❌</t>
        </is>
      </c>
      <c r="O189" s="3" t="inlineStr">
        <is>
          <t>00, 04, 05, 09, 13, 14, 18, 19, 22, 23, 27, 28, 31, 32, 36, 37, 40, 41, 45, 46, 50, 54, 55, 59, 63, 64, 68, 69, 72, 73, 77, 78, 81, 82, 86, 87, 90, 91, 95, 96</t>
        </is>
      </c>
    </row>
    <row r="190">
      <c r="A190" s="2" t="n">
        <v>102</v>
      </c>
      <c r="B190" s="2" t="inlineStr">
        <is>
          <t>Thứ sáu ngày 17-04-2026</t>
        </is>
      </c>
      <c r="C190" s="3" t="inlineStr">
        <is>
          <t>Thứ Năm</t>
        </is>
      </c>
      <c r="D190" s="3" t="inlineStr">
        <is>
          <t>38455</t>
        </is>
      </c>
      <c r="E190" s="3" t="inlineStr">
        <is>
          <t>55</t>
        </is>
      </c>
      <c r="F190" s="3" t="inlineStr">
        <is>
          <t>G7.4, G7.1</t>
        </is>
      </c>
      <c r="G190" s="3" t="inlineStr">
        <is>
          <t>Tổng 0, Tổng 3, Tổng 5, Tổng 8</t>
        </is>
      </c>
      <c r="H190" s="3" t="inlineStr">
        <is>
          <t>12346789</t>
        </is>
      </c>
      <c r="I190" s="3" t="inlineStr">
        <is>
          <t>Tổng 3-Bóng 8</t>
        </is>
      </c>
      <c r="J190" s="3" t="n">
        <v>36</v>
      </c>
      <c r="K190" s="7" t="inlineStr">
        <is>
          <t>TRƯỢT ❌</t>
        </is>
      </c>
      <c r="L190" s="3" t="inlineStr">
        <is>
          <t>08, 12, 14, 19, 30, 32, 35, 37, 44, 46, 49, 64, 67, 69, 78, 80, 82, 87, 91, 94</t>
        </is>
      </c>
      <c r="M190" s="7" t="inlineStr">
        <is>
          <t>TRƯỢT ❌</t>
        </is>
      </c>
      <c r="N190" s="7" t="inlineStr">
        <is>
          <t>TRƯỢT KHUNG ❌</t>
        </is>
      </c>
      <c r="O190" s="3" t="inlineStr">
        <is>
          <t>03, 08, 12, 14, 17, 19, 21, 23, 26, 28, 30, 32, 35, 37, 41, 44, 46, 49, 53, 58, 62, 64, 67, 69, 71, 73, 76, 78, 80, 82, 85, 87, 91, 94, 96, 99</t>
        </is>
      </c>
    </row>
    <row r="191">
      <c r="A191" s="2" t="n">
        <v>101</v>
      </c>
      <c r="B191" s="2" t="inlineStr">
        <is>
          <t>Thứ năm ngày 16-04-2026</t>
        </is>
      </c>
      <c r="C191" s="3" t="inlineStr">
        <is>
          <t>Thứ Tư</t>
        </is>
      </c>
      <c r="D191" s="3" t="inlineStr">
        <is>
          <t>35035</t>
        </is>
      </c>
      <c r="E191" s="3" t="inlineStr">
        <is>
          <t>35</t>
        </is>
      </c>
      <c r="F191" s="3" t="inlineStr">
        <is>
          <t>G7.1, G7.4</t>
        </is>
      </c>
      <c r="G191" s="3" t="inlineStr">
        <is>
          <t>Tổng 1, Tổng 2, Tổng 4, Tổng 6, Tổng 7, Tổng 9</t>
        </is>
      </c>
      <c r="H191" s="3" t="inlineStr">
        <is>
          <t>01345689</t>
        </is>
      </c>
      <c r="I191" s="3" t="inlineStr">
        <is>
          <t>Tổng 9-Bóng 4</t>
        </is>
      </c>
      <c r="J191" s="3" t="n">
        <v>56</v>
      </c>
      <c r="K191" s="7" t="inlineStr">
        <is>
          <t>TRƯỢT ❌</t>
        </is>
      </c>
      <c r="L191" s="3" t="inlineStr">
        <is>
          <t>01, 04, 06, 20, 24, 25, 29, 36, 38, 42, 48, 51, 52, 59, 63, 66, 68, 88, 93, 95</t>
        </is>
      </c>
      <c r="M191" s="7" t="inlineStr">
        <is>
          <t>TRƯỢT ❌</t>
        </is>
      </c>
      <c r="N191" s="6" t="inlineStr">
        <is>
          <t>TRÚNG N3 🎯</t>
        </is>
      </c>
      <c r="O191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92">
      <c r="A192" s="2" t="n">
        <v>100</v>
      </c>
      <c r="B192" s="2" t="inlineStr">
        <is>
          <t>Thứ tư ngày 15-04-2026</t>
        </is>
      </c>
      <c r="C192" s="3" t="inlineStr">
        <is>
          <t>Thứ Ba</t>
        </is>
      </c>
      <c r="D192" s="3" t="inlineStr">
        <is>
          <t>03714</t>
        </is>
      </c>
      <c r="E192" s="3" t="inlineStr">
        <is>
          <t>14</t>
        </is>
      </c>
      <c r="F192" s="3" t="inlineStr">
        <is>
          <t>G7.3, G7.4</t>
        </is>
      </c>
      <c r="G192" s="3" t="inlineStr">
        <is>
          <t>Tổng 4, Tổng 9</t>
        </is>
      </c>
      <c r="H192" s="3" t="inlineStr">
        <is>
          <t>01235678</t>
        </is>
      </c>
      <c r="I192" s="3" t="inlineStr">
        <is>
          <t>Tổng 4-Bóng 9</t>
        </is>
      </c>
      <c r="J192" s="3" t="n">
        <v>20</v>
      </c>
      <c r="K192" s="7" t="inlineStr">
        <is>
          <t>TRƯỢT ❌</t>
        </is>
      </c>
      <c r="L192" s="3" t="inlineStr">
        <is>
          <t>04, 09, 13, 18, 22, 27, 31, 36, 40, 45, 54, 59, 63, 68, 72, 77, 81, 86, 90, 95</t>
        </is>
      </c>
      <c r="M192" s="7" t="inlineStr">
        <is>
          <t>TRƯỢT ❌</t>
        </is>
      </c>
      <c r="N192" s="7" t="inlineStr">
        <is>
          <t>TRƯỢT KHUNG ❌</t>
        </is>
      </c>
      <c r="O192" s="3" t="inlineStr">
        <is>
          <t>04, 09, 13, 18, 22, 27, 31, 36, 40, 45, 54, 59, 63, 68, 72, 77, 81, 86, 90, 95</t>
        </is>
      </c>
    </row>
    <row r="193">
      <c r="A193" s="2" t="n">
        <v>99</v>
      </c>
      <c r="B193" s="2" t="inlineStr">
        <is>
          <t>Thứ ba ngày 14-04-2026</t>
        </is>
      </c>
      <c r="C193" s="3" t="inlineStr">
        <is>
          <t>Thứ Hai</t>
        </is>
      </c>
      <c r="D193" s="3" t="inlineStr">
        <is>
          <t>92763</t>
        </is>
      </c>
      <c r="E193" s="3" t="inlineStr">
        <is>
          <t>63</t>
        </is>
      </c>
      <c r="F193" s="3" t="inlineStr">
        <is>
          <t>G7.4, G7.2</t>
        </is>
      </c>
      <c r="G193" s="3" t="inlineStr">
        <is>
          <t>Tổng 0, Tổng 2, Tổng 4, Tổng 5, Tổng 7, Tổng 9</t>
        </is>
      </c>
      <c r="H193" s="3" t="inlineStr">
        <is>
          <t>01245679</t>
        </is>
      </c>
      <c r="I193" s="3" t="inlineStr">
        <is>
          <t>Tổng 4-Bóng 9</t>
        </is>
      </c>
      <c r="J193" s="3" t="n">
        <v>60</v>
      </c>
      <c r="K193" s="6" t="inlineStr">
        <is>
          <t>TRÚNG N1 🎯</t>
        </is>
      </c>
      <c r="L193" s="3" t="inlineStr">
        <is>
          <t>00, 04, 14, 20, 22, 25, 32, 37, 46, 48, 50, 52, 55, 64, 66, 69, 70, 82, 91, 93</t>
        </is>
      </c>
      <c r="M193" s="7" t="inlineStr">
        <is>
          <t>TRƯỢT ❌</t>
        </is>
      </c>
      <c r="N193" s="6" t="inlineStr">
        <is>
          <t>TRÚNG N1 🎯</t>
        </is>
      </c>
      <c r="O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4">
      <c r="A194" s="2" t="n">
        <v>98</v>
      </c>
      <c r="B194" s="2" t="inlineStr">
        <is>
          <t>Thứ hai ngày 13-04-2026</t>
        </is>
      </c>
      <c r="C194" s="3" t="inlineStr">
        <is>
          <t>Chủ Nhật</t>
        </is>
      </c>
      <c r="D194" s="3" t="inlineStr">
        <is>
          <t>22738</t>
        </is>
      </c>
      <c r="E194" s="3" t="inlineStr">
        <is>
          <t>38</t>
        </is>
      </c>
      <c r="F194" s="3" t="inlineStr">
        <is>
          <t>G7.3, G7.1</t>
        </is>
      </c>
      <c r="G194" s="3" t="inlineStr">
        <is>
          <t>Tổng 4, Tổng 9</t>
        </is>
      </c>
      <c r="H194" s="3" t="inlineStr">
        <is>
          <t>0123456789</t>
        </is>
      </c>
      <c r="I194" s="3" t="inlineStr">
        <is>
          <t>Tổng 4-Bóng 9</t>
        </is>
      </c>
      <c r="J194" s="3" t="n">
        <v>20</v>
      </c>
      <c r="K194" s="7" t="inlineStr">
        <is>
          <t>TRƯỢT ❌</t>
        </is>
      </c>
      <c r="L194" s="3" t="inlineStr">
        <is>
          <t>04, 09, 13, 18, 22, 27, 31, 36, 40, 45, 54, 59, 63, 68, 72, 77, 81, 86, 90, 95</t>
        </is>
      </c>
      <c r="M194" s="7" t="inlineStr">
        <is>
          <t>TRƯỢT ❌</t>
        </is>
      </c>
      <c r="N194" s="6" t="inlineStr">
        <is>
          <t>TRÚNG N2 🎯</t>
        </is>
      </c>
      <c r="O194" s="3" t="inlineStr">
        <is>
          <t>04, 09, 13, 18, 22, 27, 31, 36, 40, 45, 54, 59, 63, 68, 72, 77, 81, 86, 90, 95</t>
        </is>
      </c>
    </row>
    <row r="195">
      <c r="A195" s="2" t="n">
        <v>97</v>
      </c>
      <c r="B195" s="2" t="inlineStr">
        <is>
          <t>Chủ nhật ngày 12-04-2026</t>
        </is>
      </c>
      <c r="C195" s="3" t="inlineStr">
        <is>
          <t>Thứ Bảy</t>
        </is>
      </c>
      <c r="D195" s="3" t="inlineStr">
        <is>
          <t>12000</t>
        </is>
      </c>
      <c r="E195" s="3" t="inlineStr">
        <is>
          <t>00</t>
        </is>
      </c>
      <c r="F195" s="3" t="inlineStr">
        <is>
          <t>G7.1, G7.3</t>
        </is>
      </c>
      <c r="G195" s="3" t="inlineStr">
        <is>
          <t>Tổng 0, Tổng 2, Tổng 5, Tổng 7</t>
        </is>
      </c>
      <c r="H195" s="3" t="inlineStr">
        <is>
          <t>01235678</t>
        </is>
      </c>
      <c r="I195" s="3" t="inlineStr">
        <is>
          <t>Tổng 5-Bóng 0</t>
        </is>
      </c>
      <c r="J195" s="3" t="n">
        <v>40</v>
      </c>
      <c r="K195" s="6" t="inlineStr">
        <is>
          <t>TRÚNG N1 🎯</t>
        </is>
      </c>
      <c r="L195" s="3" t="inlineStr">
        <is>
          <t>14, 20, 25, 32, 37, 46, 48, 50, 52, 55, 57, 64, 66, 69, 70, 78, 82, 87, 91, 93</t>
        </is>
      </c>
      <c r="M195" s="7" t="inlineStr">
        <is>
          <t>TRƯỢT ❌</t>
        </is>
      </c>
      <c r="N195" s="6" t="inlineStr">
        <is>
          <t>TRÚNG N1 🎯</t>
        </is>
      </c>
      <c r="O195" s="3" t="inlineStr">
        <is>
          <t>00, 02, 05, 07, 11, 14, 16, 19, 20, 23, 25, 28, 32, 34, 37, 39, 41, 43, 46, 48, 50, 52, 55, 57, 61, 64, 66, 69, 70, 73, 75, 78, 82, 84, 87, 89, 91, 93, 96, 98</t>
        </is>
      </c>
    </row>
    <row r="196">
      <c r="A196" s="2" t="n">
        <v>96</v>
      </c>
      <c r="B196" s="2" t="inlineStr">
        <is>
          <t>Thứ bảy ngày 11-04-2026</t>
        </is>
      </c>
      <c r="C196" s="3" t="inlineStr">
        <is>
          <t>Thứ Sáu</t>
        </is>
      </c>
      <c r="D196" s="3" t="inlineStr">
        <is>
          <t>24204</t>
        </is>
      </c>
      <c r="E196" s="3" t="inlineStr">
        <is>
          <t>04</t>
        </is>
      </c>
      <c r="F196" s="3" t="inlineStr">
        <is>
          <t>G7.4, G7.2</t>
        </is>
      </c>
      <c r="G196" s="3" t="inlineStr">
        <is>
          <t>Tổng 0, Tổng 1, Tổng 4, Tổng 5, Tổng 6, Tổng 9</t>
        </is>
      </c>
      <c r="H196" s="3" t="inlineStr">
        <is>
          <t>02345789</t>
        </is>
      </c>
      <c r="I196" s="3" t="inlineStr">
        <is>
          <t>Tổng 9-Bóng 4</t>
        </is>
      </c>
      <c r="J196" s="3" t="n">
        <v>60</v>
      </c>
      <c r="K196" s="6" t="inlineStr">
        <is>
          <t>TRÚNG N1 🎯</t>
        </is>
      </c>
      <c r="L196" s="3" t="inlineStr">
        <is>
          <t>01, 06, 14, 22, 24, 29, 32, 37, 46, 50, 55, 59, 64, 69, 77, 82, 87, 88, 91, 95</t>
        </is>
      </c>
      <c r="M196" s="7" t="inlineStr">
        <is>
          <t>TRƯỢT ❌</t>
        </is>
      </c>
      <c r="N196" s="6" t="inlineStr">
        <is>
          <t>TRÚNG N1 🎯</t>
        </is>
      </c>
      <c r="O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7">
      <c r="A197" s="2" t="n">
        <v>95</v>
      </c>
      <c r="B197" s="2" t="inlineStr">
        <is>
          <t>Thứ sáu ngày 10-04-2026</t>
        </is>
      </c>
      <c r="C197" s="3" t="inlineStr">
        <is>
          <t>Thứ Năm</t>
        </is>
      </c>
      <c r="D197" s="3" t="inlineStr">
        <is>
          <t>46120</t>
        </is>
      </c>
      <c r="E197" s="3" t="inlineStr">
        <is>
          <t>20</t>
        </is>
      </c>
      <c r="F197" s="3" t="inlineStr">
        <is>
          <t>G7.4, G7.1</t>
        </is>
      </c>
      <c r="G197" s="3" t="inlineStr">
        <is>
          <t>Tổng 0, Tổng 2, Tổng 5, Tổng 7</t>
        </is>
      </c>
      <c r="H197" s="3" t="inlineStr">
        <is>
          <t>12346789</t>
        </is>
      </c>
      <c r="I197" s="3" t="inlineStr">
        <is>
          <t>Tổng 7-Bóng 2</t>
        </is>
      </c>
      <c r="J197" s="3" t="n">
        <v>36</v>
      </c>
      <c r="K197" s="6" t="inlineStr">
        <is>
          <t>TRÚNG N1 🎯</t>
        </is>
      </c>
      <c r="L197" s="3" t="inlineStr">
        <is>
          <t>14, 19, 25, 28, 32, 37, 46, 48, 52, 57, 64, 66, 69, 70, 75, 78, 82, 87, 91, 93</t>
        </is>
      </c>
      <c r="M197" s="7" t="inlineStr">
        <is>
          <t>TRƯỢT ❌</t>
        </is>
      </c>
      <c r="N197" s="6" t="inlineStr">
        <is>
          <t>TRÚNG N1 🎯</t>
        </is>
      </c>
      <c r="O197" s="3" t="inlineStr">
        <is>
          <t>02, 07, 11, 14, 16, 19, 20, 23, 25, 28, 32, 34, 37, 39, 41, 43, 46, 48, 52, 57, 61, 64, 66, 69, 70, 73, 75, 78, 82, 84, 87, 89, 91, 93, 96, 98</t>
        </is>
      </c>
    </row>
    <row r="198">
      <c r="A198" s="2" t="n">
        <v>94</v>
      </c>
      <c r="B198" s="2" t="inlineStr">
        <is>
          <t>Thứ năm ngày 09-04-2026</t>
        </is>
      </c>
      <c r="C198" s="3" t="inlineStr">
        <is>
          <t>Thứ Tư</t>
        </is>
      </c>
      <c r="D198" s="3" t="inlineStr">
        <is>
          <t>45625</t>
        </is>
      </c>
      <c r="E198" s="3" t="inlineStr">
        <is>
          <t>25</t>
        </is>
      </c>
      <c r="F198" s="3" t="inlineStr">
        <is>
          <t>G7.1, G7.4</t>
        </is>
      </c>
      <c r="G198" s="3" t="inlineStr">
        <is>
          <t>Tổng 1, Tổng 2, Tổng 3, Tổng 6, Tổng 7, Tổng 8</t>
        </is>
      </c>
      <c r="H198" s="3" t="inlineStr">
        <is>
          <t>01245679</t>
        </is>
      </c>
      <c r="I198" s="3" t="inlineStr">
        <is>
          <t>Tổng 2-Bóng 7</t>
        </is>
      </c>
      <c r="J198" s="3" t="n">
        <v>56</v>
      </c>
      <c r="K198" s="6" t="inlineStr">
        <is>
          <t>TRÚNG N1 🎯</t>
        </is>
      </c>
      <c r="L198" s="3" t="inlineStr">
        <is>
          <t>01, 06, 08, 17, 24, 29, 30, 42, 44, 48, 49, 51, 52, 66, 67, 70, 80, 92, 93, 94</t>
        </is>
      </c>
      <c r="M198" s="7" t="inlineStr">
        <is>
          <t>TRƯỢT ❌</t>
        </is>
      </c>
      <c r="N198" s="6" t="inlineStr">
        <is>
          <t>TRÚNG N1 🎯</t>
        </is>
      </c>
      <c r="O198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99">
      <c r="A199" s="2" t="n">
        <v>93</v>
      </c>
      <c r="B199" s="2" t="inlineStr">
        <is>
          <t>Thứ tư ngày 08-04-2026</t>
        </is>
      </c>
      <c r="C199" s="3" t="inlineStr">
        <is>
          <t>Thứ Ba</t>
        </is>
      </c>
      <c r="D199" s="3" t="inlineStr">
        <is>
          <t>27450</t>
        </is>
      </c>
      <c r="E199" s="3" t="inlineStr">
        <is>
          <t>50</t>
        </is>
      </c>
      <c r="F199" s="3" t="inlineStr">
        <is>
          <t>G7.3, G7.4</t>
        </is>
      </c>
      <c r="G199" s="3" t="inlineStr">
        <is>
          <t>Tổng 0, Tổng 1, Tổng 4, Tổng 5, Tổng 6, Tổng 9</t>
        </is>
      </c>
      <c r="H199" s="3" t="inlineStr">
        <is>
          <t>01235678</t>
        </is>
      </c>
      <c r="I199" s="3" t="inlineStr">
        <is>
          <t>Tổng 5-Bóng 0</t>
        </is>
      </c>
      <c r="J199" s="3" t="n">
        <v>60</v>
      </c>
      <c r="K199" s="6" t="inlineStr">
        <is>
          <t>TRÚNG N1 🎯</t>
        </is>
      </c>
      <c r="L199" s="3" t="inlineStr">
        <is>
          <t>06, 14, 22, 24, 29, 32, 37, 42, 46, 55, 59, 64, 68, 69, 77, 82, 87, 88, 91, 95</t>
        </is>
      </c>
      <c r="M199" s="7" t="inlineStr">
        <is>
          <t>TRƯỢT ❌</t>
        </is>
      </c>
      <c r="N199" s="6" t="inlineStr">
        <is>
          <t>TRÚNG N1 🎯</t>
        </is>
      </c>
      <c r="O19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00">
      <c r="A200" s="2" t="n">
        <v>92</v>
      </c>
      <c r="B200" s="2" t="inlineStr">
        <is>
          <t>Thứ ba ngày 07-04-2026</t>
        </is>
      </c>
      <c r="C200" s="3" t="inlineStr">
        <is>
          <t>Thứ Hai</t>
        </is>
      </c>
      <c r="D200" s="3" t="inlineStr">
        <is>
          <t>02382</t>
        </is>
      </c>
      <c r="E200" s="3" t="inlineStr">
        <is>
          <t>82</t>
        </is>
      </c>
      <c r="F200" s="3" t="inlineStr">
        <is>
          <t>G7.4, G7.2</t>
        </is>
      </c>
      <c r="G200" s="3" t="inlineStr">
        <is>
          <t>Tổng 1, Tổng 2, Tổng 3, Tổng 6, Tổng 7, Tổng 8</t>
        </is>
      </c>
      <c r="H200" s="3" t="inlineStr">
        <is>
          <t>0123456789</t>
        </is>
      </c>
      <c r="I200" s="3" t="inlineStr">
        <is>
          <t>Tổng 2-Bóng 7</t>
        </is>
      </c>
      <c r="J200" s="3" t="n">
        <v>60</v>
      </c>
      <c r="K200" s="7" t="inlineStr">
        <is>
          <t>TRƯỢT ❌</t>
        </is>
      </c>
      <c r="L200" s="3" t="inlineStr">
        <is>
          <t>01, 06, 08, 17, 24, 29, 30, 42, 44, 48, 49, 51, 52, 66, 67, 70, 80, 88, 93, 94</t>
        </is>
      </c>
      <c r="M200" s="7" t="inlineStr">
        <is>
          <t>TRƯỢT ❌</t>
        </is>
      </c>
      <c r="N200" s="6" t="inlineStr">
        <is>
          <t>TRÚNG N3 🎯</t>
        </is>
      </c>
      <c r="O20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01">
      <c r="A201" s="2" t="n">
        <v>91</v>
      </c>
      <c r="B201" s="2" t="inlineStr">
        <is>
          <t>Thứ hai ngày 06-04-2026</t>
        </is>
      </c>
      <c r="C201" s="3" t="inlineStr">
        <is>
          <t>Chủ Nhật</t>
        </is>
      </c>
      <c r="D201" s="3" t="inlineStr">
        <is>
          <t>76406</t>
        </is>
      </c>
      <c r="E201" s="3" t="inlineStr">
        <is>
          <t>06</t>
        </is>
      </c>
      <c r="F201" s="3" t="inlineStr">
        <is>
          <t>G7.3, G7.4</t>
        </is>
      </c>
      <c r="G201" s="3" t="inlineStr">
        <is>
          <t>Tổng 0, Tổng 2, Tổng 3, Tổng 5, Tổng 7, Tổng 8</t>
        </is>
      </c>
      <c r="H201" s="3" t="inlineStr">
        <is>
          <t>12346789</t>
        </is>
      </c>
      <c r="I201" s="3" t="inlineStr">
        <is>
          <t>Tổng 3-Bóng 8</t>
        </is>
      </c>
      <c r="J201" s="3" t="n">
        <v>56</v>
      </c>
      <c r="K201" s="7" t="inlineStr">
        <is>
          <t>TRƯỢT ❌</t>
        </is>
      </c>
      <c r="L201" s="3" t="inlineStr">
        <is>
          <t>14, 17, 32, 37, 44, 46, 48, 49, 52, 64, 66, 67, 69, 70, 78, 80, 87, 91, 93, 94</t>
        </is>
      </c>
      <c r="M201" s="7" t="inlineStr">
        <is>
          <t>TRƯỢT ❌</t>
        </is>
      </c>
      <c r="N201" s="6" t="inlineStr">
        <is>
          <t>TRÚNG N2 🎯</t>
        </is>
      </c>
      <c r="O201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202">
      <c r="A202" s="2" t="n">
        <v>90</v>
      </c>
      <c r="B202" s="2" t="inlineStr">
        <is>
          <t>Chủ nhật ngày 05-04-2026</t>
        </is>
      </c>
      <c r="C202" s="3" t="inlineStr">
        <is>
          <t>Thứ Bảy</t>
        </is>
      </c>
      <c r="D202" s="3" t="inlineStr">
        <is>
          <t>02855</t>
        </is>
      </c>
      <c r="E202" s="3" t="inlineStr">
        <is>
          <t>55</t>
        </is>
      </c>
      <c r="F202" s="3" t="inlineStr">
        <is>
          <t>G7.1, G7.2</t>
        </is>
      </c>
      <c r="G202" s="3" t="inlineStr">
        <is>
          <t>Tổng 1, Tổng 2, Tổng 4, Tổng 6, Tổng 7, Tổng 9</t>
        </is>
      </c>
      <c r="H202" s="3" t="inlineStr">
        <is>
          <t>01345689</t>
        </is>
      </c>
      <c r="I202" s="3" t="inlineStr">
        <is>
          <t>Tổng 6-Bóng 1</t>
        </is>
      </c>
      <c r="J202" s="3" t="n">
        <v>56</v>
      </c>
      <c r="K202" s="7" t="inlineStr">
        <is>
          <t>TRƯỢT ❌</t>
        </is>
      </c>
      <c r="L202" s="3" t="inlineStr">
        <is>
          <t>01, 13, 24, 29, 36, 42, 48, 51, 52, 59, 61, 66, 68, 70, 81, 88, 90, 92, 93, 95</t>
        </is>
      </c>
      <c r="M202" s="7" t="inlineStr">
        <is>
          <t>TRƯỢT ❌</t>
        </is>
      </c>
      <c r="N202" s="6" t="inlineStr">
        <is>
          <t>TRÚNG N2 🎯</t>
        </is>
      </c>
      <c r="O202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203">
      <c r="A203" s="2" t="n">
        <v>89</v>
      </c>
      <c r="B203" s="2" t="inlineStr">
        <is>
          <t>Thứ bảy ngày 04-04-2026</t>
        </is>
      </c>
      <c r="C203" s="3" t="inlineStr">
        <is>
          <t>Thứ Sáu</t>
        </is>
      </c>
      <c r="D203" s="3" t="inlineStr">
        <is>
          <t>29737</t>
        </is>
      </c>
      <c r="E203" s="3" t="inlineStr">
        <is>
          <t>37</t>
        </is>
      </c>
      <c r="F203" s="3" t="inlineStr">
        <is>
          <t>G7.4, G7.2</t>
        </is>
      </c>
      <c r="G203" s="3" t="inlineStr">
        <is>
          <t>Tổng 1, Tổng 2, Tổng 4, Tổng 6, Tổng 7, Tổng 9</t>
        </is>
      </c>
      <c r="H203" s="3" t="inlineStr">
        <is>
          <t>0123456789</t>
        </is>
      </c>
      <c r="I203" s="3" t="inlineStr">
        <is>
          <t>Tổng 2-Bóng 7</t>
        </is>
      </c>
      <c r="J203" s="3" t="n">
        <v>60</v>
      </c>
      <c r="K203" s="7" t="inlineStr">
        <is>
          <t>TRƯỢT ❌</t>
        </is>
      </c>
      <c r="L203" s="3" t="inlineStr">
        <is>
          <t>01, 13, 22, 24, 29, 36, 42, 48, 51, 52, 59, 61, 66, 68, 70, 77, 88, 92, 93, 95</t>
        </is>
      </c>
      <c r="M203" s="7" t="inlineStr">
        <is>
          <t>TRƯỢT ❌</t>
        </is>
      </c>
      <c r="N203" s="6" t="inlineStr">
        <is>
          <t>TRÚNG N3 🎯</t>
        </is>
      </c>
      <c r="O2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04">
      <c r="A204" s="2" t="n">
        <v>88</v>
      </c>
      <c r="B204" s="2" t="inlineStr">
        <is>
          <t>Thứ sáu ngày 03-04-2026</t>
        </is>
      </c>
      <c r="C204" s="3" t="inlineStr">
        <is>
          <t>Thứ Năm</t>
        </is>
      </c>
      <c r="D204" s="3" t="inlineStr">
        <is>
          <t>12944</t>
        </is>
      </c>
      <c r="E204" s="3" t="inlineStr">
        <is>
          <t>44</t>
        </is>
      </c>
      <c r="F204" s="3" t="inlineStr">
        <is>
          <t>G7.4, G7.1</t>
        </is>
      </c>
      <c r="G204" s="3" t="inlineStr">
        <is>
          <t>Tổng 1, Tổng 2, Tổng 6, Tổng 7</t>
        </is>
      </c>
      <c r="H204" s="3" t="inlineStr">
        <is>
          <t>034589</t>
        </is>
      </c>
      <c r="I204" s="3" t="inlineStr">
        <is>
          <t>Tổng 6-Bóng 1</t>
        </is>
      </c>
      <c r="J204" s="3" t="n">
        <v>36</v>
      </c>
      <c r="K204" s="7" t="inlineStr">
        <is>
          <t>TRƯỢT ❌</t>
        </is>
      </c>
      <c r="L204" s="3" t="inlineStr">
        <is>
          <t>01, 24, 29, 33, 38, 42, 47, 48, 51, 52, 57, 70, 74, 75, 83, 88, 89, 92, 93, 97</t>
        </is>
      </c>
      <c r="M204" s="7" t="inlineStr">
        <is>
          <t>TRƯỢT ❌</t>
        </is>
      </c>
      <c r="N204" s="7" t="inlineStr">
        <is>
          <t>TRƯỢT KHUNG ❌</t>
        </is>
      </c>
      <c r="O204" s="3" t="inlineStr">
        <is>
          <t>01, 02, 06, 07, 10, 15, 20, 24, 25, 29, 33, 34, 38, 39, 42, 43, 47, 48, 51, 52, 56, 57, 60, 65, 70, 74, 75, 79, 83, 84, 88, 89, 92, 93, 97, 98</t>
        </is>
      </c>
    </row>
    <row r="205">
      <c r="A205" s="2" t="n">
        <v>87</v>
      </c>
      <c r="B205" s="2" t="inlineStr">
        <is>
          <t>Thứ năm ngày 02-04-2026</t>
        </is>
      </c>
      <c r="C205" s="3" t="inlineStr">
        <is>
          <t>Thứ Tư</t>
        </is>
      </c>
      <c r="D205" s="3" t="inlineStr">
        <is>
          <t>91267</t>
        </is>
      </c>
      <c r="E205" s="3" t="inlineStr">
        <is>
          <t>67</t>
        </is>
      </c>
      <c r="F205" s="3" t="inlineStr">
        <is>
          <t>G7.4, G7.1</t>
        </is>
      </c>
      <c r="G205" s="3" t="inlineStr">
        <is>
          <t>Tổng 0, Tổng 2, Tổng 3, Tổng 5, Tổng 7, Tổng 8</t>
        </is>
      </c>
      <c r="H205" s="3" t="inlineStr">
        <is>
          <t>01235678</t>
        </is>
      </c>
      <c r="I205" s="3" t="inlineStr">
        <is>
          <t>Tổng 3-Bóng 8</t>
        </is>
      </c>
      <c r="J205" s="3" t="n">
        <v>56</v>
      </c>
      <c r="K205" s="6" t="inlineStr">
        <is>
          <t>TRÚNG N1 🎯</t>
        </is>
      </c>
      <c r="L205" s="3" t="inlineStr">
        <is>
          <t>08, 14, 17, 19, 30, 32, 46, 48, 52, 55, 61, 64, 66, 69, 70, 78, 80, 87, 91, 93</t>
        </is>
      </c>
      <c r="M205" s="7" t="inlineStr">
        <is>
          <t>TRƯỢT ❌</t>
        </is>
      </c>
      <c r="N205" s="6" t="inlineStr">
        <is>
          <t>TRÚNG N1 🎯</t>
        </is>
      </c>
      <c r="O205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206">
      <c r="A206" s="2" t="n">
        <v>86</v>
      </c>
      <c r="B206" s="2" t="inlineStr">
        <is>
          <t>Thứ tư ngày 01-04-2026</t>
        </is>
      </c>
      <c r="C206" s="3" t="inlineStr">
        <is>
          <t>Thứ Ba</t>
        </is>
      </c>
      <c r="D206" s="3" t="inlineStr">
        <is>
          <t>31666</t>
        </is>
      </c>
      <c r="E206" s="3" t="inlineStr">
        <is>
          <t>66</t>
        </is>
      </c>
      <c r="F206" s="3" t="inlineStr">
        <is>
          <t>G7.3, G7.1</t>
        </is>
      </c>
      <c r="G206" s="3" t="inlineStr">
        <is>
          <t>Tổng 0, Tổng 2, Tổng 5, Tổng 7</t>
        </is>
      </c>
      <c r="H206" s="3" t="inlineStr">
        <is>
          <t>01235678</t>
        </is>
      </c>
      <c r="I206" s="3" t="inlineStr">
        <is>
          <t>Tổng 5-Bóng 0</t>
        </is>
      </c>
      <c r="J206" s="3" t="n">
        <v>40</v>
      </c>
      <c r="K206" s="6" t="inlineStr">
        <is>
          <t>TRÚNG N1 🎯</t>
        </is>
      </c>
      <c r="L206" s="3" t="inlineStr">
        <is>
          <t>05, 14, 19, 28, 32, 37, 46, 48, 52, 55, 57, 61, 64, 69, 70, 75, 78, 87, 91, 93</t>
        </is>
      </c>
      <c r="M206" s="7" t="inlineStr">
        <is>
          <t>TRƯỢT ❌</t>
        </is>
      </c>
      <c r="N206" s="6" t="inlineStr">
        <is>
          <t>TRÚNG N1 🎯</t>
        </is>
      </c>
      <c r="O206" s="3" t="inlineStr">
        <is>
          <t>00, 02, 05, 07, 11, 14, 16, 19, 20, 23, 25, 28, 32, 34, 37, 39, 41, 43, 46, 48, 50, 52, 55, 57, 61, 64, 66, 69, 70, 73, 75, 78, 82, 84, 87, 89, 91, 93, 96, 98</t>
        </is>
      </c>
    </row>
    <row r="207">
      <c r="A207" s="2" t="n">
        <v>85</v>
      </c>
      <c r="B207" s="2" t="inlineStr">
        <is>
          <t>Thứ ba ngày 31-03-2026</t>
        </is>
      </c>
      <c r="C207" s="3" t="inlineStr">
        <is>
          <t>Thứ Hai</t>
        </is>
      </c>
      <c r="D207" s="3" t="inlineStr">
        <is>
          <t>11591</t>
        </is>
      </c>
      <c r="E207" s="3" t="inlineStr">
        <is>
          <t>91</t>
        </is>
      </c>
      <c r="F207" s="3" t="inlineStr">
        <is>
          <t>G7.4, G7.2</t>
        </is>
      </c>
      <c r="G207" s="3" t="inlineStr">
        <is>
          <t>Tổng 2, Tổng 3, Tổng 4, Tổng 7, Tổng 8, Tổng 9</t>
        </is>
      </c>
      <c r="H207" s="3" t="inlineStr">
        <is>
          <t>0123456789</t>
        </is>
      </c>
      <c r="I207" s="3" t="inlineStr">
        <is>
          <t>Tổng 4-Bóng 9</t>
        </is>
      </c>
      <c r="J207" s="3" t="n">
        <v>60</v>
      </c>
      <c r="K207" s="7" t="inlineStr">
        <is>
          <t>TRƯỢT ❌</t>
        </is>
      </c>
      <c r="L207" s="3" t="inlineStr">
        <is>
          <t>08, 13, 17, 22, 30, 36, 48, 49, 52, 57, 59, 61, 68, 70, 77, 80, 90, 93, 94, 95</t>
        </is>
      </c>
      <c r="M207" s="7" t="inlineStr">
        <is>
          <t>TRƯỢT ❌</t>
        </is>
      </c>
      <c r="N207" s="6" t="inlineStr">
        <is>
          <t>TRÚNG N2 🎯</t>
        </is>
      </c>
      <c r="O20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08">
      <c r="A208" s="2" t="n">
        <v>84</v>
      </c>
      <c r="B208" s="2" t="inlineStr">
        <is>
          <t>Thứ hai ngày 30-03-2026</t>
        </is>
      </c>
      <c r="C208" s="3" t="inlineStr">
        <is>
          <t>Chủ Nhật</t>
        </is>
      </c>
      <c r="D208" s="3" t="inlineStr">
        <is>
          <t>64464</t>
        </is>
      </c>
      <c r="E208" s="3" t="inlineStr">
        <is>
          <t>64</t>
        </is>
      </c>
      <c r="F208" s="3" t="inlineStr">
        <is>
          <t>G7.3, G7.4</t>
        </is>
      </c>
      <c r="G208" s="3" t="inlineStr">
        <is>
          <t>Tổng 4, Tổng 9</t>
        </is>
      </c>
      <c r="H208" s="3" t="inlineStr">
        <is>
          <t>013568</t>
        </is>
      </c>
      <c r="I208" s="3" t="inlineStr">
        <is>
          <t>Tổng 9-Bóng 4</t>
        </is>
      </c>
      <c r="J208" s="3" t="n">
        <v>16</v>
      </c>
      <c r="K208" s="7" t="inlineStr">
        <is>
          <t>TRƯỢT ❌</t>
        </is>
      </c>
      <c r="L208" s="3" t="inlineStr">
        <is>
          <t>04, 09, 13, 18, 31, 36, 40, 45, 54, 59, 63, 68, 81, 86, 90, 95</t>
        </is>
      </c>
      <c r="M208" s="7" t="inlineStr">
        <is>
          <t>TRƯỢT ❌</t>
        </is>
      </c>
      <c r="N208" s="7" t="inlineStr">
        <is>
          <t>TRƯỢT KHUNG ❌</t>
        </is>
      </c>
      <c r="O208" s="3" t="inlineStr">
        <is>
          <t>04, 09, 13, 18, 31, 36, 40, 45, 54, 59, 63, 68, 81, 86, 90, 95</t>
        </is>
      </c>
    </row>
    <row r="209">
      <c r="A209" s="2" t="n">
        <v>83</v>
      </c>
      <c r="B209" s="2" t="inlineStr">
        <is>
          <t>Chủ nhật ngày 29-03-2026</t>
        </is>
      </c>
      <c r="C209" s="3" t="inlineStr">
        <is>
          <t>Thứ Bảy</t>
        </is>
      </c>
      <c r="D209" s="3" t="inlineStr">
        <is>
          <t>37188</t>
        </is>
      </c>
      <c r="E209" s="3" t="inlineStr">
        <is>
          <t>88</t>
        </is>
      </c>
      <c r="F209" s="3" t="inlineStr">
        <is>
          <t>G7.1, G7.2</t>
        </is>
      </c>
      <c r="G209" s="3" t="inlineStr">
        <is>
          <t>Tổng 2, Tổng 3, Tổng 4, Tổng 7, Tổng 8, Tổng 9</t>
        </is>
      </c>
      <c r="H209" s="3" t="inlineStr">
        <is>
          <t>0123456789</t>
        </is>
      </c>
      <c r="I209" s="3" t="inlineStr">
        <is>
          <t>Tổng 8-Bóng 3</t>
        </is>
      </c>
      <c r="J209" s="3" t="n">
        <v>60</v>
      </c>
      <c r="K209" s="7" t="inlineStr">
        <is>
          <t>TRƯỢT ❌</t>
        </is>
      </c>
      <c r="L209" s="3" t="inlineStr">
        <is>
          <t>08, 13, 17, 22, 30, 36, 48, 49, 52, 57, 59, 61, 62, 68, 70, 77, 80, 93, 94, 95</t>
        </is>
      </c>
      <c r="M209" s="7" t="inlineStr">
        <is>
          <t>TRƯỢT ❌</t>
        </is>
      </c>
      <c r="N209" s="7" t="inlineStr">
        <is>
          <t>TRƯỢT KHUNG ❌</t>
        </is>
      </c>
      <c r="O20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10">
      <c r="A210" s="2" t="n">
        <v>82</v>
      </c>
      <c r="B210" s="2" t="inlineStr">
        <is>
          <t>Thứ bảy ngày 28-03-2026</t>
        </is>
      </c>
      <c r="C210" s="3" t="inlineStr">
        <is>
          <t>Thứ Sáu</t>
        </is>
      </c>
      <c r="D210" s="3" t="inlineStr">
        <is>
          <t>96422</t>
        </is>
      </c>
      <c r="E210" s="3" t="inlineStr">
        <is>
          <t>22</t>
        </is>
      </c>
      <c r="F210" s="3" t="inlineStr">
        <is>
          <t>G7.4, G7.2</t>
        </is>
      </c>
      <c r="G210" s="3" t="inlineStr">
        <is>
          <t>Tổng 1, Tổng 6</t>
        </is>
      </c>
      <c r="H210" s="3" t="inlineStr">
        <is>
          <t>014569</t>
        </is>
      </c>
      <c r="I210" s="3" t="inlineStr">
        <is>
          <t>Tổng 6-Bóng 1</t>
        </is>
      </c>
      <c r="J210" s="3" t="n">
        <v>16</v>
      </c>
      <c r="K210" s="7" t="inlineStr">
        <is>
          <t>TRƯỢT ❌</t>
        </is>
      </c>
      <c r="L210" s="3" t="inlineStr">
        <is>
          <t>01, 06, 10, 15, 24, 29, 42, 47, 51, 56, 60, 65, 74, 79, 92, 97</t>
        </is>
      </c>
      <c r="M210" s="7" t="inlineStr">
        <is>
          <t>TRƯỢT ❌</t>
        </is>
      </c>
      <c r="N210" s="7" t="inlineStr">
        <is>
          <t>TRƯỢT KHUNG ❌</t>
        </is>
      </c>
      <c r="O210" s="3" t="inlineStr">
        <is>
          <t>01, 06, 10, 15, 24, 29, 42, 47, 51, 56, 60, 65, 74, 79, 92, 97</t>
        </is>
      </c>
    </row>
    <row r="211">
      <c r="A211" s="2" t="n">
        <v>81</v>
      </c>
      <c r="B211" s="2" t="inlineStr">
        <is>
          <t>Thứ sáu ngày 27-03-2026</t>
        </is>
      </c>
      <c r="C211" s="3" t="inlineStr">
        <is>
          <t>Thứ Năm</t>
        </is>
      </c>
      <c r="D211" s="3" t="inlineStr">
        <is>
          <t>61332</t>
        </is>
      </c>
      <c r="E211" s="3" t="inlineStr">
        <is>
          <t>32</t>
        </is>
      </c>
      <c r="F211" s="3" t="inlineStr">
        <is>
          <t>G7.4, G7.1</t>
        </is>
      </c>
      <c r="G211" s="3" t="inlineStr">
        <is>
          <t>Tổng 0, Tổng 2, Tổng 3, Tổng 5, Tổng 7, Tổng 8</t>
        </is>
      </c>
      <c r="H211" s="3" t="inlineStr">
        <is>
          <t>0123456789</t>
        </is>
      </c>
      <c r="I211" s="3" t="inlineStr">
        <is>
          <t>Tổng 0-Bóng 5</t>
        </is>
      </c>
      <c r="J211" s="3" t="n">
        <v>60</v>
      </c>
      <c r="K211" s="6" t="inlineStr">
        <is>
          <t>TRÚNG N1 🎯</t>
        </is>
      </c>
      <c r="L211" s="3" t="inlineStr">
        <is>
          <t>08, 14, 17, 19, 30, 46, 48, 49, 52, 53, 57, 62, 69, 70, 78, 80, 87, 91, 93, 94</t>
        </is>
      </c>
      <c r="M211" s="7" t="inlineStr">
        <is>
          <t>TRƯỢT ❌</t>
        </is>
      </c>
      <c r="N211" s="6" t="inlineStr">
        <is>
          <t>TRÚNG N1 🎯</t>
        </is>
      </c>
      <c r="O21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12">
      <c r="A212" s="2" t="n">
        <v>80</v>
      </c>
      <c r="B212" s="2" t="inlineStr">
        <is>
          <t>Thứ năm ngày 26-03-2026</t>
        </is>
      </c>
      <c r="C212" s="3" t="inlineStr">
        <is>
          <t>Thứ Tư</t>
        </is>
      </c>
      <c r="D212" s="3" t="inlineStr">
        <is>
          <t>44693</t>
        </is>
      </c>
      <c r="E212" s="3" t="inlineStr">
        <is>
          <t>93</t>
        </is>
      </c>
      <c r="F212" s="3" t="inlineStr">
        <is>
          <t>G7.4, G7.1</t>
        </is>
      </c>
      <c r="G212" s="3" t="inlineStr">
        <is>
          <t>Tổng 1, Tổng 2, Tổng 4, Tổng 6, Tổng 7, Tổng 9</t>
        </is>
      </c>
      <c r="H212" s="3" t="inlineStr">
        <is>
          <t>024579</t>
        </is>
      </c>
      <c r="I212" s="3" t="inlineStr">
        <is>
          <t>Tổng 7-Bóng 2</t>
        </is>
      </c>
      <c r="J212" s="3" t="n">
        <v>44</v>
      </c>
      <c r="K212" s="6" t="inlineStr">
        <is>
          <t>TRÚNG N1 🎯</t>
        </is>
      </c>
      <c r="L212" s="3" t="inlineStr">
        <is>
          <t>01, 22, 24, 29, 42, 45, 48, 51, 52, 54, 57, 59, 70, 74, 75, 77, 90, 92, 95, 97</t>
        </is>
      </c>
      <c r="M212" s="7" t="inlineStr">
        <is>
          <t>TRƯỢT ❌</t>
        </is>
      </c>
      <c r="N212" s="6" t="inlineStr">
        <is>
          <t>TRÚNG N1 🎯</t>
        </is>
      </c>
      <c r="O212" s="3" t="inlineStr">
        <is>
          <t>01, 02, 04, 06, 07, 09, 10, 15, 20, 22, 24, 25, 27, 29, 34, 39, 40, 42, 43, 45, 47, 48, 51, 52, 54, 56, 57, 59, 60, 65, 70, 72, 74, 75, 77, 79, 84, 89, 90, 92, 93, 95, 97, 98</t>
        </is>
      </c>
    </row>
    <row r="213">
      <c r="A213" s="2" t="n">
        <v>79</v>
      </c>
      <c r="B213" s="2" t="inlineStr">
        <is>
          <t>Thứ tư ngày 25-03-2026</t>
        </is>
      </c>
      <c r="C213" s="3" t="inlineStr">
        <is>
          <t>Thứ Ba</t>
        </is>
      </c>
      <c r="D213" s="3" t="inlineStr">
        <is>
          <t>53988</t>
        </is>
      </c>
      <c r="E213" s="3" t="inlineStr">
        <is>
          <t>88</t>
        </is>
      </c>
      <c r="F213" s="3" t="inlineStr">
        <is>
          <t>G7.3, G7.1</t>
        </is>
      </c>
      <c r="G213" s="3" t="inlineStr">
        <is>
          <t>Tổng 0, Tổng 1, Tổng 2, Tổng 5, Tổng 6, Tổng 7</t>
        </is>
      </c>
      <c r="H213" s="3" t="inlineStr">
        <is>
          <t>01245679</t>
        </is>
      </c>
      <c r="I213" s="3" t="inlineStr">
        <is>
          <t>Tổng 0-Bóng 5</t>
        </is>
      </c>
      <c r="J213" s="3" t="n">
        <v>56</v>
      </c>
      <c r="K213" s="7" t="inlineStr">
        <is>
          <t>TRƯỢT ❌</t>
        </is>
      </c>
      <c r="L213" s="3" t="inlineStr">
        <is>
          <t>01, 14, 19, 24, 29, 37, 42, 46, 48, 51, 52, 55, 57, 61, 69, 70, 78, 87, 91, 92</t>
        </is>
      </c>
      <c r="M213" s="7" t="inlineStr">
        <is>
          <t>TRƯỢT ❌</t>
        </is>
      </c>
      <c r="N213" s="6" t="inlineStr">
        <is>
          <t>TRÚNG N2 🎯</t>
        </is>
      </c>
      <c r="O213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214">
      <c r="A214" s="2" t="n">
        <v>78</v>
      </c>
      <c r="B214" s="2" t="inlineStr">
        <is>
          <t>Thứ ba ngày 24-03-2026</t>
        </is>
      </c>
      <c r="C214" s="3" t="inlineStr">
        <is>
          <t>Thứ Hai</t>
        </is>
      </c>
      <c r="D214" s="3" t="inlineStr">
        <is>
          <t>03829</t>
        </is>
      </c>
      <c r="E214" s="3" t="inlineStr">
        <is>
          <t>29</t>
        </is>
      </c>
      <c r="F214" s="3" t="inlineStr">
        <is>
          <t>G7.4, G7.2</t>
        </is>
      </c>
      <c r="G214" s="3" t="inlineStr">
        <is>
          <t>Tổng 0, Tổng 1, Tổng 3, Tổng 5, Tổng 6, Tổng 8</t>
        </is>
      </c>
      <c r="H214" s="3" t="inlineStr">
        <is>
          <t>234789</t>
        </is>
      </c>
      <c r="I214" s="3" t="inlineStr">
        <is>
          <t>Tổng 6-Bóng 1</t>
        </is>
      </c>
      <c r="J214" s="3" t="n">
        <v>48</v>
      </c>
      <c r="K214" s="6" t="inlineStr">
        <is>
          <t>TRÚNG N1 🎯</t>
        </is>
      </c>
      <c r="L214" s="3" t="inlineStr">
        <is>
          <t>08, 12, 14, 17, 19, 24, 30, 37, 42, 46, 49, 53, 62, 69, 78, 80, 83, 87, 91, 94</t>
        </is>
      </c>
      <c r="M214" s="7" t="inlineStr">
        <is>
          <t>TRƯỢT ❌</t>
        </is>
      </c>
      <c r="N214" s="6" t="inlineStr">
        <is>
          <t>TRÚNG N1 🎯</t>
        </is>
      </c>
      <c r="O214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215">
      <c r="A215" s="2" t="n">
        <v>77</v>
      </c>
      <c r="B215" s="2" t="inlineStr">
        <is>
          <t>Thứ hai ngày 23-03-2026</t>
        </is>
      </c>
      <c r="C215" s="3" t="inlineStr">
        <is>
          <t>Chủ Nhật</t>
        </is>
      </c>
      <c r="D215" s="3" t="inlineStr">
        <is>
          <t>77514</t>
        </is>
      </c>
      <c r="E215" s="3" t="inlineStr">
        <is>
          <t>14</t>
        </is>
      </c>
      <c r="F215" s="3" t="inlineStr">
        <is>
          <t>G7.3, G7.4</t>
        </is>
      </c>
      <c r="G215" s="3" t="inlineStr">
        <is>
          <t>Tổng 1, Tổng 2, Tổng 6, Tổng 7</t>
        </is>
      </c>
      <c r="H215" s="3" t="inlineStr">
        <is>
          <t>0123456789</t>
        </is>
      </c>
      <c r="I215" s="3" t="inlineStr">
        <is>
          <t>Tổng 7-Bóng 2</t>
        </is>
      </c>
      <c r="J215" s="3" t="n">
        <v>40</v>
      </c>
      <c r="K215" s="7" t="inlineStr">
        <is>
          <t>TRƯỢT ❌</t>
        </is>
      </c>
      <c r="L215" s="3" t="inlineStr">
        <is>
          <t>01, 07, 24, 33, 38, 42, 47, 48, 51, 52, 57, 61, 70, 74, 75, 83, 89, 92, 93, 97</t>
        </is>
      </c>
      <c r="M215" s="7" t="inlineStr">
        <is>
          <t>TRƯỢT ❌</t>
        </is>
      </c>
      <c r="N215" s="6" t="inlineStr">
        <is>
          <t>TRÚNG N2 🎯</t>
        </is>
      </c>
      <c r="O215" s="3" t="inlineStr">
        <is>
          <t>01, 02, 06, 07, 10, 11, 15, 16, 20, 24, 25, 29, 33, 34, 38, 39, 42, 43, 47, 48, 51, 52, 56, 57, 60, 61, 65, 66, 70, 74, 75, 79, 83, 84, 88, 89, 92, 93, 97, 98</t>
        </is>
      </c>
    </row>
    <row r="216">
      <c r="A216" s="2" t="n">
        <v>76</v>
      </c>
      <c r="B216" s="2" t="inlineStr">
        <is>
          <t>Chủ nhật ngày 22-03-2026</t>
        </is>
      </c>
      <c r="C216" s="3" t="inlineStr">
        <is>
          <t>Thứ Bảy</t>
        </is>
      </c>
      <c r="D216" s="3" t="inlineStr">
        <is>
          <t>58646</t>
        </is>
      </c>
      <c r="E216" s="3" t="inlineStr">
        <is>
          <t>46</t>
        </is>
      </c>
      <c r="F216" s="3" t="inlineStr">
        <is>
          <t>G7.1, G7.2</t>
        </is>
      </c>
      <c r="G216" s="3" t="inlineStr">
        <is>
          <t>Tổng 1, Tổng 3, Tổng 4, Tổng 6, Tổng 8, Tổng 9</t>
        </is>
      </c>
      <c r="H216" s="3" t="inlineStr">
        <is>
          <t>0123456789</t>
        </is>
      </c>
      <c r="I216" s="3" t="inlineStr">
        <is>
          <t>Tổng 4-Bóng 9</t>
        </is>
      </c>
      <c r="J216" s="3" t="n">
        <v>60</v>
      </c>
      <c r="K216" s="7" t="inlineStr">
        <is>
          <t>TRƯỢT ❌</t>
        </is>
      </c>
      <c r="L216" s="3" t="inlineStr">
        <is>
          <t>01, 08, 12, 13, 24, 30, 36, 42, 49, 51, 53, 59, 68, 77, 80, 81, 83, 86, 94, 95</t>
        </is>
      </c>
      <c r="M216" s="7" t="inlineStr">
        <is>
          <t>TRƯỢT ❌</t>
        </is>
      </c>
      <c r="N216" s="6" t="inlineStr">
        <is>
          <t>TRÚNG N3 🎯</t>
        </is>
      </c>
      <c r="O21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17">
      <c r="A217" s="2" t="n">
        <v>75</v>
      </c>
      <c r="B217" s="2" t="inlineStr">
        <is>
          <t>Thứ bảy ngày 21-03-2026</t>
        </is>
      </c>
      <c r="C217" s="3" t="inlineStr">
        <is>
          <t>Thứ Sáu</t>
        </is>
      </c>
      <c r="D217" s="3" t="inlineStr">
        <is>
          <t>88594</t>
        </is>
      </c>
      <c r="E217" s="3" t="inlineStr">
        <is>
          <t>94</t>
        </is>
      </c>
      <c r="F217" s="3" t="inlineStr">
        <is>
          <t>G7.2, G7.3</t>
        </is>
      </c>
      <c r="G217" s="3" t="inlineStr">
        <is>
          <t>Tổng 2, Tổng 3, Tổng 7, Tổng 8</t>
        </is>
      </c>
      <c r="H217" s="3" t="inlineStr">
        <is>
          <t>02345789</t>
        </is>
      </c>
      <c r="I217" s="3" t="inlineStr">
        <is>
          <t>Tổng 7-Bóng 2</t>
        </is>
      </c>
      <c r="J217" s="3" t="n">
        <v>36</v>
      </c>
      <c r="K217" s="6" t="inlineStr">
        <is>
          <t>TRÚNG N1 🎯</t>
        </is>
      </c>
      <c r="L217" s="3" t="inlineStr">
        <is>
          <t>07, 08, 12, 17, 21, 26, 30, 48, 49, 52, 53, 57, 62, 70, 75, 80, 85, 89, 93, 94</t>
        </is>
      </c>
      <c r="M217" s="6" t="inlineStr">
        <is>
          <t>TRÚNG HỎA LỰC 🎯</t>
        </is>
      </c>
      <c r="N217" s="6" t="inlineStr">
        <is>
          <t>TRÚNG N1 🎯</t>
        </is>
      </c>
      <c r="O217" s="3" t="inlineStr">
        <is>
          <t>02, 03, 07, 08, 12, 17, 20, 21, 25, 26, 30, 34, 35, 39, 43, 44, 48, 49, 52, 53, 57, 58, 62, 67, 70, 71, 75, 76, 80, 84, 85, 89, 93, 94, 98, 99</t>
        </is>
      </c>
    </row>
    <row r="218">
      <c r="A218" s="2" t="n">
        <v>74</v>
      </c>
      <c r="B218" s="2" t="inlineStr">
        <is>
          <t>Thứ sáu ngày 20-03-2026</t>
        </is>
      </c>
      <c r="C218" s="3" t="inlineStr">
        <is>
          <t>Thứ Năm</t>
        </is>
      </c>
      <c r="D218" s="3" t="inlineStr">
        <is>
          <t>81124</t>
        </is>
      </c>
      <c r="E218" s="3" t="inlineStr">
        <is>
          <t>24</t>
        </is>
      </c>
      <c r="F218" s="3" t="inlineStr">
        <is>
          <t>G7.4, G7.1</t>
        </is>
      </c>
      <c r="G218" s="3" t="inlineStr">
        <is>
          <t>Tổng 0, Tổng 1, Tổng 5, Tổng 6</t>
        </is>
      </c>
      <c r="H218" s="3" t="inlineStr">
        <is>
          <t>01245679</t>
        </is>
      </c>
      <c r="I218" s="3" t="inlineStr">
        <is>
          <t>Tổng 6-Bóng 1</t>
        </is>
      </c>
      <c r="J218" s="3" t="n">
        <v>36</v>
      </c>
      <c r="K218" s="6" t="inlineStr">
        <is>
          <t>TRÚNG N1 🎯</t>
        </is>
      </c>
      <c r="L218" s="3" t="inlineStr">
        <is>
          <t>01, 05, 14, 19, 23, 24, 28, 37, 42, 47, 51, 55, 60, 69, 74, 78, 87, 91, 92, 97</t>
        </is>
      </c>
      <c r="M218" s="6" t="inlineStr">
        <is>
          <t>TRÚNG HỎA LỰC 🎯</t>
        </is>
      </c>
      <c r="N218" s="6" t="inlineStr">
        <is>
          <t>TRÚNG N1 🎯</t>
        </is>
      </c>
      <c r="O218" s="3" t="inlineStr">
        <is>
          <t>00, 01, 05, 06, 10, 14, 15, 19, 23, 24, 28, 29, 32, 37, 41, 42, 46, 47, 50, 51, 55, 56, 60, 64, 65, 69, 73, 74, 78, 79, 82, 87, 91, 92, 96, 97</t>
        </is>
      </c>
    </row>
    <row r="219">
      <c r="A219" s="2" t="n">
        <v>73</v>
      </c>
      <c r="B219" s="2" t="inlineStr">
        <is>
          <t>Thứ năm ngày 19-03-2026</t>
        </is>
      </c>
      <c r="C219" s="3" t="inlineStr">
        <is>
          <t>Thứ Tư</t>
        </is>
      </c>
      <c r="D219" s="3" t="inlineStr">
        <is>
          <t>75495</t>
        </is>
      </c>
      <c r="E219" s="3" t="inlineStr">
        <is>
          <t>95</t>
        </is>
      </c>
      <c r="F219" s="3" t="inlineStr">
        <is>
          <t>G7.1, G7.2</t>
        </is>
      </c>
      <c r="G219" s="3" t="inlineStr">
        <is>
          <t>Tổng 2, Tổng 4, Tổng 7, Tổng 9</t>
        </is>
      </c>
      <c r="H219" s="3" t="inlineStr">
        <is>
          <t>0123456789</t>
        </is>
      </c>
      <c r="I219" s="3" t="inlineStr">
        <is>
          <t>Tổng 4-Bóng 9</t>
        </is>
      </c>
      <c r="J219" s="3" t="n">
        <v>40</v>
      </c>
      <c r="K219" s="6" t="inlineStr">
        <is>
          <t>TRÚNG N1 🎯</t>
        </is>
      </c>
      <c r="L219" s="3" t="inlineStr">
        <is>
          <t>13, 22, 27, 36, 45, 48, 52, 54, 57, 59, 61, 63, 68, 70, 75, 77, 81, 86, 90, 93</t>
        </is>
      </c>
      <c r="M219" s="7" t="inlineStr">
        <is>
          <t>TRƯỢT ❌</t>
        </is>
      </c>
      <c r="N219" s="6" t="inlineStr">
        <is>
          <t>TRÚNG N1 🎯</t>
        </is>
      </c>
      <c r="O219" s="3" t="inlineStr">
        <is>
          <t>02, 04, 07, 09, 11, 13, 16, 18, 20, 22, 25, 27, 31, 34, 36, 39, 40, 43, 45, 48, 52, 54, 57, 59, 61, 63, 66, 68, 70, 72, 75, 77, 81, 84, 86, 89, 90, 93, 95, 98</t>
        </is>
      </c>
    </row>
    <row r="220">
      <c r="A220" s="2" t="n">
        <v>72</v>
      </c>
      <c r="B220" s="2" t="inlineStr">
        <is>
          <t>Thứ tư ngày 18-03-2026</t>
        </is>
      </c>
      <c r="C220" s="3" t="inlineStr">
        <is>
          <t>Thứ Ba</t>
        </is>
      </c>
      <c r="D220" s="3" t="inlineStr">
        <is>
          <t>25287</t>
        </is>
      </c>
      <c r="E220" s="3" t="inlineStr">
        <is>
          <t>87</t>
        </is>
      </c>
      <c r="F220" s="3" t="inlineStr">
        <is>
          <t>G7.3, G7.1</t>
        </is>
      </c>
      <c r="G220" s="3" t="inlineStr">
        <is>
          <t>Tổng 2, Tổng 4, Tổng 7, Tổng 9</t>
        </is>
      </c>
      <c r="H220" s="3" t="inlineStr">
        <is>
          <t>02345789</t>
        </is>
      </c>
      <c r="I220" s="3" t="inlineStr">
        <is>
          <t>Tổng 2-Bóng 7</t>
        </is>
      </c>
      <c r="J220" s="3" t="n">
        <v>36</v>
      </c>
      <c r="K220" s="7" t="inlineStr">
        <is>
          <t>TRƯỢT ❌</t>
        </is>
      </c>
      <c r="L220" s="3" t="inlineStr">
        <is>
          <t>13, 22, 27, 36, 45, 48, 52, 54, 57, 59, 63, 68, 70, 75, 77, 81, 86, 89, 90, 93</t>
        </is>
      </c>
      <c r="M220" s="7" t="inlineStr">
        <is>
          <t>TRƯỢT ❌</t>
        </is>
      </c>
      <c r="N220" s="6" t="inlineStr">
        <is>
          <t>TRÚNG N2 🎯</t>
        </is>
      </c>
      <c r="O220" s="3" t="inlineStr">
        <is>
          <t>02, 04, 07, 09, 13, 18, 20, 22, 25, 27, 31, 34, 36, 39, 40, 43, 45, 48, 52, 54, 57, 59, 63, 68, 70, 72, 75, 77, 81, 84, 86, 89, 90, 93, 95, 98</t>
        </is>
      </c>
    </row>
    <row r="221">
      <c r="A221" s="2" t="n">
        <v>71</v>
      </c>
      <c r="B221" s="2" t="inlineStr">
        <is>
          <t>Thứ ba ngày 17-03-2026</t>
        </is>
      </c>
      <c r="C221" s="3" t="inlineStr">
        <is>
          <t>Thứ Hai</t>
        </is>
      </c>
      <c r="D221" s="3" t="inlineStr">
        <is>
          <t>07969</t>
        </is>
      </c>
      <c r="E221" s="3" t="inlineStr">
        <is>
          <t>69</t>
        </is>
      </c>
      <c r="F221" s="3" t="inlineStr">
        <is>
          <t>G7.4, G7.1</t>
        </is>
      </c>
      <c r="G221" s="3" t="inlineStr">
        <is>
          <t>Tổng 0, Tổng 1, Tổng 2, Tổng 5, Tổng 6, Tổng 7</t>
        </is>
      </c>
      <c r="H221" s="3" t="inlineStr">
        <is>
          <t>02345789</t>
        </is>
      </c>
      <c r="I221" s="3" t="inlineStr">
        <is>
          <t>Tổng 2-Bóng 7</t>
        </is>
      </c>
      <c r="J221" s="3" t="n">
        <v>56</v>
      </c>
      <c r="K221" s="6" t="inlineStr">
        <is>
          <t>TRÚNG N1 🎯</t>
        </is>
      </c>
      <c r="L221" s="3" t="inlineStr">
        <is>
          <t>01, 14, 19, 24, 28, 33, 37, 42, 48, 51, 52, 55, 57, 70, 74, 75, 78, 83, 91, 92</t>
        </is>
      </c>
      <c r="M221" s="7" t="inlineStr">
        <is>
          <t>TRƯỢT ❌</t>
        </is>
      </c>
      <c r="N221" s="6" t="inlineStr">
        <is>
          <t>TRÚNG N1 🎯</t>
        </is>
      </c>
      <c r="O221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222">
      <c r="A222" s="2" t="n">
        <v>70</v>
      </c>
      <c r="B222" s="2" t="inlineStr">
        <is>
          <t>Thứ hai ngày 16-03-2026</t>
        </is>
      </c>
      <c r="C222" s="3" t="inlineStr">
        <is>
          <t>Chủ Nhật</t>
        </is>
      </c>
      <c r="D222" s="3" t="inlineStr">
        <is>
          <t>77552</t>
        </is>
      </c>
      <c r="E222" s="3" t="inlineStr">
        <is>
          <t>52</t>
        </is>
      </c>
      <c r="F222" s="3" t="inlineStr">
        <is>
          <t>G7.3, G7.4</t>
        </is>
      </c>
      <c r="G222" s="3" t="inlineStr">
        <is>
          <t>Tổng 1, Tổng 2, Tổng 3, Tổng 6, Tổng 7, Tổng 8</t>
        </is>
      </c>
      <c r="H222" s="3" t="inlineStr">
        <is>
          <t>12346789</t>
        </is>
      </c>
      <c r="I222" s="3" t="inlineStr">
        <is>
          <t>Tổng 2-Bóng 7</t>
        </is>
      </c>
      <c r="J222" s="3" t="n">
        <v>60</v>
      </c>
      <c r="K222" s="6" t="inlineStr">
        <is>
          <t>TRÚNG N1 🎯</t>
        </is>
      </c>
      <c r="L222" s="3" t="inlineStr">
        <is>
          <t>01, 08, 12, 17, 21, 24, 30, 42, 48, 49, 51, 53, 57, 61, 62, 70, 75, 80, 83, 92</t>
        </is>
      </c>
      <c r="M222" s="7" t="inlineStr">
        <is>
          <t>TRƯỢT ❌</t>
        </is>
      </c>
      <c r="N222" s="6" t="inlineStr">
        <is>
          <t>TRÚNG N1 🎯</t>
        </is>
      </c>
      <c r="O22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23">
      <c r="A223" s="2" t="n">
        <v>69</v>
      </c>
      <c r="B223" s="2" t="inlineStr">
        <is>
          <t>Chủ nhật ngày 15-03-2026</t>
        </is>
      </c>
      <c r="C223" s="3" t="inlineStr">
        <is>
          <t>Thứ Bảy</t>
        </is>
      </c>
      <c r="D223" s="3" t="inlineStr">
        <is>
          <t>01770</t>
        </is>
      </c>
      <c r="E223" s="3" t="inlineStr">
        <is>
          <t>70</t>
        </is>
      </c>
      <c r="F223" s="3" t="inlineStr">
        <is>
          <t>G7.1, G7.2</t>
        </is>
      </c>
      <c r="G223" s="3" t="inlineStr">
        <is>
          <t>Tổng 0, Tổng 1, Tổng 2, Tổng 5, Tổng 6, Tổng 7</t>
        </is>
      </c>
      <c r="H223" s="3" t="inlineStr">
        <is>
          <t>01245679</t>
        </is>
      </c>
      <c r="I223" s="3" t="inlineStr">
        <is>
          <t>Tổng 6-Bóng 1</t>
        </is>
      </c>
      <c r="J223" s="3" t="n">
        <v>56</v>
      </c>
      <c r="K223" s="6" t="inlineStr">
        <is>
          <t>TRÚNG N1 🎯</t>
        </is>
      </c>
      <c r="L223" s="3" t="inlineStr">
        <is>
          <t>01, 05, 14, 19, 24, 28, 37, 42, 48, 51, 55, 57, 61, 74, 75, 78, 91, 92, 93, 97</t>
        </is>
      </c>
      <c r="M223" s="7" t="inlineStr">
        <is>
          <t>TRƯỢT ❌</t>
        </is>
      </c>
      <c r="N223" s="6" t="inlineStr">
        <is>
          <t>TRÚNG N1 🎯</t>
        </is>
      </c>
      <c r="O223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224">
      <c r="A224" s="2" t="n">
        <v>68</v>
      </c>
      <c r="B224" s="2" t="inlineStr">
        <is>
          <t>Thứ bảy ngày 14-03-2026</t>
        </is>
      </c>
      <c r="C224" s="3" t="inlineStr">
        <is>
          <t>Thứ Sáu</t>
        </is>
      </c>
      <c r="D224" s="3" t="inlineStr">
        <is>
          <t>56848</t>
        </is>
      </c>
      <c r="E224" s="3" t="inlineStr">
        <is>
          <t>48</t>
        </is>
      </c>
      <c r="F224" s="3" t="inlineStr">
        <is>
          <t>G7.2, G7.3</t>
        </is>
      </c>
      <c r="G224" s="3" t="inlineStr">
        <is>
          <t>Tổng 1, Tổng 3, Tổng 4, Tổng 6, Tổng 8, Tổng 9</t>
        </is>
      </c>
      <c r="H224" s="3" t="inlineStr">
        <is>
          <t>01345689</t>
        </is>
      </c>
      <c r="I224" s="3" t="inlineStr">
        <is>
          <t>Tổng 3-Bóng 8</t>
        </is>
      </c>
      <c r="J224" s="3" t="n">
        <v>56</v>
      </c>
      <c r="K224" s="7" t="inlineStr">
        <is>
          <t>TRƯỢT ❌</t>
        </is>
      </c>
      <c r="L224" s="3" t="inlineStr">
        <is>
          <t>01, 08, 12, 13, 17, 24, 30, 36, 42, 49, 51, 53, 59, 68, 80, 81, 83, 86, 90, 92</t>
        </is>
      </c>
      <c r="M224" s="7" t="inlineStr">
        <is>
          <t>TRƯỢT ❌</t>
        </is>
      </c>
      <c r="N224" s="7" t="inlineStr">
        <is>
          <t>TRƯỢT KHUNG ❌</t>
        </is>
      </c>
      <c r="O224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225">
      <c r="A225" s="2" t="n">
        <v>67</v>
      </c>
      <c r="B225" s="2" t="inlineStr">
        <is>
          <t>Thứ sáu ngày 13-03-2026</t>
        </is>
      </c>
      <c r="C225" s="3" t="inlineStr">
        <is>
          <t>Thứ Năm</t>
        </is>
      </c>
      <c r="D225" s="3" t="inlineStr">
        <is>
          <t>86759</t>
        </is>
      </c>
      <c r="E225" s="3" t="inlineStr">
        <is>
          <t>59</t>
        </is>
      </c>
      <c r="F225" s="3" t="inlineStr">
        <is>
          <t>G7.4, G7.1</t>
        </is>
      </c>
      <c r="G225" s="3" t="inlineStr">
        <is>
          <t>Tổng 3, Tổng 4, Tổng 8, Tổng 9</t>
        </is>
      </c>
      <c r="H225" s="3" t="inlineStr">
        <is>
          <t>01345689</t>
        </is>
      </c>
      <c r="I225" s="3" t="inlineStr">
        <is>
          <t>Tổng 8-Bóng 3</t>
        </is>
      </c>
      <c r="J225" s="3" t="n">
        <v>36</v>
      </c>
      <c r="K225" s="6" t="inlineStr">
        <is>
          <t>TRÚNG N1 🎯</t>
        </is>
      </c>
      <c r="L225" s="3" t="inlineStr">
        <is>
          <t>08, 12, 13, 17, 21, 30, 36, 45, 49, 53, 54, 59, 62, 63, 68, 80, 81, 85, 86, 90</t>
        </is>
      </c>
      <c r="M225" s="6" t="inlineStr">
        <is>
          <t>TRÚNG HỎA LỰC 🎯</t>
        </is>
      </c>
      <c r="N225" s="6" t="inlineStr">
        <is>
          <t>TRÚNG N1 🎯</t>
        </is>
      </c>
      <c r="O225" s="3" t="inlineStr">
        <is>
          <t>03, 04, 08, 09, 12, 13, 17, 18, 21, 26, 30, 31, 35, 36, 40, 44, 45, 49, 53, 54, 58, 59, 62, 63, 67, 68, 71, 76, 80, 81, 85, 86, 90, 94, 95, 99</t>
        </is>
      </c>
    </row>
    <row r="226">
      <c r="A226" s="2" t="n">
        <v>66</v>
      </c>
      <c r="B226" s="2" t="inlineStr">
        <is>
          <t>Thứ năm ngày 12-03-2026</t>
        </is>
      </c>
      <c r="C226" s="3" t="inlineStr">
        <is>
          <t>Thứ Tư</t>
        </is>
      </c>
      <c r="D226" s="3" t="inlineStr">
        <is>
          <t>72124</t>
        </is>
      </c>
      <c r="E226" s="3" t="inlineStr">
        <is>
          <t>24</t>
        </is>
      </c>
      <c r="F226" s="3" t="inlineStr">
        <is>
          <t>G7.1, G7.2</t>
        </is>
      </c>
      <c r="G226" s="3" t="inlineStr">
        <is>
          <t>Tổng 1, Tổng 2, Tổng 3, Tổng 6, Tổng 7, Tổng 8</t>
        </is>
      </c>
      <c r="H226" s="3" t="inlineStr">
        <is>
          <t>0123456789</t>
        </is>
      </c>
      <c r="I226" s="3" t="inlineStr">
        <is>
          <t>Tổng 2-Bóng 7</t>
        </is>
      </c>
      <c r="J226" s="3" t="n">
        <v>60</v>
      </c>
      <c r="K226" s="6" t="inlineStr">
        <is>
          <t>TRÚNG N1 🎯</t>
        </is>
      </c>
      <c r="L226" s="3" t="inlineStr">
        <is>
          <t>01, 08, 12, 17, 30, 33, 42, 48, 49, 51, 53, 57, 61, 62, 75, 80, 83, 85, 92, 93</t>
        </is>
      </c>
      <c r="M226" s="7" t="inlineStr">
        <is>
          <t>TRƯỢT ❌</t>
        </is>
      </c>
      <c r="N226" s="6" t="inlineStr">
        <is>
          <t>TRÚNG N1 🎯</t>
        </is>
      </c>
      <c r="O2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27">
      <c r="A227" s="2" t="n">
        <v>65</v>
      </c>
      <c r="B227" s="2" t="inlineStr">
        <is>
          <t>Thứ tư ngày 11-03-2026</t>
        </is>
      </c>
      <c r="C227" s="3" t="inlineStr">
        <is>
          <t>Thứ Ba</t>
        </is>
      </c>
      <c r="D227" s="3" t="inlineStr">
        <is>
          <t>30368</t>
        </is>
      </c>
      <c r="E227" s="3" t="inlineStr">
        <is>
          <t>68</t>
        </is>
      </c>
      <c r="F227" s="3" t="inlineStr">
        <is>
          <t>G7.3, G7.4</t>
        </is>
      </c>
      <c r="G227" s="3" t="inlineStr">
        <is>
          <t>Tổng 0, Tổng 1, Tổng 4, Tổng 5, Tổng 6, Tổng 9</t>
        </is>
      </c>
      <c r="H227" s="3" t="inlineStr">
        <is>
          <t>0123456789</t>
        </is>
      </c>
      <c r="I227" s="3" t="inlineStr">
        <is>
          <t>Tổng 4-Bóng 9</t>
        </is>
      </c>
      <c r="J227" s="3" t="n">
        <v>60</v>
      </c>
      <c r="K227" s="6" t="inlineStr">
        <is>
          <t>TRÚNG N1 🎯</t>
        </is>
      </c>
      <c r="L227" s="3" t="inlineStr">
        <is>
          <t>01, 13, 19, 22, 33, 36, 37, 42, 51, 55, 59, 68, 77, 78, 81, 83, 86, 90, 91, 92</t>
        </is>
      </c>
      <c r="M227" s="6" t="inlineStr">
        <is>
          <t>TRÚNG HỎA LỰC 🎯</t>
        </is>
      </c>
      <c r="N227" s="6" t="inlineStr">
        <is>
          <t>TRÚNG N1 🎯</t>
        </is>
      </c>
      <c r="O22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8">
      <c r="A228" s="2" t="n">
        <v>64</v>
      </c>
      <c r="B228" s="2" t="inlineStr">
        <is>
          <t>Thứ ba ngày 10-03-2026</t>
        </is>
      </c>
      <c r="C228" s="3" t="inlineStr">
        <is>
          <t>Thứ Hai</t>
        </is>
      </c>
      <c r="D228" s="3" t="inlineStr">
        <is>
          <t>22342</t>
        </is>
      </c>
      <c r="E228" s="3" t="inlineStr">
        <is>
          <t>42</t>
        </is>
      </c>
      <c r="F228" s="3" t="inlineStr">
        <is>
          <t>G7.1, G7.2</t>
        </is>
      </c>
      <c r="G228" s="3" t="inlineStr">
        <is>
          <t>Tổng 0, Tổng 3, Tổng 5, Tổng 8</t>
        </is>
      </c>
      <c r="H228" s="3" t="inlineStr">
        <is>
          <t>01235678</t>
        </is>
      </c>
      <c r="I228" s="3" t="inlineStr">
        <is>
          <t>Tổng 5-Bóng 0</t>
        </is>
      </c>
      <c r="J228" s="3" t="n">
        <v>36</v>
      </c>
      <c r="K228" s="7" t="inlineStr">
        <is>
          <t>TRƯỢT ❌</t>
        </is>
      </c>
      <c r="L228" s="3" t="inlineStr">
        <is>
          <t>05, 08, 12, 14, 17, 19, 21, 23, 26, 28, 30, 37, 53, 55, 62, 71, 78, 80, 85, 91</t>
        </is>
      </c>
      <c r="M228" s="7" t="inlineStr">
        <is>
          <t>TRƯỢT ❌</t>
        </is>
      </c>
      <c r="N228" s="7" t="inlineStr">
        <is>
          <t>TRƯỢT KHUNG ❌</t>
        </is>
      </c>
      <c r="O228" s="3" t="inlineStr">
        <is>
          <t>00, 03, 05, 08, 12, 14, 17, 19, 21, 23, 26, 28, 30, 32, 35, 37, 41, 46, 50, 53, 55, 58, 62, 64, 67, 69, 71, 73, 76, 78, 80, 82, 85, 87, 91, 96</t>
        </is>
      </c>
    </row>
    <row r="229">
      <c r="A229" s="2" t="n">
        <v>63</v>
      </c>
      <c r="B229" s="2" t="inlineStr">
        <is>
          <t>Thứ hai ngày 09-03-2026</t>
        </is>
      </c>
      <c r="C229" s="3" t="inlineStr">
        <is>
          <t>Chủ Nhật</t>
        </is>
      </c>
      <c r="D229" s="3" t="inlineStr">
        <is>
          <t>90580</t>
        </is>
      </c>
      <c r="E229" s="3" t="inlineStr">
        <is>
          <t>80</t>
        </is>
      </c>
      <c r="F229" s="3" t="inlineStr">
        <is>
          <t>G7.3, G7.4</t>
        </is>
      </c>
      <c r="G229" s="3" t="inlineStr">
        <is>
          <t>Tổng 1, Tổng 4, Tổng 6, Tổng 9</t>
        </is>
      </c>
      <c r="H229" s="3" t="inlineStr">
        <is>
          <t>2479</t>
        </is>
      </c>
      <c r="I229" s="3" t="inlineStr">
        <is>
          <t>Tổng 9-Bóng 4</t>
        </is>
      </c>
      <c r="J229" s="3" t="n">
        <v>20</v>
      </c>
      <c r="K229" s="7" t="inlineStr">
        <is>
          <t>TRƯỢT ❌</t>
        </is>
      </c>
      <c r="L229" s="3" t="inlineStr">
        <is>
          <t>04, 09, 22, 24, 27, 29, 40, 42, 45, 47, 54, 59, 72, 74, 77, 79, 90, 92, 95, 97</t>
        </is>
      </c>
      <c r="M229" s="7" t="inlineStr">
        <is>
          <t>TRƯỢT ❌</t>
        </is>
      </c>
      <c r="N229" s="6" t="inlineStr">
        <is>
          <t>TRÚNG N2 🎯</t>
        </is>
      </c>
      <c r="O229" s="3" t="inlineStr">
        <is>
          <t>04, 09, 22, 24, 27, 29, 40, 42, 45, 47, 54, 59, 72, 74, 77, 79, 90, 92, 95, 97</t>
        </is>
      </c>
    </row>
    <row r="230">
      <c r="A230" s="2" t="n">
        <v>62</v>
      </c>
      <c r="B230" s="2" t="inlineStr">
        <is>
          <t>Chủ nhật ngày 08-03-2026</t>
        </is>
      </c>
      <c r="C230" s="3" t="inlineStr">
        <is>
          <t>Thứ Bảy</t>
        </is>
      </c>
      <c r="D230" s="3" t="inlineStr">
        <is>
          <t>81336</t>
        </is>
      </c>
      <c r="E230" s="3" t="inlineStr">
        <is>
          <t>36</t>
        </is>
      </c>
      <c r="F230" s="3" t="inlineStr">
        <is>
          <t>G7.1, G7.2</t>
        </is>
      </c>
      <c r="G230" s="3" t="inlineStr">
        <is>
          <t>Tổng 2, Tổng 3, Tổng 7, Tổng 8</t>
        </is>
      </c>
      <c r="H230" s="3" t="inlineStr">
        <is>
          <t>12346789</t>
        </is>
      </c>
      <c r="I230" s="3" t="inlineStr">
        <is>
          <t>Tổng 7-Bóng 2</t>
        </is>
      </c>
      <c r="J230" s="3" t="n">
        <v>40</v>
      </c>
      <c r="K230" s="7" t="inlineStr">
        <is>
          <t>TRƯỢT ❌</t>
        </is>
      </c>
      <c r="L230" s="3" t="inlineStr">
        <is>
          <t>07, 08, 12, 16, 17, 21, 26, 30, 48, 49, 53, 57, 61, 62, 75, 80, 85, 89, 93, 94</t>
        </is>
      </c>
      <c r="M230" s="7" t="inlineStr">
        <is>
          <t>TRƯỢT ❌</t>
        </is>
      </c>
      <c r="N230" s="6" t="inlineStr">
        <is>
          <t>TRÚNG N2 🎯</t>
        </is>
      </c>
      <c r="O230" s="3" t="inlineStr">
        <is>
          <t>02, 03, 07, 08, 11, 12, 16, 17, 20, 21, 25, 26, 30, 34, 35, 39, 43, 44, 48, 49, 52, 53, 57, 58, 61, 62, 66, 67, 70, 71, 75, 76, 80, 84, 85, 89, 93, 94, 98, 99</t>
        </is>
      </c>
    </row>
    <row r="231">
      <c r="A231" s="2" t="n">
        <v>61</v>
      </c>
      <c r="B231" s="2" t="inlineStr">
        <is>
          <t>Thứ bảy ngày 07-03-2026</t>
        </is>
      </c>
      <c r="C231" s="3" t="inlineStr">
        <is>
          <t>Thứ Sáu</t>
        </is>
      </c>
      <c r="D231" s="3" t="inlineStr">
        <is>
          <t>51951</t>
        </is>
      </c>
      <c r="E231" s="3" t="inlineStr">
        <is>
          <t>51</t>
        </is>
      </c>
      <c r="F231" s="3" t="inlineStr">
        <is>
          <t>G7.2, G7.3</t>
        </is>
      </c>
      <c r="G231" s="3" t="inlineStr">
        <is>
          <t>Tổng 2, Tổng 3, Tổng 7, Tổng 8</t>
        </is>
      </c>
      <c r="H231" s="3" t="inlineStr">
        <is>
          <t>0123456789</t>
        </is>
      </c>
      <c r="I231" s="3" t="inlineStr">
        <is>
          <t>Tổng 2-Bóng 7</t>
        </is>
      </c>
      <c r="J231" s="3" t="n">
        <v>40</v>
      </c>
      <c r="K231" s="7" t="inlineStr">
        <is>
          <t>TRƯỢT ❌</t>
        </is>
      </c>
      <c r="L231" s="3" t="inlineStr">
        <is>
          <t>07, 08, 12, 16, 17, 21, 26, 30, 48, 49, 53, 57, 61, 62, 75, 80, 85, 89, 93, 94</t>
        </is>
      </c>
      <c r="M231" s="7" t="inlineStr">
        <is>
          <t>TRƯỢT ❌</t>
        </is>
      </c>
      <c r="N231" s="6" t="inlineStr">
        <is>
          <t>TRÚNG N3 🎯</t>
        </is>
      </c>
      <c r="O231" s="3" t="inlineStr">
        <is>
          <t>02, 03, 07, 08, 11, 12, 16, 17, 20, 21, 25, 26, 30, 34, 35, 39, 43, 44, 48, 49, 52, 53, 57, 58, 61, 62, 66, 67, 70, 71, 75, 76, 80, 84, 85, 89, 93, 94, 98, 99</t>
        </is>
      </c>
    </row>
    <row r="232">
      <c r="A232" s="2" t="n">
        <v>60</v>
      </c>
      <c r="B232" s="2" t="inlineStr">
        <is>
          <t>Thứ sáu ngày 06-03-2026</t>
        </is>
      </c>
      <c r="C232" s="3" t="inlineStr">
        <is>
          <t>Thứ Năm</t>
        </is>
      </c>
      <c r="D232" s="3" t="inlineStr">
        <is>
          <t>38249</t>
        </is>
      </c>
      <c r="E232" s="3" t="inlineStr">
        <is>
          <t>49</t>
        </is>
      </c>
      <c r="F232" s="3" t="inlineStr">
        <is>
          <t>G7.4, G7.1</t>
        </is>
      </c>
      <c r="G232" s="3" t="inlineStr">
        <is>
          <t>Tổng 0, Tổng 2, Tổng 3, Tổng 5, Tổng 7, Tổng 8</t>
        </is>
      </c>
      <c r="H232" s="3" t="inlineStr">
        <is>
          <t>014569</t>
        </is>
      </c>
      <c r="I232" s="3" t="inlineStr">
        <is>
          <t>Tổng 0-Bóng 5</t>
        </is>
      </c>
      <c r="J232" s="3" t="n">
        <v>52</v>
      </c>
      <c r="K232" s="6" t="inlineStr">
        <is>
          <t>TRÚNG N1 🎯</t>
        </is>
      </c>
      <c r="L232" s="3" t="inlineStr">
        <is>
          <t>05, 08, 12, 14, 17, 19, 30, 48, 49, 53, 55, 57, 61, 62, 75, 80, 85, 89, 91, 93</t>
        </is>
      </c>
      <c r="M232" s="6" t="inlineStr">
        <is>
          <t>TRÚNG HỎA LỰC 🎯</t>
        </is>
      </c>
      <c r="N232" s="6" t="inlineStr">
        <is>
          <t>TRÚNG N1 🎯</t>
        </is>
      </c>
      <c r="O232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233">
      <c r="A233" s="2" t="n">
        <v>59</v>
      </c>
      <c r="B233" s="2" t="inlineStr">
        <is>
          <t>Thứ năm ngày 05-03-2026</t>
        </is>
      </c>
      <c r="C233" s="3" t="inlineStr">
        <is>
          <t>Thứ Tư</t>
        </is>
      </c>
      <c r="D233" s="3" t="inlineStr">
        <is>
          <t>16659</t>
        </is>
      </c>
      <c r="E233" s="3" t="inlineStr">
        <is>
          <t>59</t>
        </is>
      </c>
      <c r="F233" s="3" t="inlineStr">
        <is>
          <t>G7.1, G7.2</t>
        </is>
      </c>
      <c r="G233" s="3" t="inlineStr">
        <is>
          <t>Tổng 0, Tổng 3, Tổng 5, Tổng 8</t>
        </is>
      </c>
      <c r="H233" s="3" t="inlineStr">
        <is>
          <t>0123456789</t>
        </is>
      </c>
      <c r="I233" s="3" t="inlineStr">
        <is>
          <t>Tổng 5-Bóng 0</t>
        </is>
      </c>
      <c r="J233" s="3" t="n">
        <v>40</v>
      </c>
      <c r="K233" s="7" t="inlineStr">
        <is>
          <t>TRƯỢT ❌</t>
        </is>
      </c>
      <c r="L233" s="3" t="inlineStr">
        <is>
          <t>05, 08, 12, 14, 17, 19, 21, 23, 28, 30, 37, 49, 53, 55, 62, 78, 80, 85, 91, 94</t>
        </is>
      </c>
      <c r="M233" s="7" t="inlineStr">
        <is>
          <t>TRƯỢT ❌</t>
        </is>
      </c>
      <c r="N233" s="6" t="inlineStr">
        <is>
          <t>TRÚNG N2 🎯</t>
        </is>
      </c>
      <c r="O233" s="3" t="inlineStr">
        <is>
          <t>00, 03, 05, 08, 12, 14, 17, 19, 21, 23, 26, 28, 30, 32, 35, 37, 41, 44, 46, 49, 50, 53, 55, 58, 62, 64, 67, 69, 71, 73, 76, 78, 80, 82, 85, 87, 91, 94, 96, 99</t>
        </is>
      </c>
    </row>
    <row r="234">
      <c r="A234" s="2" t="n">
        <v>58</v>
      </c>
      <c r="B234" s="2" t="inlineStr">
        <is>
          <t>Thứ tư ngày 04-03-2026</t>
        </is>
      </c>
      <c r="C234" s="3" t="inlineStr">
        <is>
          <t>Thứ Ba</t>
        </is>
      </c>
      <c r="D234" s="3" t="inlineStr">
        <is>
          <t>10619</t>
        </is>
      </c>
      <c r="E234" s="3" t="inlineStr">
        <is>
          <t>19</t>
        </is>
      </c>
      <c r="F234" s="3" t="inlineStr">
        <is>
          <t>G7.3, G7.1</t>
        </is>
      </c>
      <c r="G234" s="3" t="inlineStr">
        <is>
          <t>Tổng 1, Tổng 3, Tổng 4, Tổng 6, Tổng 8, Tổng 9</t>
        </is>
      </c>
      <c r="H234" s="3" t="inlineStr">
        <is>
          <t>12346789</t>
        </is>
      </c>
      <c r="I234" s="3" t="inlineStr">
        <is>
          <t>Tổng 1-Bóng 6</t>
        </is>
      </c>
      <c r="J234" s="3" t="n">
        <v>60</v>
      </c>
      <c r="K234" s="7" t="inlineStr">
        <is>
          <t>TRƯỢT ❌</t>
        </is>
      </c>
      <c r="L234" s="3" t="inlineStr">
        <is>
          <t>01, 08, 12, 13, 17, 22, 30, 33, 45, 53, 54, 62, 68, 77, 81, 83, 85, 86, 90, 92</t>
        </is>
      </c>
      <c r="M234" s="7" t="inlineStr">
        <is>
          <t>TRƯỢT ❌</t>
        </is>
      </c>
      <c r="N234" s="6" t="inlineStr">
        <is>
          <t>TRÚNG N2 🎯</t>
        </is>
      </c>
      <c r="O23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35">
      <c r="A235" s="2" t="n">
        <v>57</v>
      </c>
      <c r="B235" s="2" t="inlineStr">
        <is>
          <t>Thứ ba ngày 03-03-2026</t>
        </is>
      </c>
      <c r="C235" s="3" t="inlineStr">
        <is>
          <t>Thứ Hai</t>
        </is>
      </c>
      <c r="D235" s="3" t="inlineStr">
        <is>
          <t>70078</t>
        </is>
      </c>
      <c r="E235" s="3" t="inlineStr">
        <is>
          <t>78</t>
        </is>
      </c>
      <c r="F235" s="3" t="inlineStr">
        <is>
          <t>G7.1, G7.2</t>
        </is>
      </c>
      <c r="G235" s="3" t="inlineStr">
        <is>
          <t>Tổng 2, Tổng 4, Tổng 7, Tổng 9</t>
        </is>
      </c>
      <c r="H235" s="3" t="inlineStr">
        <is>
          <t>01345689</t>
        </is>
      </c>
      <c r="I235" s="3" t="inlineStr">
        <is>
          <t>Tổng 4-Bóng 9</t>
        </is>
      </c>
      <c r="J235" s="3" t="n">
        <v>36</v>
      </c>
      <c r="K235" s="7" t="inlineStr">
        <is>
          <t>TRƯỢT ❌</t>
        </is>
      </c>
      <c r="L235" s="3" t="inlineStr">
        <is>
          <t>04, 07, 13, 16, 18, 36, 40, 45, 48, 54, 57, 61, 63, 68, 75, 81, 86, 89, 90, 93</t>
        </is>
      </c>
      <c r="M235" s="7" t="inlineStr">
        <is>
          <t>TRƯỢT ❌</t>
        </is>
      </c>
      <c r="N235" s="6" t="inlineStr">
        <is>
          <t>TRÚNG N3 🎯</t>
        </is>
      </c>
      <c r="O235" s="3" t="inlineStr">
        <is>
          <t>02, 04, 07, 09, 11, 13, 16, 18, 20, 25, 31, 34, 36, 39, 40, 43, 45, 48, 52, 54, 57, 59, 61, 63, 66, 68, 70, 75, 81, 84, 86, 89, 90, 93, 95, 98</t>
        </is>
      </c>
    </row>
    <row r="236">
      <c r="A236" s="2" t="n">
        <v>56</v>
      </c>
      <c r="B236" s="2" t="inlineStr">
        <is>
          <t>Thứ hai ngày 02-03-2026</t>
        </is>
      </c>
      <c r="C236" s="3" t="inlineStr">
        <is>
          <t>Chủ Nhật</t>
        </is>
      </c>
      <c r="D236" s="3" t="inlineStr">
        <is>
          <t>75257</t>
        </is>
      </c>
      <c r="E236" s="3" t="inlineStr">
        <is>
          <t>57</t>
        </is>
      </c>
      <c r="F236" s="3" t="inlineStr">
        <is>
          <t>G7.3, G7.1</t>
        </is>
      </c>
      <c r="G236" s="3" t="inlineStr">
        <is>
          <t>Tổng 1, Tổng 6</t>
        </is>
      </c>
      <c r="H236" s="3" t="inlineStr">
        <is>
          <t>0123456789</t>
        </is>
      </c>
      <c r="I236" s="3" t="inlineStr">
        <is>
          <t>Tổng 6-Bóng 1</t>
        </is>
      </c>
      <c r="J236" s="3" t="n">
        <v>20</v>
      </c>
      <c r="K236" s="7" t="inlineStr">
        <is>
          <t>TRƯỢT ❌</t>
        </is>
      </c>
      <c r="L236" s="3" t="inlineStr">
        <is>
          <t>01, 06, 10, 15, 24, 29, 33, 38, 42, 47, 51, 56, 60, 65, 74, 79, 83, 88, 92, 97</t>
        </is>
      </c>
      <c r="M236" s="7" t="inlineStr">
        <is>
          <t>TRƯỢT ❌</t>
        </is>
      </c>
      <c r="N236" s="7" t="inlineStr">
        <is>
          <t>TRƯỢT KHUNG ❌</t>
        </is>
      </c>
      <c r="O236" s="3" t="inlineStr">
        <is>
          <t>01, 06, 10, 15, 24, 29, 33, 38, 42, 47, 51, 56, 60, 65, 74, 79, 83, 88, 92, 97</t>
        </is>
      </c>
    </row>
    <row r="237">
      <c r="A237" s="2" t="n">
        <v>55</v>
      </c>
      <c r="B237" s="2" t="inlineStr">
        <is>
          <t>Chủ nhật ngày 01-03-2026</t>
        </is>
      </c>
      <c r="C237" s="3" t="inlineStr">
        <is>
          <t>Thứ Bảy</t>
        </is>
      </c>
      <c r="D237" s="3" t="inlineStr">
        <is>
          <t>90148</t>
        </is>
      </c>
      <c r="E237" s="3" t="inlineStr">
        <is>
          <t>48</t>
        </is>
      </c>
      <c r="F237" s="3" t="inlineStr">
        <is>
          <t>G7.1, G7.2</t>
        </is>
      </c>
      <c r="G237" s="3" t="inlineStr">
        <is>
          <t>Tổng 0, Tổng 1, Tổng 5, Tổng 6</t>
        </is>
      </c>
      <c r="H237" s="3" t="inlineStr">
        <is>
          <t>0123456789</t>
        </is>
      </c>
      <c r="I237" s="3" t="inlineStr">
        <is>
          <t>Tổng 5-Bóng 0</t>
        </is>
      </c>
      <c r="J237" s="3" t="n">
        <v>40</v>
      </c>
      <c r="K237" s="7" t="inlineStr">
        <is>
          <t>TRƯỢT ❌</t>
        </is>
      </c>
      <c r="L237" s="3" t="inlineStr">
        <is>
          <t>01, 05, 14, 23, 24, 28, 33, 37, 38, 42, 47, 51, 55, 60, 74, 78, 83, 91, 92, 97</t>
        </is>
      </c>
      <c r="M237" s="7" t="inlineStr">
        <is>
          <t>TRƯỢT ❌</t>
        </is>
      </c>
      <c r="N237" s="6" t="inlineStr">
        <is>
          <t>TRÚNG N3 🎯</t>
        </is>
      </c>
      <c r="O237" s="3" t="inlineStr">
        <is>
          <t>00, 01, 05, 06, 10, 14, 15, 19, 23, 24, 28, 29, 32, 33, 37, 38, 41, 42, 46, 47, 50, 51, 55, 56, 60, 64, 65, 69, 73, 74, 78, 79, 82, 83, 87, 88, 91, 92, 96, 97</t>
        </is>
      </c>
    </row>
    <row r="238">
      <c r="A238" s="2" t="n">
        <v>54</v>
      </c>
      <c r="B238" s="2" t="inlineStr">
        <is>
          <t>Thứ bảy ngày 28-02-2026</t>
        </is>
      </c>
      <c r="C238" s="3" t="inlineStr">
        <is>
          <t>Thứ Sáu</t>
        </is>
      </c>
      <c r="D238" s="3" t="inlineStr">
        <is>
          <t>47891</t>
        </is>
      </c>
      <c r="E238" s="3" t="inlineStr">
        <is>
          <t>91</t>
        </is>
      </c>
      <c r="F238" s="3" t="inlineStr">
        <is>
          <t>G7.2, G7.3</t>
        </is>
      </c>
      <c r="G238" s="3" t="inlineStr">
        <is>
          <t>Tổng 1, Tổng 2, Tổng 3, Tổng 6, Tổng 7, Tổng 8</t>
        </is>
      </c>
      <c r="H238" s="3" t="inlineStr">
        <is>
          <t>0123456789</t>
        </is>
      </c>
      <c r="I238" s="3" t="inlineStr">
        <is>
          <t>Tổng 8-Bóng 3</t>
        </is>
      </c>
      <c r="J238" s="3" t="n">
        <v>60</v>
      </c>
      <c r="K238" s="7" t="inlineStr">
        <is>
          <t>TRƯỢT ❌</t>
        </is>
      </c>
      <c r="L238" s="3" t="inlineStr">
        <is>
          <t>01, 08, 12, 17, 21, 30, 33, 48, 51, 53, 61, 62, 74, 75, 80, 83, 85, 92, 93, 97</t>
        </is>
      </c>
      <c r="M238" s="7" t="inlineStr">
        <is>
          <t>TRƯỢT ❌</t>
        </is>
      </c>
      <c r="N238" s="6" t="inlineStr">
        <is>
          <t>TRÚNG N2 🎯</t>
        </is>
      </c>
      <c r="O2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39">
      <c r="A239" s="2" t="n">
        <v>53</v>
      </c>
      <c r="B239" s="2" t="inlineStr">
        <is>
          <t>Thứ sáu ngày 27-02-2026</t>
        </is>
      </c>
      <c r="C239" s="3" t="inlineStr">
        <is>
          <t>Thứ Năm</t>
        </is>
      </c>
      <c r="D239" s="3" t="inlineStr">
        <is>
          <t>13283</t>
        </is>
      </c>
      <c r="E239" s="3" t="inlineStr">
        <is>
          <t>83</t>
        </is>
      </c>
      <c r="F239" s="3" t="inlineStr">
        <is>
          <t>G7.4, G7.1</t>
        </is>
      </c>
      <c r="G239" s="3" t="inlineStr">
        <is>
          <t>Tổng 0, Tổng 3, Tổng 4, Tổng 5, Tổng 8, Tổng 9</t>
        </is>
      </c>
      <c r="H239" s="3" t="inlineStr">
        <is>
          <t>014569</t>
        </is>
      </c>
      <c r="I239" s="3" t="inlineStr">
        <is>
          <t>Tổng 4-Bóng 9</t>
        </is>
      </c>
      <c r="J239" s="3" t="n">
        <v>48</v>
      </c>
      <c r="K239" s="7" t="inlineStr">
        <is>
          <t>TRƯỢT ❌</t>
        </is>
      </c>
      <c r="L239" s="3" t="inlineStr">
        <is>
          <t>08, 12, 13, 14, 17, 21, 30, 45, 49, 53, 54, 55, 62, 63, 68, 80, 81, 85, 86, 90</t>
        </is>
      </c>
      <c r="M239" s="7" t="inlineStr">
        <is>
          <t>TRƯỢT ❌</t>
        </is>
      </c>
      <c r="N239" s="6" t="inlineStr">
        <is>
          <t>TRÚNG N2 🎯</t>
        </is>
      </c>
      <c r="O239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240">
      <c r="A240" s="2" t="n">
        <v>52</v>
      </c>
      <c r="B240" s="2" t="inlineStr">
        <is>
          <t>Thứ năm ngày 26-02-2026</t>
        </is>
      </c>
      <c r="C240" s="3" t="inlineStr">
        <is>
          <t>Thứ Tư</t>
        </is>
      </c>
      <c r="D240" s="3" t="inlineStr">
        <is>
          <t>86408</t>
        </is>
      </c>
      <c r="E240" s="3" t="inlineStr">
        <is>
          <t>08</t>
        </is>
      </c>
      <c r="F240" s="3" t="inlineStr">
        <is>
          <t>G7.1, G7.2</t>
        </is>
      </c>
      <c r="G240" s="3" t="inlineStr">
        <is>
          <t>Tổng 0, Tổng 2, Tổng 3, Tổng 5, Tổng 7, Tổng 8</t>
        </is>
      </c>
      <c r="H240" s="3" t="inlineStr">
        <is>
          <t>0123456789</t>
        </is>
      </c>
      <c r="I240" s="3" t="inlineStr">
        <is>
          <t>Tổng 5-Bóng 0</t>
        </is>
      </c>
      <c r="J240" s="3" t="n">
        <v>60</v>
      </c>
      <c r="K240" s="6" t="inlineStr">
        <is>
          <t>TRÚNG N1 🎯</t>
        </is>
      </c>
      <c r="L240" s="3" t="inlineStr">
        <is>
          <t>05, 12, 14, 17, 21, 28, 30, 37, 48, 49, 53, 55, 61, 62, 75, 78, 80, 85, 89, 93</t>
        </is>
      </c>
      <c r="M240" s="7" t="inlineStr">
        <is>
          <t>TRƯỢT ❌</t>
        </is>
      </c>
      <c r="N240" s="6" t="inlineStr">
        <is>
          <t>TRÚNG N1 🎯</t>
        </is>
      </c>
      <c r="O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41">
      <c r="A241" s="2" t="n">
        <v>51</v>
      </c>
      <c r="B241" s="2" t="inlineStr">
        <is>
          <t>Thứ tư ngày 25-02-2026</t>
        </is>
      </c>
      <c r="C241" s="3" t="inlineStr">
        <is>
          <t>Thứ Ba</t>
        </is>
      </c>
      <c r="D241" s="3" t="inlineStr">
        <is>
          <t>48153</t>
        </is>
      </c>
      <c r="E241" s="3" t="inlineStr">
        <is>
          <t>53</t>
        </is>
      </c>
      <c r="F241" s="3" t="inlineStr">
        <is>
          <t>G7.1, G7.2</t>
        </is>
      </c>
      <c r="G241" s="3" t="inlineStr">
        <is>
          <t>Tổng 1, Tổng 4, Tổng 6, Tổng 9</t>
        </is>
      </c>
      <c r="H241" s="3" t="inlineStr">
        <is>
          <t>0123456789</t>
        </is>
      </c>
      <c r="I241" s="3" t="inlineStr">
        <is>
          <t>Tổng 1-Bóng 6</t>
        </is>
      </c>
      <c r="J241" s="3" t="n">
        <v>40</v>
      </c>
      <c r="K241" s="7" t="inlineStr">
        <is>
          <t>TRƯỢT ❌</t>
        </is>
      </c>
      <c r="L241" s="3" t="inlineStr">
        <is>
          <t>01, 13, 22, 24, 27, 33, 38, 45, 47, 51, 54, 63, 68, 74, 77, 81, 86, 90, 92, 97</t>
        </is>
      </c>
      <c r="M241" s="7" t="inlineStr">
        <is>
          <t>TRƯỢT ❌</t>
        </is>
      </c>
      <c r="N241" s="6" t="inlineStr">
        <is>
          <t>TRÚNG N3 🎯</t>
        </is>
      </c>
      <c r="O241" s="3" t="inlineStr">
        <is>
          <t>01, 04, 06, 09, 10, 13, 15, 18, 22, 24, 27, 29, 31, 33, 36, 38, 40, 42, 45, 47, 51, 54, 56, 59, 60, 63, 65, 68, 72, 74, 77, 79, 81, 83, 86, 88, 90, 92, 95, 97</t>
        </is>
      </c>
    </row>
    <row r="242">
      <c r="A242" s="2" t="n">
        <v>50</v>
      </c>
      <c r="B242" s="2" t="inlineStr">
        <is>
          <t>Thứ ba ngày 24-02-2026</t>
        </is>
      </c>
      <c r="C242" s="3" t="inlineStr">
        <is>
          <t>Thứ Hai</t>
        </is>
      </c>
      <c r="D242" s="3" t="inlineStr">
        <is>
          <t>65037</t>
        </is>
      </c>
      <c r="E242" s="3" t="inlineStr">
        <is>
          <t>37</t>
        </is>
      </c>
      <c r="F242" s="3" t="inlineStr">
        <is>
          <t>G7.1, G7.3</t>
        </is>
      </c>
      <c r="G242" s="3" t="inlineStr">
        <is>
          <t>Tổng 0, Tổng 1, Tổng 4, Tổng 5, Tổng 6, Tổng 9</t>
        </is>
      </c>
      <c r="H242" s="3" t="inlineStr">
        <is>
          <t>02345789</t>
        </is>
      </c>
      <c r="I242" s="3" t="inlineStr">
        <is>
          <t>Tổng 1-Bóng 6</t>
        </is>
      </c>
      <c r="J242" s="3" t="n">
        <v>60</v>
      </c>
      <c r="K242" s="6" t="inlineStr">
        <is>
          <t>TRÚNG N1 🎯</t>
        </is>
      </c>
      <c r="L242" s="3" t="inlineStr">
        <is>
          <t>01, 13, 14, 22, 27, 28, 33, 45, 51, 54, 55, 63, 68, 74, 77, 81, 86, 90, 92, 97</t>
        </is>
      </c>
      <c r="M242" s="7" t="inlineStr">
        <is>
          <t>TRƯỢT ❌</t>
        </is>
      </c>
      <c r="N242" s="6" t="inlineStr">
        <is>
          <t>TRÚNG N1 🎯</t>
        </is>
      </c>
      <c r="O24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43">
      <c r="A243" s="2" t="n">
        <v>49</v>
      </c>
      <c r="B243" s="2" t="inlineStr">
        <is>
          <t>Thứ hai ngày 23-02-2026</t>
        </is>
      </c>
      <c r="C243" s="3" t="inlineStr">
        <is>
          <t>Chủ Nhật</t>
        </is>
      </c>
      <c r="D243" s="3" t="inlineStr">
        <is>
          <t>67655</t>
        </is>
      </c>
      <c r="E243" s="3" t="inlineStr">
        <is>
          <t>55</t>
        </is>
      </c>
      <c r="F243" s="3" t="inlineStr">
        <is>
          <t>G7.3, G7.1</t>
        </is>
      </c>
      <c r="G243" s="3" t="inlineStr">
        <is>
          <t>Tổng 1, Tổng 3, Tổng 4, Tổng 6, Tổng 8, Tổng 9</t>
        </is>
      </c>
      <c r="H243" s="3" t="inlineStr">
        <is>
          <t>034589</t>
        </is>
      </c>
      <c r="I243" s="3" t="inlineStr">
        <is>
          <t>Tổng 6-Bóng 1</t>
        </is>
      </c>
      <c r="J243" s="3" t="n">
        <v>48</v>
      </c>
      <c r="K243" s="7" t="inlineStr">
        <is>
          <t>TRƯỢT ❌</t>
        </is>
      </c>
      <c r="L243" s="3" t="inlineStr">
        <is>
          <t>01, 13, 24, 30, 33, 45, 47, 49, 51, 54, 63, 68, 74, 80, 81, 85, 86, 90, 92, 97</t>
        </is>
      </c>
      <c r="M243" s="7" t="inlineStr">
        <is>
          <t>TRƯỢT ❌</t>
        </is>
      </c>
      <c r="N243" s="6" t="inlineStr">
        <is>
          <t>TRÚNG N3 🎯</t>
        </is>
      </c>
      <c r="O243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244">
      <c r="A244" s="2" t="n">
        <v>48</v>
      </c>
      <c r="B244" s="2" t="inlineStr">
        <is>
          <t>Chủ nhật ngày 22-02-2026</t>
        </is>
      </c>
      <c r="C244" s="3" t="inlineStr">
        <is>
          <t>Thứ Bảy</t>
        </is>
      </c>
      <c r="D244" s="3" t="inlineStr">
        <is>
          <t>64512</t>
        </is>
      </c>
      <c r="E244" s="3" t="inlineStr">
        <is>
          <t>12</t>
        </is>
      </c>
      <c r="F244" s="3" t="inlineStr">
        <is>
          <t>G7.1, G7.2</t>
        </is>
      </c>
      <c r="G244" s="3" t="inlineStr">
        <is>
          <t>Tổng 0, Tổng 3, Tổng 5, Tổng 8</t>
        </is>
      </c>
      <c r="H244" s="3" t="inlineStr">
        <is>
          <t>014569</t>
        </is>
      </c>
      <c r="I244" s="3" t="inlineStr">
        <is>
          <t>Tổng 8-Bóng 3</t>
        </is>
      </c>
      <c r="J244" s="3" t="n">
        <v>32</v>
      </c>
      <c r="K244" s="6" t="inlineStr">
        <is>
          <t>TRÚNG N1 🎯</t>
        </is>
      </c>
      <c r="L244" s="3" t="inlineStr">
        <is>
          <t>03, 05, 08, 14, 17, 21, 26, 30, 46, 49, 50, 62, 64, 67, 71, 80, 85, 94, 96, 99</t>
        </is>
      </c>
      <c r="M244" s="7" t="inlineStr">
        <is>
          <t>TRƯỢT ❌</t>
        </is>
      </c>
      <c r="N244" s="6" t="inlineStr">
        <is>
          <t>TRÚNG N1 🎯</t>
        </is>
      </c>
      <c r="O244" s="3" t="inlineStr">
        <is>
          <t>00, 03, 05, 08, 12, 14, 17, 19, 21, 26, 30, 35, 41, 44, 46, 49, 50, 53, 55, 58, 62, 64, 67, 69, 71, 76, 80, 85, 91, 94, 96, 99</t>
        </is>
      </c>
    </row>
    <row r="245">
      <c r="A245" s="2" t="n">
        <v>47</v>
      </c>
      <c r="B245" s="2" t="inlineStr">
        <is>
          <t>Thứ bảy ngày 21-02-2026</t>
        </is>
      </c>
      <c r="C245" s="3" t="inlineStr">
        <is>
          <t>Thứ Sáu</t>
        </is>
      </c>
      <c r="D245" s="3" t="inlineStr">
        <is>
          <t>44413</t>
        </is>
      </c>
      <c r="E245" s="3" t="inlineStr">
        <is>
          <t>13</t>
        </is>
      </c>
      <c r="F245" s="3" t="inlineStr">
        <is>
          <t>G7.2, G7.3</t>
        </is>
      </c>
      <c r="G245" s="3" t="inlineStr">
        <is>
          <t>Tổng 1, Tổng 3, Tổng 4, Tổng 6, Tổng 8, Tổng 9</t>
        </is>
      </c>
      <c r="H245" s="3" t="inlineStr">
        <is>
          <t>0123456789</t>
        </is>
      </c>
      <c r="I245" s="3" t="inlineStr">
        <is>
          <t>Tổng 8-Bóng 3</t>
        </is>
      </c>
      <c r="J245" s="3" t="n">
        <v>60</v>
      </c>
      <c r="K245" s="6" t="inlineStr">
        <is>
          <t>TRÚNG N1 🎯</t>
        </is>
      </c>
      <c r="L245" s="3" t="inlineStr">
        <is>
          <t>01, 17, 21, 22, 30, 33, 45, 51, 54, 62, 63, 68, 74, 77, 80, 81, 85, 86, 90, 92</t>
        </is>
      </c>
      <c r="M245" s="7" t="inlineStr">
        <is>
          <t>TRƯỢT ❌</t>
        </is>
      </c>
      <c r="N245" s="6" t="inlineStr">
        <is>
          <t>TRÚNG N1 🎯</t>
        </is>
      </c>
      <c r="O24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46">
      <c r="A246" s="2" t="n">
        <v>46</v>
      </c>
      <c r="B246" s="2" t="inlineStr">
        <is>
          <t>Thứ sáu ngày 20-02-2026</t>
        </is>
      </c>
      <c r="C246" s="3" t="inlineStr">
        <is>
          <t>Chủ Nhật</t>
        </is>
      </c>
      <c r="D246" s="3" t="inlineStr">
        <is>
          <t>36481</t>
        </is>
      </c>
      <c r="E246" s="3" t="inlineStr">
        <is>
          <t>81</t>
        </is>
      </c>
      <c r="F246" s="3" t="inlineStr">
        <is>
          <t>G7.3, G7.1</t>
        </is>
      </c>
      <c r="G246" s="3" t="inlineStr">
        <is>
          <t>Tổng 1, Tổng 2, Tổng 6, Tổng 7</t>
        </is>
      </c>
      <c r="H246" s="3" t="inlineStr">
        <is>
          <t>02345789</t>
        </is>
      </c>
      <c r="I246" s="3" t="inlineStr">
        <is>
          <t>Tổng 2-Bóng 7</t>
        </is>
      </c>
      <c r="J246" s="3" t="n">
        <v>36</v>
      </c>
      <c r="K246" s="7" t="inlineStr">
        <is>
          <t>TRƯỢT ❌</t>
        </is>
      </c>
      <c r="L246" s="3" t="inlineStr">
        <is>
          <t>01, 07, 15, 24, 33, 38, 39, 42, 47, 48, 51, 52, 60, 74, 75, 88, 89, 92, 93, 97</t>
        </is>
      </c>
      <c r="M246" s="7" t="inlineStr">
        <is>
          <t>TRƯỢT ❌</t>
        </is>
      </c>
      <c r="N246" s="7" t="inlineStr">
        <is>
          <t>TRƯỢT KHUNG ❌</t>
        </is>
      </c>
      <c r="O246" s="3" t="inlineStr">
        <is>
          <t>01, 02, 06, 07, 10, 15, 20, 24, 25, 29, 33, 34, 38, 39, 42, 43, 47, 48, 51, 52, 56, 57, 60, 65, 70, 74, 75, 79, 83, 84, 88, 89, 92, 93, 97, 98</t>
        </is>
      </c>
    </row>
    <row r="247">
      <c r="A247" s="2" t="n">
        <v>45</v>
      </c>
      <c r="B247" s="2" t="inlineStr">
        <is>
          <t>Chủ nhật ngày 15-02-2026</t>
        </is>
      </c>
      <c r="C247" s="3" t="inlineStr">
        <is>
          <t>Thứ Bảy</t>
        </is>
      </c>
      <c r="D247" s="3" t="inlineStr">
        <is>
          <t>22601</t>
        </is>
      </c>
      <c r="E247" s="3" t="inlineStr">
        <is>
          <t>01</t>
        </is>
      </c>
      <c r="F247" s="3" t="inlineStr">
        <is>
          <t>G7.1, G7.2</t>
        </is>
      </c>
      <c r="G247" s="3" t="inlineStr">
        <is>
          <t>Tổng 2, Tổng 4, Tổng 7, Tổng 9</t>
        </is>
      </c>
      <c r="H247" s="3" t="inlineStr">
        <is>
          <t>01345689</t>
        </is>
      </c>
      <c r="I247" s="3" t="inlineStr">
        <is>
          <t>Tổng 7-Bóng 2</t>
        </is>
      </c>
      <c r="J247" s="3" t="n">
        <v>36</v>
      </c>
      <c r="K247" s="7" t="inlineStr">
        <is>
          <t>TRƯỢT ❌</t>
        </is>
      </c>
      <c r="L247" s="3" t="inlineStr">
        <is>
          <t>04, 07, 13, 16, 18, 36, 39, 40, 45, 48, 52, 54, 61, 63, 68, 75, 86, 89, 90, 93</t>
        </is>
      </c>
      <c r="M247" s="7" t="inlineStr">
        <is>
          <t>TRƯỢT ❌</t>
        </is>
      </c>
      <c r="N247" s="6" t="inlineStr">
        <is>
          <t>TRÚNG N2 🎯</t>
        </is>
      </c>
      <c r="O247" s="3" t="inlineStr">
        <is>
          <t>02, 04, 07, 09, 11, 13, 16, 18, 20, 25, 31, 34, 36, 39, 40, 43, 45, 48, 52, 54, 57, 59, 61, 63, 66, 68, 70, 75, 81, 84, 86, 89, 90, 93, 95, 98</t>
        </is>
      </c>
    </row>
    <row r="248">
      <c r="A248" s="2" t="n">
        <v>44</v>
      </c>
      <c r="B248" s="2" t="inlineStr">
        <is>
          <t>Thứ bảy ngày 14-02-2026</t>
        </is>
      </c>
      <c r="C248" s="3" t="inlineStr">
        <is>
          <t>Thứ Sáu</t>
        </is>
      </c>
      <c r="D248" s="3" t="inlineStr">
        <is>
          <t>90630</t>
        </is>
      </c>
      <c r="E248" s="3" t="inlineStr">
        <is>
          <t>30</t>
        </is>
      </c>
      <c r="F248" s="3" t="inlineStr">
        <is>
          <t>G7.3, G7.4</t>
        </is>
      </c>
      <c r="G248" s="3" t="inlineStr">
        <is>
          <t>Tổng 1, Tổng 3, Tổng 6, Tổng 8</t>
        </is>
      </c>
      <c r="H248" s="3" t="inlineStr">
        <is>
          <t>0123456789</t>
        </is>
      </c>
      <c r="I248" s="3" t="inlineStr">
        <is>
          <t>Tổng 8-Bóng 3</t>
        </is>
      </c>
      <c r="J248" s="3" t="n">
        <v>40</v>
      </c>
      <c r="K248" s="6" t="inlineStr">
        <is>
          <t>TRÚNG N1 🎯</t>
        </is>
      </c>
      <c r="L248" s="3" t="inlineStr">
        <is>
          <t>01, 08, 17, 21, 24, 26, 30, 33, 38, 42, 47, 49, 51, 62, 74, 80, 85, 92, 94, 97</t>
        </is>
      </c>
      <c r="M248" s="6" t="inlineStr">
        <is>
          <t>TRÚNG HỎA LỰC 🎯</t>
        </is>
      </c>
      <c r="N248" s="6" t="inlineStr">
        <is>
          <t>TRÚNG N1 🎯</t>
        </is>
      </c>
      <c r="O248" s="3" t="inlineStr">
        <is>
          <t>01, 03, 06, 08, 10, 12, 15, 17, 21, 24, 26, 29, 30, 33, 35, 38, 42, 44, 47, 49, 51, 53, 56, 58, 60, 62, 65, 67, 71, 74, 76, 79, 80, 83, 85, 88, 92, 94, 97, 99</t>
        </is>
      </c>
    </row>
    <row r="249">
      <c r="A249" s="2" t="n">
        <v>43</v>
      </c>
      <c r="B249" s="2" t="inlineStr">
        <is>
          <t>Thứ sáu ngày 13-02-2026</t>
        </is>
      </c>
      <c r="C249" s="3" t="inlineStr">
        <is>
          <t>Thứ Năm</t>
        </is>
      </c>
      <c r="D249" s="3" t="inlineStr">
        <is>
          <t>93177</t>
        </is>
      </c>
      <c r="E249" s="3" t="inlineStr">
        <is>
          <t>77</t>
        </is>
      </c>
      <c r="F249" s="3" t="inlineStr">
        <is>
          <t>G7.4, G7.1</t>
        </is>
      </c>
      <c r="G249" s="3" t="inlineStr">
        <is>
          <t>Tổng 1, Tổng 3, Tổng 4, Tổng 6, Tổng 8, Tổng 9</t>
        </is>
      </c>
      <c r="H249" s="3" t="inlineStr">
        <is>
          <t>013568</t>
        </is>
      </c>
      <c r="I249" s="3" t="inlineStr">
        <is>
          <t>Tổng 8-Bóng 3</t>
        </is>
      </c>
      <c r="J249" s="3" t="n">
        <v>44</v>
      </c>
      <c r="K249" s="7" t="inlineStr">
        <is>
          <t>TRƯỢT ❌</t>
        </is>
      </c>
      <c r="L249" s="3" t="inlineStr">
        <is>
          <t>01, 08, 17, 18, 21, 26, 30, 33, 38, 45, 51, 54, 60, 62, 63, 68, 80, 85, 86, 90</t>
        </is>
      </c>
      <c r="M249" s="7" t="inlineStr">
        <is>
          <t>TRƯỢT ❌</t>
        </is>
      </c>
      <c r="N249" s="6" t="inlineStr">
        <is>
          <t>TRÚNG N2 🎯</t>
        </is>
      </c>
      <c r="O249" s="3" t="inlineStr">
        <is>
          <t>01, 03, 04, 06, 08, 09, 10, 12, 13, 15, 17, 18, 21, 26, 30, 31, 33, 35, 36, 38, 40, 45, 51, 53, 54, 56, 58, 59, 60, 62, 63, 65, 67, 68, 71, 76, 80, 81, 83, 85, 86, 88, 90, 95</t>
        </is>
      </c>
    </row>
    <row r="250">
      <c r="A250" s="2" t="n">
        <v>42</v>
      </c>
      <c r="B250" s="2" t="inlineStr">
        <is>
          <t>Thứ năm ngày 12-02-2026</t>
        </is>
      </c>
      <c r="C250" s="3" t="inlineStr">
        <is>
          <t>Thứ Tư</t>
        </is>
      </c>
      <c r="D250" s="3" t="inlineStr">
        <is>
          <t>81475</t>
        </is>
      </c>
      <c r="E250" s="3" t="inlineStr">
        <is>
          <t>75</t>
        </is>
      </c>
      <c r="F250" s="3" t="inlineStr">
        <is>
          <t>G7.1, G7.2</t>
        </is>
      </c>
      <c r="G250" s="3" t="inlineStr">
        <is>
          <t>Tổng 1, Tổng 2, Tổng 6, Tổng 7</t>
        </is>
      </c>
      <c r="H250" s="3" t="inlineStr">
        <is>
          <t>234789</t>
        </is>
      </c>
      <c r="I250" s="3" t="inlineStr">
        <is>
          <t>Tổng 6-Bóng 1</t>
        </is>
      </c>
      <c r="J250" s="3" t="n">
        <v>28</v>
      </c>
      <c r="K250" s="6" t="inlineStr">
        <is>
          <t>TRÚNG N1 🎯</t>
        </is>
      </c>
      <c r="L250" s="3" t="inlineStr">
        <is>
          <t>07, 24, 33, 34, 38, 39, 42, 43, 47, 48, 52, 70, 74, 84, 88, 89, 92, 93, 97, 98</t>
        </is>
      </c>
      <c r="M250" s="7" t="inlineStr">
        <is>
          <t>TRƯỢT ❌</t>
        </is>
      </c>
      <c r="N250" s="6" t="inlineStr">
        <is>
          <t>TRÚNG N1 🎯</t>
        </is>
      </c>
      <c r="O250" s="3" t="inlineStr">
        <is>
          <t>02, 07, 20, 24, 25, 29, 33, 34, 38, 39, 42, 43, 47, 48, 52, 57, 70, 74, 75, 79, 83, 84, 88, 89, 92, 93, 97, 98</t>
        </is>
      </c>
    </row>
    <row r="251">
      <c r="A251" s="2" t="n">
        <v>41</v>
      </c>
      <c r="B251" s="2" t="inlineStr">
        <is>
          <t>Thứ tư ngày 11-02-2026</t>
        </is>
      </c>
      <c r="C251" s="3" t="inlineStr">
        <is>
          <t>Thứ Ba</t>
        </is>
      </c>
      <c r="D251" s="3" t="inlineStr">
        <is>
          <t>20692</t>
        </is>
      </c>
      <c r="E251" s="3" t="inlineStr">
        <is>
          <t>92</t>
        </is>
      </c>
      <c r="F251" s="3" t="inlineStr">
        <is>
          <t>G7.1, G7.4</t>
        </is>
      </c>
      <c r="G251" s="3" t="inlineStr">
        <is>
          <t>Tổng 1, Tổng 2, Tổng 4, Tổng 6, Tổng 7, Tổng 9</t>
        </is>
      </c>
      <c r="H251" s="3" t="inlineStr">
        <is>
          <t>014569</t>
        </is>
      </c>
      <c r="I251" s="3" t="inlineStr">
        <is>
          <t>Tổng 6-Bóng 1</t>
        </is>
      </c>
      <c r="J251" s="3" t="n">
        <v>52</v>
      </c>
      <c r="K251" s="6" t="inlineStr">
        <is>
          <t>TRÚNG N1 🎯</t>
        </is>
      </c>
      <c r="L251" s="3" t="inlineStr">
        <is>
          <t>01, 07, 16, 18, 24, 42, 45, 47, 48, 51, 54, 61, 63, 68, 74, 86, 89, 90, 93, 97</t>
        </is>
      </c>
      <c r="M251" s="7" t="inlineStr">
        <is>
          <t>TRƯỢT ❌</t>
        </is>
      </c>
      <c r="N251" s="6" t="inlineStr">
        <is>
          <t>TRÚNG N1 🎯</t>
        </is>
      </c>
      <c r="O251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252">
      <c r="A252" s="2" t="n">
        <v>40</v>
      </c>
      <c r="B252" s="2" t="inlineStr">
        <is>
          <t>Thứ ba ngày 10-02-2026</t>
        </is>
      </c>
      <c r="C252" s="3" t="inlineStr">
        <is>
          <t>Thứ Hai</t>
        </is>
      </c>
      <c r="D252" s="3" t="inlineStr">
        <is>
          <t>65390</t>
        </is>
      </c>
      <c r="E252" s="3" t="inlineStr">
        <is>
          <t>90</t>
        </is>
      </c>
      <c r="F252" s="3" t="inlineStr">
        <is>
          <t>G7.3, G7.1</t>
        </is>
      </c>
      <c r="G252" s="3" t="inlineStr">
        <is>
          <t>Tổng 0, Tổng 3, Tổng 5, Tổng 8</t>
        </is>
      </c>
      <c r="H252" s="3" t="inlineStr">
        <is>
          <t>01245679</t>
        </is>
      </c>
      <c r="I252" s="3" t="inlineStr">
        <is>
          <t>Tổng 8-Bóng 3</t>
        </is>
      </c>
      <c r="J252" s="3" t="n">
        <v>40</v>
      </c>
      <c r="K252" s="7" t="inlineStr">
        <is>
          <t>TRƯỢT ❌</t>
        </is>
      </c>
      <c r="L252" s="3" t="inlineStr">
        <is>
          <t>05, 08, 14, 17, 21, 23, 26, 28, 30, 49, 62, 64, 67, 71, 78, 80, 85, 94, 96, 99</t>
        </is>
      </c>
      <c r="M252" s="7" t="inlineStr">
        <is>
          <t>TRƯỢT ❌</t>
        </is>
      </c>
      <c r="N252" s="7" t="inlineStr">
        <is>
          <t>TRƯỢT KHUNG ❌</t>
        </is>
      </c>
      <c r="O252" s="3" t="inlineStr">
        <is>
          <t>00, 03, 05, 08, 12, 14, 17, 19, 21, 23, 26, 28, 30, 32, 35, 37, 41, 44, 46, 49, 50, 53, 55, 58, 62, 64, 67, 69, 71, 73, 76, 78, 80, 82, 85, 87, 91, 94, 96, 99</t>
        </is>
      </c>
    </row>
    <row r="253">
      <c r="A253" s="2" t="n">
        <v>39</v>
      </c>
      <c r="B253" s="2" t="inlineStr">
        <is>
          <t>Thứ hai ngày 09-02-2026</t>
        </is>
      </c>
      <c r="C253" s="3" t="inlineStr">
        <is>
          <t>Chủ Nhật</t>
        </is>
      </c>
      <c r="D253" s="3" t="inlineStr">
        <is>
          <t>05901</t>
        </is>
      </c>
      <c r="E253" s="3" t="inlineStr">
        <is>
          <t>01</t>
        </is>
      </c>
      <c r="F253" s="3" t="inlineStr">
        <is>
          <t>G7.3, G7.1</t>
        </is>
      </c>
      <c r="G253" s="3" t="inlineStr">
        <is>
          <t>Tổng 1, Tổng 2, Tổng 3, Tổng 6, Tổng 7, Tổng 8</t>
        </is>
      </c>
      <c r="H253" s="3" t="inlineStr">
        <is>
          <t>01345689</t>
        </is>
      </c>
      <c r="I253" s="3" t="inlineStr">
        <is>
          <t>Tổng 7-Bóng 2</t>
        </is>
      </c>
      <c r="J253" s="3" t="n">
        <v>60</v>
      </c>
      <c r="K253" s="6" t="inlineStr">
        <is>
          <t>TRÚNG N1 🎯</t>
        </is>
      </c>
      <c r="L253" s="3" t="inlineStr">
        <is>
          <t>07, 17, 21, 24, 30, 33, 38, 47, 48, 49, 51, 61, 62, 74, 80, 85, 89, 93, 94, 97</t>
        </is>
      </c>
      <c r="M253" s="7" t="inlineStr">
        <is>
          <t>TRƯỢT ❌</t>
        </is>
      </c>
      <c r="N253" s="6" t="inlineStr">
        <is>
          <t>TRÚNG N1 🎯</t>
        </is>
      </c>
      <c r="O2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54">
      <c r="A254" s="2" t="n">
        <v>38</v>
      </c>
      <c r="B254" s="2" t="inlineStr">
        <is>
          <t>Chủ nhật ngày 08-02-2026</t>
        </is>
      </c>
      <c r="C254" s="3" t="inlineStr">
        <is>
          <t>Thứ Bảy</t>
        </is>
      </c>
      <c r="D254" s="3" t="inlineStr">
        <is>
          <t>57977</t>
        </is>
      </c>
      <c r="E254" s="3" t="inlineStr">
        <is>
          <t>77</t>
        </is>
      </c>
      <c r="F254" s="3" t="inlineStr">
        <is>
          <t>G7.3, G7.4</t>
        </is>
      </c>
      <c r="G254" s="3" t="inlineStr">
        <is>
          <t>Tổng 2, Tổng 4, Tổng 7, Tổng 9</t>
        </is>
      </c>
      <c r="H254" s="3" t="inlineStr">
        <is>
          <t>12346789</t>
        </is>
      </c>
      <c r="I254" s="3" t="inlineStr">
        <is>
          <t>Tổng 2-Bóng 7</t>
        </is>
      </c>
      <c r="J254" s="3" t="n">
        <v>40</v>
      </c>
      <c r="K254" s="6" t="inlineStr">
        <is>
          <t>TRÚNG N1 🎯</t>
        </is>
      </c>
      <c r="L254" s="3" t="inlineStr">
        <is>
          <t>04, 07, 16, 18, 22, 27, 36, 39, 40, 45, 48, 52, 54, 61, 63, 68, 77, 86, 89, 93</t>
        </is>
      </c>
      <c r="M254" s="6" t="inlineStr">
        <is>
          <t>TRÚNG HỎA LỰC 🎯</t>
        </is>
      </c>
      <c r="N254" s="6" t="inlineStr">
        <is>
          <t>TRÚNG N1 🎯</t>
        </is>
      </c>
      <c r="O254" s="3" t="inlineStr">
        <is>
          <t>02, 04, 07, 09, 11, 13, 16, 18, 20, 22, 25, 27, 31, 34, 36, 39, 40, 43, 45, 48, 52, 54, 57, 59, 61, 63, 66, 68, 70, 72, 75, 77, 81, 84, 86, 89, 90, 93, 95, 98</t>
        </is>
      </c>
    </row>
    <row r="255">
      <c r="A255" s="2" t="n">
        <v>37</v>
      </c>
      <c r="B255" s="2" t="inlineStr">
        <is>
          <t>Thứ bảy ngày 07-02-2026</t>
        </is>
      </c>
      <c r="C255" s="3" t="inlineStr">
        <is>
          <t>Thứ Sáu</t>
        </is>
      </c>
      <c r="D255" s="3" t="inlineStr">
        <is>
          <t>38385</t>
        </is>
      </c>
      <c r="E255" s="3" t="inlineStr">
        <is>
          <t>85</t>
        </is>
      </c>
      <c r="F255" s="3" t="inlineStr">
        <is>
          <t>G7.4, G7.1</t>
        </is>
      </c>
      <c r="G255" s="3" t="inlineStr">
        <is>
          <t>Tổng 0, Tổng 5</t>
        </is>
      </c>
      <c r="H255" s="3" t="inlineStr">
        <is>
          <t>013568</t>
        </is>
      </c>
      <c r="I255" s="3" t="inlineStr">
        <is>
          <t>Tổng 0-Bóng 5</t>
        </is>
      </c>
      <c r="J255" s="3" t="n">
        <v>20</v>
      </c>
      <c r="K255" s="7" t="inlineStr">
        <is>
          <t>TRƯỢT ❌</t>
        </is>
      </c>
      <c r="L255" s="3" t="inlineStr">
        <is>
          <t>00, 05, 14, 19, 23, 28, 32, 37, 41, 46, 50, 55, 64, 69, 73, 78, 82, 87, 91, 96</t>
        </is>
      </c>
      <c r="M255" s="7" t="inlineStr">
        <is>
          <t>TRƯỢT ❌</t>
        </is>
      </c>
      <c r="N255" s="7" t="inlineStr">
        <is>
          <t>TRƯỢT KHUNG ❌</t>
        </is>
      </c>
      <c r="O255" s="3" t="inlineStr">
        <is>
          <t>00, 05, 14, 19, 23, 28, 32, 37, 41, 46, 50, 55, 64, 69, 73, 78, 82, 87, 91, 96</t>
        </is>
      </c>
    </row>
    <row r="256">
      <c r="A256" s="2" t="n">
        <v>36</v>
      </c>
      <c r="B256" s="2" t="inlineStr">
        <is>
          <t>Thứ sáu ngày 06-02-2026</t>
        </is>
      </c>
      <c r="C256" s="3" t="inlineStr">
        <is>
          <t>Thứ Năm</t>
        </is>
      </c>
      <c r="D256" s="3" t="inlineStr">
        <is>
          <t>06133</t>
        </is>
      </c>
      <c r="E256" s="3" t="inlineStr">
        <is>
          <t>33</t>
        </is>
      </c>
      <c r="F256" s="3" t="inlineStr">
        <is>
          <t>G7.1, G7.4</t>
        </is>
      </c>
      <c r="G256" s="3" t="inlineStr">
        <is>
          <t>Tổng 2, Tổng 3, Tổng 7, Tổng 8</t>
        </is>
      </c>
      <c r="H256" s="3" t="inlineStr">
        <is>
          <t>023578</t>
        </is>
      </c>
      <c r="I256" s="3" t="inlineStr">
        <is>
          <t>Tổng 2-Bóng 7</t>
        </is>
      </c>
      <c r="J256" s="3" t="n">
        <v>32</v>
      </c>
      <c r="K256" s="7" t="inlineStr">
        <is>
          <t>TRƯỢT ❌</t>
        </is>
      </c>
      <c r="L256" s="3" t="inlineStr">
        <is>
          <t>03, 07, 08, 17, 21, 26, 30, 34, 39, 48, 52, 62, 67, 70, 71, 80, 84, 89, 93, 98</t>
        </is>
      </c>
      <c r="M256" s="7" t="inlineStr">
        <is>
          <t>TRƯỢT ❌</t>
        </is>
      </c>
      <c r="N256" s="6" t="inlineStr">
        <is>
          <t>TRÚNG N2 🎯</t>
        </is>
      </c>
      <c r="O256" s="3" t="inlineStr">
        <is>
          <t>02, 03, 07, 08, 12, 17, 20, 21, 25, 26, 30, 34, 35, 39, 43, 48, 52, 53, 57, 58, 62, 67, 70, 71, 75, 76, 80, 84, 85, 89, 93, 98</t>
        </is>
      </c>
    </row>
    <row r="257">
      <c r="A257" s="2" t="n">
        <v>35</v>
      </c>
      <c r="B257" s="2" t="inlineStr">
        <is>
          <t>Thứ năm ngày 05-02-2026</t>
        </is>
      </c>
      <c r="C257" s="3" t="inlineStr">
        <is>
          <t>Thứ Tư</t>
        </is>
      </c>
      <c r="D257" s="3" t="inlineStr">
        <is>
          <t>10268</t>
        </is>
      </c>
      <c r="E257" s="3" t="inlineStr">
        <is>
          <t>68</t>
        </is>
      </c>
      <c r="F257" s="3" t="inlineStr">
        <is>
          <t>G7.1, G7.2</t>
        </is>
      </c>
      <c r="G257" s="3" t="inlineStr">
        <is>
          <t>Tổng 1, Tổng 4, Tổng 6, Tổng 9</t>
        </is>
      </c>
      <c r="H257" s="3" t="inlineStr">
        <is>
          <t>013568</t>
        </is>
      </c>
      <c r="I257" s="3" t="inlineStr">
        <is>
          <t>Tổng 4-Bóng 9</t>
        </is>
      </c>
      <c r="J257" s="3" t="n">
        <v>28</v>
      </c>
      <c r="K257" s="6" t="inlineStr">
        <is>
          <t>TRÚNG N1 🎯</t>
        </is>
      </c>
      <c r="L257" s="3" t="inlineStr">
        <is>
          <t>01, 04, 06, 10, 13, 15, 18, 31, 36, 38, 40, 45, 51, 54, 56, 60, 63, 68, 86, 88</t>
        </is>
      </c>
      <c r="M257" s="6" t="inlineStr">
        <is>
          <t>TRÚNG HỎA LỰC 🎯</t>
        </is>
      </c>
      <c r="N257" s="6" t="inlineStr">
        <is>
          <t>TRÚNG N1 🎯</t>
        </is>
      </c>
      <c r="O257" s="3" t="inlineStr">
        <is>
          <t>01, 04, 06, 09, 10, 13, 15, 18, 31, 33, 36, 38, 40, 45, 51, 54, 56, 59, 60, 63, 65, 68, 81, 83, 86, 88, 90, 95</t>
        </is>
      </c>
    </row>
    <row r="258">
      <c r="A258" s="2" t="n">
        <v>34</v>
      </c>
      <c r="B258" s="2" t="inlineStr">
        <is>
          <t>Thứ tư ngày 04-02-2026</t>
        </is>
      </c>
      <c r="C258" s="3" t="inlineStr">
        <is>
          <t>Thứ Ba</t>
        </is>
      </c>
      <c r="D258" s="3" t="inlineStr">
        <is>
          <t>06517</t>
        </is>
      </c>
      <c r="E258" s="3" t="inlineStr">
        <is>
          <t>17</t>
        </is>
      </c>
      <c r="F258" s="3" t="inlineStr">
        <is>
          <t>G7.1, G7.2</t>
        </is>
      </c>
      <c r="G258" s="3" t="inlineStr">
        <is>
          <t>Tổng 0, Tổng 2, Tổng 5, Tổng 7</t>
        </is>
      </c>
      <c r="H258" s="3" t="inlineStr">
        <is>
          <t>12346789</t>
        </is>
      </c>
      <c r="I258" s="3" t="inlineStr">
        <is>
          <t>Tổng 0-Bóng 5</t>
        </is>
      </c>
      <c r="J258" s="3" t="n">
        <v>36</v>
      </c>
      <c r="K258" s="7" t="inlineStr">
        <is>
          <t>TRƯỢT ❌</t>
        </is>
      </c>
      <c r="L258" s="3" t="inlineStr">
        <is>
          <t>07, 14, 16, 23, 28, 34, 39, 41, 46, 48, 52, 61, 64, 66, 70, 78, 82, 89, 93, 96</t>
        </is>
      </c>
      <c r="M258" s="7" t="inlineStr">
        <is>
          <t>TRƯỢT ❌</t>
        </is>
      </c>
      <c r="N258" s="7" t="inlineStr">
        <is>
          <t>TRƯỢT KHUNG ❌</t>
        </is>
      </c>
      <c r="O258" s="3" t="inlineStr">
        <is>
          <t>02, 07, 11, 14, 16, 19, 20, 23, 25, 28, 32, 34, 37, 39, 41, 43, 46, 48, 52, 57, 61, 64, 66, 69, 70, 73, 75, 78, 82, 84, 87, 89, 91, 93, 96, 98</t>
        </is>
      </c>
    </row>
    <row r="259">
      <c r="A259" s="2" t="n">
        <v>33</v>
      </c>
      <c r="B259" s="2" t="inlineStr">
        <is>
          <t>Thứ ba ngày 03-02-2026</t>
        </is>
      </c>
      <c r="C259" s="3" t="inlineStr">
        <is>
          <t>Thứ Hai</t>
        </is>
      </c>
      <c r="D259" s="3" t="inlineStr">
        <is>
          <t>97648</t>
        </is>
      </c>
      <c r="E259" s="3" t="inlineStr">
        <is>
          <t>48</t>
        </is>
      </c>
      <c r="F259" s="3" t="inlineStr">
        <is>
          <t>G7.1, G7.2</t>
        </is>
      </c>
      <c r="G259" s="3" t="inlineStr">
        <is>
          <t>Tổng 0, Tổng 2, Tổng 3, Tổng 5, Tổng 7, Tổng 8</t>
        </is>
      </c>
      <c r="H259" s="3" t="inlineStr">
        <is>
          <t>0123456789</t>
        </is>
      </c>
      <c r="I259" s="3" t="inlineStr">
        <is>
          <t>Tổng 8-Bóng 3</t>
        </is>
      </c>
      <c r="J259" s="3" t="n">
        <v>60</v>
      </c>
      <c r="K259" s="6" t="inlineStr">
        <is>
          <t>TRÚNG N1 🎯</t>
        </is>
      </c>
      <c r="L259" s="3" t="inlineStr">
        <is>
          <t>05, 07, 08, 14, 16, 17, 21, 23, 26, 28, 30, 48, 49, 61, 62, 78, 80, 89, 93, 94</t>
        </is>
      </c>
      <c r="M259" s="6" t="inlineStr">
        <is>
          <t>TRÚNG HỎA LỰC 🎯</t>
        </is>
      </c>
      <c r="N259" s="6" t="inlineStr">
        <is>
          <t>TRÚNG N1 🎯</t>
        </is>
      </c>
      <c r="O25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60">
      <c r="A260" s="2" t="n">
        <v>32</v>
      </c>
      <c r="B260" s="2" t="inlineStr">
        <is>
          <t>Thứ hai ngày 02-02-2026</t>
        </is>
      </c>
      <c r="C260" s="3" t="inlineStr">
        <is>
          <t>Chủ Nhật</t>
        </is>
      </c>
      <c r="D260" s="3" t="inlineStr">
        <is>
          <t>73461</t>
        </is>
      </c>
      <c r="E260" s="3" t="inlineStr">
        <is>
          <t>61</t>
        </is>
      </c>
      <c r="F260" s="3" t="inlineStr">
        <is>
          <t>G7.3, G7.1</t>
        </is>
      </c>
      <c r="G260" s="3" t="inlineStr">
        <is>
          <t>Tổng 0, Tổng 1, Tổng 3, Tổng 5, Tổng 6, Tổng 8</t>
        </is>
      </c>
      <c r="H260" s="3" t="inlineStr">
        <is>
          <t>02345789</t>
        </is>
      </c>
      <c r="I260" s="3" t="inlineStr">
        <is>
          <t>Tổng 0-Bóng 5</t>
        </is>
      </c>
      <c r="J260" s="3" t="n">
        <v>60</v>
      </c>
      <c r="K260" s="7" t="inlineStr">
        <is>
          <t>TRƯỢT ❌</t>
        </is>
      </c>
      <c r="L260" s="3" t="inlineStr">
        <is>
          <t>05, 08, 14, 17, 21, 23, 24, 26, 28, 30, 38, 47, 49, 51, 62, 74, 78, 80, 94, 97</t>
        </is>
      </c>
      <c r="M260" s="7" t="inlineStr">
        <is>
          <t>TRƯỢT ❌</t>
        </is>
      </c>
      <c r="N260" s="6" t="inlineStr">
        <is>
          <t>TRÚNG N3 🎯</t>
        </is>
      </c>
      <c r="O26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61">
      <c r="A261" s="2" t="n">
        <v>31</v>
      </c>
      <c r="B261" s="2" t="inlineStr">
        <is>
          <t>Chủ nhật ngày 01-02-2026</t>
        </is>
      </c>
      <c r="C261" s="3" t="inlineStr">
        <is>
          <t>Thứ Bảy</t>
        </is>
      </c>
      <c r="D261" s="3" t="inlineStr">
        <is>
          <t>01377</t>
        </is>
      </c>
      <c r="E261" s="3" t="inlineStr">
        <is>
          <t>77</t>
        </is>
      </c>
      <c r="F261" s="3" t="inlineStr">
        <is>
          <t>G7.4, G7.1</t>
        </is>
      </c>
      <c r="G261" s="3" t="inlineStr">
        <is>
          <t>Tổng 1, Tổng 4, Tổng 6, Tổng 9</t>
        </is>
      </c>
      <c r="H261" s="3" t="inlineStr">
        <is>
          <t>01245679</t>
        </is>
      </c>
      <c r="I261" s="3" t="inlineStr">
        <is>
          <t>Tổng 4-Bóng 9</t>
        </is>
      </c>
      <c r="J261" s="3" t="n">
        <v>36</v>
      </c>
      <c r="K261" s="6" t="inlineStr">
        <is>
          <t>TRÚNG N1 🎯</t>
        </is>
      </c>
      <c r="L261" s="3" t="inlineStr">
        <is>
          <t>04, 13, 15, 18, 22, 24, 27, 36, 40, 42, 45, 47, 51, 54, 60, 63, 68, 74, 86, 97</t>
        </is>
      </c>
      <c r="M261" s="7" t="inlineStr">
        <is>
          <t>TRƯỢT ❌</t>
        </is>
      </c>
      <c r="N261" s="6" t="inlineStr">
        <is>
          <t>TRÚNG N1 🎯</t>
        </is>
      </c>
      <c r="O261" s="3" t="inlineStr">
        <is>
          <t>01, 04, 06, 09, 10, 13, 15, 18, 22, 24, 27, 29, 31, 36, 40, 42, 45, 47, 51, 54, 56, 59, 60, 63, 65, 68, 72, 74, 77, 79, 81, 86, 90, 92, 95, 97</t>
        </is>
      </c>
    </row>
    <row r="262">
      <c r="A262" s="2" t="n">
        <v>30</v>
      </c>
      <c r="B262" s="2" t="inlineStr">
        <is>
          <t>Thứ bảy ngày 31-01-2026</t>
        </is>
      </c>
      <c r="C262" s="3" t="inlineStr">
        <is>
          <t>Thứ Sáu</t>
        </is>
      </c>
      <c r="D262" s="3" t="inlineStr">
        <is>
          <t>42754</t>
        </is>
      </c>
      <c r="E262" s="3" t="inlineStr">
        <is>
          <t>54</t>
        </is>
      </c>
      <c r="F262" s="3" t="inlineStr">
        <is>
          <t>G7.4, G7.1</t>
        </is>
      </c>
      <c r="G262" s="3" t="inlineStr">
        <is>
          <t>Tổng 1, Tổng 3, Tổng 4, Tổng 6, Tổng 8, Tổng 9</t>
        </is>
      </c>
      <c r="H262" s="3" t="inlineStr">
        <is>
          <t>01235678</t>
        </is>
      </c>
      <c r="I262" s="3" t="inlineStr">
        <is>
          <t>Tổng 1-Bóng 6</t>
        </is>
      </c>
      <c r="J262" s="3" t="n">
        <v>56</v>
      </c>
      <c r="K262" s="6" t="inlineStr">
        <is>
          <t>TRÚNG N1 🎯</t>
        </is>
      </c>
      <c r="L262" s="3" t="inlineStr">
        <is>
          <t>08, 17, 21, 22, 24, 26, 27, 30, 38, 42, 45, 47, 51, 62, 63, 68, 74, 80, 86, 97</t>
        </is>
      </c>
      <c r="M262" s="7" t="inlineStr">
        <is>
          <t>TRƯỢT ❌</t>
        </is>
      </c>
      <c r="N262" s="6" t="inlineStr">
        <is>
          <t>TRÚNG N1 🎯</t>
        </is>
      </c>
      <c r="O262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63">
      <c r="A263" s="2" t="n">
        <v>29</v>
      </c>
      <c r="B263" s="2" t="inlineStr">
        <is>
          <t>Thứ sáu ngày 30-01-2026</t>
        </is>
      </c>
      <c r="C263" s="3" t="inlineStr">
        <is>
          <t>Thứ Năm</t>
        </is>
      </c>
      <c r="D263" s="3" t="inlineStr">
        <is>
          <t>32845</t>
        </is>
      </c>
      <c r="E263" s="3" t="inlineStr">
        <is>
          <t>45</t>
        </is>
      </c>
      <c r="F263" s="3" t="inlineStr">
        <is>
          <t>G7.4, G7.1</t>
        </is>
      </c>
      <c r="G263" s="3" t="inlineStr">
        <is>
          <t>Tổng 0, Tổng 4, Tổng 5, Tổng 9</t>
        </is>
      </c>
      <c r="H263" s="3" t="inlineStr">
        <is>
          <t>01235678</t>
        </is>
      </c>
      <c r="I263" s="3" t="inlineStr">
        <is>
          <t>Tổng 0-Bóng 5</t>
        </is>
      </c>
      <c r="J263" s="3" t="n">
        <v>40</v>
      </c>
      <c r="K263" s="6" t="inlineStr">
        <is>
          <t>TRÚNG N1 🎯</t>
        </is>
      </c>
      <c r="L263" s="3" t="inlineStr">
        <is>
          <t>04, 05, 13, 14, 18, 22, 23, 27, 28, 36, 40, 46, 50, 63, 64, 68, 78, 82, 86, 96</t>
        </is>
      </c>
      <c r="M263" s="7" t="inlineStr">
        <is>
          <t>TRƯỢT ❌</t>
        </is>
      </c>
      <c r="N263" s="6" t="inlineStr">
        <is>
          <t>TRÚNG N1 🎯</t>
        </is>
      </c>
      <c r="O263" s="3" t="inlineStr">
        <is>
          <t>00, 04, 05, 09, 13, 14, 18, 19, 22, 23, 27, 28, 31, 32, 36, 37, 40, 41, 45, 46, 50, 54, 55, 59, 63, 64, 68, 69, 72, 73, 77, 78, 81, 82, 86, 87, 90, 91, 95, 96</t>
        </is>
      </c>
    </row>
    <row r="264">
      <c r="A264" s="2" t="n">
        <v>28</v>
      </c>
      <c r="B264" s="2" t="inlineStr">
        <is>
          <t>Thứ năm ngày 29-01-2026</t>
        </is>
      </c>
      <c r="C264" s="3" t="inlineStr">
        <is>
          <t>Thứ Tư</t>
        </is>
      </c>
      <c r="D264" s="3" t="inlineStr">
        <is>
          <t>38814</t>
        </is>
      </c>
      <c r="E264" s="3" t="inlineStr">
        <is>
          <t>14</t>
        </is>
      </c>
      <c r="F264" s="3" t="inlineStr">
        <is>
          <t>G7.2, G7.4</t>
        </is>
      </c>
      <c r="G264" s="3" t="inlineStr">
        <is>
          <t>Tổng 1, Tổng 4, Tổng 6, Tổng 9</t>
        </is>
      </c>
      <c r="H264" s="3" t="inlineStr">
        <is>
          <t>124679</t>
        </is>
      </c>
      <c r="I264" s="3" t="inlineStr">
        <is>
          <t>Tổng 4-Bóng 9</t>
        </is>
      </c>
      <c r="J264" s="3" t="n">
        <v>36</v>
      </c>
      <c r="K264" s="7" t="inlineStr">
        <is>
          <t>TRƯỢT ❌</t>
        </is>
      </c>
      <c r="L264" s="3" t="inlineStr">
        <is>
          <t>04, 06, 13, 15, 18, 22, 24, 27, 36, 40, 42, 47, 51, 56, 60, 63, 68, 74, 86, 97</t>
        </is>
      </c>
      <c r="M264" s="7" t="inlineStr">
        <is>
          <t>TRƯỢT ❌</t>
        </is>
      </c>
      <c r="N264" s="6" t="inlineStr">
        <is>
          <t>TRÚNG N2 🎯</t>
        </is>
      </c>
      <c r="O264" s="3" t="inlineStr">
        <is>
          <t>01, 04, 06, 09, 10, 13, 15, 18, 22, 24, 27, 29, 31, 36, 40, 42, 45, 47, 51, 54, 56, 59, 60, 63, 65, 68, 72, 74, 77, 79, 81, 86, 90, 92, 95, 97</t>
        </is>
      </c>
    </row>
    <row r="265">
      <c r="A265" s="2" t="n">
        <v>27</v>
      </c>
      <c r="B265" s="2" t="inlineStr">
        <is>
          <t>Thứ tư ngày 28-01-2026</t>
        </is>
      </c>
      <c r="C265" s="3" t="inlineStr">
        <is>
          <t>Thứ Ba</t>
        </is>
      </c>
      <c r="D265" s="3" t="inlineStr">
        <is>
          <t>24121</t>
        </is>
      </c>
      <c r="E265" s="3" t="inlineStr">
        <is>
          <t>21</t>
        </is>
      </c>
      <c r="F265" s="3" t="inlineStr">
        <is>
          <t>G7.1, G7.2</t>
        </is>
      </c>
      <c r="G265" s="3" t="inlineStr">
        <is>
          <t>Tổng 2, Tổng 3, Tổng 4, Tổng 7, Tổng 8, Tổng 9</t>
        </is>
      </c>
      <c r="H265" s="3" t="inlineStr">
        <is>
          <t>012567</t>
        </is>
      </c>
      <c r="I265" s="3" t="inlineStr">
        <is>
          <t>Tổng 3-Bóng 8</t>
        </is>
      </c>
      <c r="J265" s="3" t="n">
        <v>48</v>
      </c>
      <c r="K265" s="6" t="inlineStr">
        <is>
          <t>TRÚNG N1 🎯</t>
        </is>
      </c>
      <c r="L265" s="3" t="inlineStr">
        <is>
          <t>04, 07, 08, 16, 17, 18, 22, 26, 27, 30, 36, 40, 52, 62, 63, 67, 68, 71, 80, 86</t>
        </is>
      </c>
      <c r="M265" s="7" t="inlineStr">
        <is>
          <t>TRƯỢT ❌</t>
        </is>
      </c>
      <c r="N265" s="6" t="inlineStr">
        <is>
          <t>TRÚNG N1 🎯</t>
        </is>
      </c>
      <c r="O265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66">
      <c r="A266" s="2" t="n">
        <v>26</v>
      </c>
      <c r="B266" s="2" t="inlineStr">
        <is>
          <t>Thứ ba ngày 27-01-2026</t>
        </is>
      </c>
      <c r="C266" s="3" t="inlineStr">
        <is>
          <t>Thứ Hai</t>
        </is>
      </c>
      <c r="D266" s="3" t="inlineStr">
        <is>
          <t>39380</t>
        </is>
      </c>
      <c r="E266" s="3" t="inlineStr">
        <is>
          <t>80</t>
        </is>
      </c>
      <c r="F266" s="3" t="inlineStr">
        <is>
          <t>G7.1, G7.2</t>
        </is>
      </c>
      <c r="G266" s="3" t="inlineStr">
        <is>
          <t>Tổng 1, Tổng 3, Tổng 6, Tổng 8</t>
        </is>
      </c>
      <c r="H266" s="3" t="inlineStr">
        <is>
          <t>01235678</t>
        </is>
      </c>
      <c r="I266" s="3" t="inlineStr">
        <is>
          <t>Tổng 1-Bóng 6</t>
        </is>
      </c>
      <c r="J266" s="3" t="n">
        <v>36</v>
      </c>
      <c r="K266" s="6" t="inlineStr">
        <is>
          <t>TRÚNG N1 🎯</t>
        </is>
      </c>
      <c r="L266" s="3" t="inlineStr">
        <is>
          <t>03, 06, 08, 15, 17, 24, 26, 30, 38, 42, 47, 51, 56, 60, 62, 67, 71, 74, 88, 97</t>
        </is>
      </c>
      <c r="M266" s="7" t="inlineStr">
        <is>
          <t>TRƯỢT ❌</t>
        </is>
      </c>
      <c r="N266" s="6" t="inlineStr">
        <is>
          <t>TRÚNG N1 🎯</t>
        </is>
      </c>
      <c r="O266" s="3" t="inlineStr">
        <is>
          <t>01, 03, 06, 08, 10, 12, 15, 17, 21, 24, 26, 29, 30, 33, 35, 38, 42, 47, 51, 53, 56, 58, 60, 62, 65, 67, 71, 74, 76, 79, 80, 83, 85, 88, 92, 97</t>
        </is>
      </c>
    </row>
    <row r="267">
      <c r="A267" s="2" t="n">
        <v>25</v>
      </c>
      <c r="B267" s="2" t="inlineStr">
        <is>
          <t>Thứ hai ngày 26-01-2026</t>
        </is>
      </c>
      <c r="C267" s="3" t="inlineStr">
        <is>
          <t>Chủ Nhật</t>
        </is>
      </c>
      <c r="D267" s="3" t="inlineStr">
        <is>
          <t>00974</t>
        </is>
      </c>
      <c r="E267" s="3" t="inlineStr">
        <is>
          <t>74</t>
        </is>
      </c>
      <c r="F267" s="3" t="inlineStr">
        <is>
          <t>G7.1, G7.3</t>
        </is>
      </c>
      <c r="G267" s="3" t="inlineStr">
        <is>
          <t>Tổng 1, Tổng 4, Tổng 6, Tổng 9</t>
        </is>
      </c>
      <c r="H267" s="3" t="inlineStr">
        <is>
          <t>12346789</t>
        </is>
      </c>
      <c r="I267" s="3" t="inlineStr">
        <is>
          <t>Tổng 6-Bóng 1</t>
        </is>
      </c>
      <c r="J267" s="3" t="n">
        <v>40</v>
      </c>
      <c r="K267" s="6" t="inlineStr">
        <is>
          <t>TRÚNG N1 🎯</t>
        </is>
      </c>
      <c r="L267" s="3" t="inlineStr">
        <is>
          <t>04, 13, 15, 18, 22, 24, 27, 36, 38, 40, 42, 47, 51, 56, 60, 63, 68, 86, 88, 97</t>
        </is>
      </c>
      <c r="M267" s="7" t="inlineStr">
        <is>
          <t>TRƯỢT ❌</t>
        </is>
      </c>
      <c r="N267" s="6" t="inlineStr">
        <is>
          <t>TRÚNG N1 🎯</t>
        </is>
      </c>
      <c r="O267" s="3" t="inlineStr">
        <is>
          <t>01, 04, 06, 09, 10, 13, 15, 18, 22, 24, 27, 29, 31, 33, 36, 38, 40, 42, 45, 47, 51, 54, 56, 59, 60, 63, 65, 68, 72, 74, 77, 79, 81, 83, 86, 88, 90, 92, 95, 97</t>
        </is>
      </c>
    </row>
    <row r="268">
      <c r="A268" s="2" t="n">
        <v>24</v>
      </c>
      <c r="B268" s="2" t="inlineStr">
        <is>
          <t>Chủ nhật ngày 25-01-2026</t>
        </is>
      </c>
      <c r="C268" s="3" t="inlineStr">
        <is>
          <t>Thứ Bảy</t>
        </is>
      </c>
      <c r="D268" s="3" t="inlineStr">
        <is>
          <t>08230</t>
        </is>
      </c>
      <c r="E268" s="3" t="inlineStr">
        <is>
          <t>30</t>
        </is>
      </c>
      <c r="F268" s="3" t="inlineStr">
        <is>
          <t>G7.4, G7.1</t>
        </is>
      </c>
      <c r="G268" s="3" t="inlineStr">
        <is>
          <t>Tổng 1, Tổng 2, Tổng 6, Tổng 7</t>
        </is>
      </c>
      <c r="H268" s="3" t="inlineStr">
        <is>
          <t>01345689</t>
        </is>
      </c>
      <c r="I268" s="3" t="inlineStr">
        <is>
          <t>Tổng 1-Bóng 6</t>
        </is>
      </c>
      <c r="J268" s="3" t="n">
        <v>40</v>
      </c>
      <c r="K268" s="7" t="inlineStr">
        <is>
          <t>TRƯỢT ❌</t>
        </is>
      </c>
      <c r="L268" s="3" t="inlineStr">
        <is>
          <t>01, 06, 07, 15, 16, 24, 38, 39, 42, 47, 48, 51, 52, 56, 60, 61, 88, 89, 93, 97</t>
        </is>
      </c>
      <c r="M268" s="7" t="inlineStr">
        <is>
          <t>TRƯỢT ❌</t>
        </is>
      </c>
      <c r="N268" s="6" t="inlineStr">
        <is>
          <t>TRÚNG N2 🎯</t>
        </is>
      </c>
      <c r="O268" s="3" t="inlineStr">
        <is>
          <t>01, 02, 06, 07, 10, 11, 15, 16, 20, 24, 25, 29, 33, 34, 38, 39, 42, 43, 47, 48, 51, 52, 56, 57, 60, 61, 65, 66, 70, 74, 75, 79, 83, 84, 88, 89, 92, 93, 97, 98</t>
        </is>
      </c>
    </row>
    <row r="269">
      <c r="A269" s="2" t="n">
        <v>23</v>
      </c>
      <c r="B269" s="2" t="inlineStr">
        <is>
          <t>Thứ bảy ngày 24-01-2026</t>
        </is>
      </c>
      <c r="C269" s="3" t="inlineStr">
        <is>
          <t>Thứ Sáu</t>
        </is>
      </c>
      <c r="D269" s="3" t="inlineStr">
        <is>
          <t>52062</t>
        </is>
      </c>
      <c r="E269" s="3" t="inlineStr">
        <is>
          <t>62</t>
        </is>
      </c>
      <c r="F269" s="3" t="inlineStr">
        <is>
          <t>G7.4, G7.2</t>
        </is>
      </c>
      <c r="G269" s="3" t="inlineStr">
        <is>
          <t>Tổng 0, Tổng 1, Tổng 2, Tổng 5, Tổng 6, Tổng 7</t>
        </is>
      </c>
      <c r="H269" s="3" t="inlineStr">
        <is>
          <t>0123456789</t>
        </is>
      </c>
      <c r="I269" s="3" t="inlineStr">
        <is>
          <t>Tổng 7-Bóng 2</t>
        </is>
      </c>
      <c r="J269" s="3" t="n">
        <v>60</v>
      </c>
      <c r="K269" s="7" t="inlineStr">
        <is>
          <t>TRƯỢT ❌</t>
        </is>
      </c>
      <c r="L269" s="3" t="inlineStr">
        <is>
          <t>05, 07, 15, 16, 23, 24, 28, 38, 39, 42, 47, 48, 51, 52, 60, 64, 78, 89, 93, 97</t>
        </is>
      </c>
      <c r="M269" s="7" t="inlineStr">
        <is>
          <t>TRƯỢT ❌</t>
        </is>
      </c>
      <c r="N269" s="6" t="inlineStr">
        <is>
          <t>TRÚNG N3 🎯</t>
        </is>
      </c>
      <c r="O26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70">
      <c r="A270" s="2" t="n">
        <v>22</v>
      </c>
      <c r="B270" s="2" t="inlineStr">
        <is>
          <t>Thứ sáu ngày 23-01-2026</t>
        </is>
      </c>
      <c r="C270" s="3" t="inlineStr">
        <is>
          <t>Thứ Năm</t>
        </is>
      </c>
      <c r="D270" s="3" t="inlineStr">
        <is>
          <t>57022</t>
        </is>
      </c>
      <c r="E270" s="3" t="inlineStr">
        <is>
          <t>22</t>
        </is>
      </c>
      <c r="F270" s="3" t="inlineStr">
        <is>
          <t>G7.4, G7.1</t>
        </is>
      </c>
      <c r="G270" s="3" t="inlineStr">
        <is>
          <t>Tổng 2, Tổng 3, Tổng 7, Tổng 8</t>
        </is>
      </c>
      <c r="H270" s="3" t="inlineStr">
        <is>
          <t>01345689</t>
        </is>
      </c>
      <c r="I270" s="3" t="inlineStr">
        <is>
          <t>Tổng 8-Bóng 3</t>
        </is>
      </c>
      <c r="J270" s="3" t="n">
        <v>40</v>
      </c>
      <c r="K270" s="7" t="inlineStr">
        <is>
          <t>TRƯỢT ❌</t>
        </is>
      </c>
      <c r="L270" s="3" t="inlineStr">
        <is>
          <t>03, 07, 08, 16, 17, 26, 39, 48, 49, 52, 61, 62, 66, 67, 70, 71, 89, 93, 94, 99</t>
        </is>
      </c>
      <c r="M270" s="7" t="inlineStr">
        <is>
          <t>TRƯỢT ❌</t>
        </is>
      </c>
      <c r="N270" s="6" t="inlineStr">
        <is>
          <t>TRÚNG N2 🎯</t>
        </is>
      </c>
      <c r="O270" s="3" t="inlineStr">
        <is>
          <t>02, 03, 07, 08, 11, 12, 16, 17, 20, 21, 25, 26, 30, 34, 35, 39, 43, 44, 48, 49, 52, 53, 57, 58, 61, 62, 66, 67, 70, 71, 75, 76, 80, 84, 85, 89, 93, 94, 98, 99</t>
        </is>
      </c>
    </row>
    <row r="271">
      <c r="A271" s="2" t="n">
        <v>21</v>
      </c>
      <c r="B271" s="2" t="inlineStr">
        <is>
          <t>Thứ năm ngày 22-01-2026</t>
        </is>
      </c>
      <c r="C271" s="3" t="inlineStr">
        <is>
          <t>Thứ Tư</t>
        </is>
      </c>
      <c r="D271" s="3" t="inlineStr">
        <is>
          <t>84063</t>
        </is>
      </c>
      <c r="E271" s="3" t="inlineStr">
        <is>
          <t>63</t>
        </is>
      </c>
      <c r="F271" s="3" t="inlineStr">
        <is>
          <t>G7.1, G7.2</t>
        </is>
      </c>
      <c r="G271" s="3" t="inlineStr">
        <is>
          <t>Tổng 0, Tổng 1, Tổng 3, Tổng 5, Tổng 6, Tổng 8</t>
        </is>
      </c>
      <c r="H271" s="3" t="inlineStr">
        <is>
          <t>0123456789</t>
        </is>
      </c>
      <c r="I271" s="3" t="inlineStr">
        <is>
          <t>Tổng 5-Bóng 0</t>
        </is>
      </c>
      <c r="J271" s="3" t="n">
        <v>60</v>
      </c>
      <c r="K271" s="7" t="inlineStr">
        <is>
          <t>TRƯỢT ❌</t>
        </is>
      </c>
      <c r="L271" s="3" t="inlineStr">
        <is>
          <t>05, 08, 17, 23, 24, 26, 28, 38, 42, 47, 49, 51, 60, 62, 67, 71, 78, 94, 97, 99</t>
        </is>
      </c>
      <c r="M271" s="7" t="inlineStr">
        <is>
          <t>TRƯỢT ❌</t>
        </is>
      </c>
      <c r="N271" s="6" t="inlineStr">
        <is>
          <t>TRÚNG N3 🎯</t>
        </is>
      </c>
      <c r="O27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72">
      <c r="A272" s="2" t="n">
        <v>20</v>
      </c>
      <c r="B272" s="2" t="inlineStr">
        <is>
          <t>Thứ tư ngày 21-01-2026</t>
        </is>
      </c>
      <c r="C272" s="3" t="inlineStr">
        <is>
          <t>Thứ Ba</t>
        </is>
      </c>
      <c r="D272" s="3" t="inlineStr">
        <is>
          <t>06186</t>
        </is>
      </c>
      <c r="E272" s="3" t="inlineStr">
        <is>
          <t>86</t>
        </is>
      </c>
      <c r="F272" s="3" t="inlineStr">
        <is>
          <t>G7.1, G7.2</t>
        </is>
      </c>
      <c r="G272" s="3" t="inlineStr">
        <is>
          <t>Tổng 2, Tổng 3, Tổng 4, Tổng 7, Tổng 8, Tổng 9</t>
        </is>
      </c>
      <c r="H272" s="3" t="inlineStr">
        <is>
          <t>0123456789</t>
        </is>
      </c>
      <c r="I272" s="3" t="inlineStr">
        <is>
          <t>Tổng 7-Bóng 2</t>
        </is>
      </c>
      <c r="J272" s="3" t="n">
        <v>60</v>
      </c>
      <c r="K272" s="6" t="inlineStr">
        <is>
          <t>TRÚNG N1 🎯</t>
        </is>
      </c>
      <c r="L272" s="3" t="inlineStr">
        <is>
          <t>07, 08, 16, 17, 18, 22, 26, 27, 48, 49, 62, 63, 67, 68, 71, 86, 89, 93, 94, 99</t>
        </is>
      </c>
      <c r="M272" s="6" t="inlineStr">
        <is>
          <t>TRÚNG HỎA LỰC 🎯</t>
        </is>
      </c>
      <c r="N272" s="6" t="inlineStr">
        <is>
          <t>TRÚNG N1 🎯</t>
        </is>
      </c>
      <c r="O27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73">
      <c r="A273" s="2" t="n">
        <v>19</v>
      </c>
      <c r="B273" s="2" t="inlineStr">
        <is>
          <t>Thứ ba ngày 20-01-2026</t>
        </is>
      </c>
      <c r="C273" s="3" t="inlineStr">
        <is>
          <t>Thứ Hai</t>
        </is>
      </c>
      <c r="D273" s="3" t="inlineStr">
        <is>
          <t>56878</t>
        </is>
      </c>
      <c r="E273" s="3" t="inlineStr">
        <is>
          <t>78</t>
        </is>
      </c>
      <c r="F273" s="3" t="inlineStr">
        <is>
          <t>G7.1, G7.2</t>
        </is>
      </c>
      <c r="G273" s="3" t="inlineStr">
        <is>
          <t>Tổng 0, Tổng 1, Tổng 5, Tổng 6</t>
        </is>
      </c>
      <c r="H273" s="3" t="inlineStr">
        <is>
          <t>02345789</t>
        </is>
      </c>
      <c r="I273" s="3" t="inlineStr">
        <is>
          <t>Tổng 5-Bóng 0</t>
        </is>
      </c>
      <c r="J273" s="3" t="n">
        <v>40</v>
      </c>
      <c r="K273" s="6" t="inlineStr">
        <is>
          <t>TRÚNG N1 🎯</t>
        </is>
      </c>
      <c r="L273" s="3" t="inlineStr">
        <is>
          <t>01, 05, 06, 15, 23, 24, 28, 38, 42, 46, 47, 51, 56, 60, 64, 78, 82, 88, 96, 97</t>
        </is>
      </c>
      <c r="M273" s="6" t="inlineStr">
        <is>
          <t>TRÚNG HỎA LỰC 🎯</t>
        </is>
      </c>
      <c r="N273" s="6" t="inlineStr">
        <is>
          <t>TRÚNG N1 🎯</t>
        </is>
      </c>
      <c r="O273" s="3" t="inlineStr">
        <is>
          <t>00, 01, 05, 06, 10, 14, 15, 19, 23, 24, 28, 29, 32, 33, 37, 38, 41, 42, 46, 47, 50, 51, 55, 56, 60, 64, 65, 69, 73, 74, 78, 79, 82, 83, 87, 88, 91, 92, 96, 97</t>
        </is>
      </c>
    </row>
    <row r="274">
      <c r="A274" s="2" t="n">
        <v>18</v>
      </c>
      <c r="B274" s="2" t="inlineStr">
        <is>
          <t>Thứ hai ngày 19-01-2026</t>
        </is>
      </c>
      <c r="C274" s="3" t="inlineStr">
        <is>
          <t>Chủ Nhật</t>
        </is>
      </c>
      <c r="D274" s="3" t="inlineStr">
        <is>
          <t>88286</t>
        </is>
      </c>
      <c r="E274" s="3" t="inlineStr">
        <is>
          <t>86</t>
        </is>
      </c>
      <c r="F274" s="3" t="inlineStr">
        <is>
          <t>G7.3, G7.1</t>
        </is>
      </c>
      <c r="G274" s="3" t="inlineStr">
        <is>
          <t>Tổng 2, Tổng 3, Tổng 4, Tổng 7, Tổng 8, Tổng 9</t>
        </is>
      </c>
      <c r="H274" s="3" t="inlineStr">
        <is>
          <t>01245679</t>
        </is>
      </c>
      <c r="I274" s="3" t="inlineStr">
        <is>
          <t>Tổng 4-Bóng 9</t>
        </is>
      </c>
      <c r="J274" s="3" t="n">
        <v>60</v>
      </c>
      <c r="K274" s="6" t="inlineStr">
        <is>
          <t>TRÚNG N1 🎯</t>
        </is>
      </c>
      <c r="L274" s="3" t="inlineStr">
        <is>
          <t>07, 08, 16, 17, 18, 22, 26, 27, 36, 48, 49, 62, 63, 67, 68, 71, 89, 93, 94, 99</t>
        </is>
      </c>
      <c r="M274" s="7" t="inlineStr">
        <is>
          <t>TRƯỢT ❌</t>
        </is>
      </c>
      <c r="N274" s="6" t="inlineStr">
        <is>
          <t>TRÚNG N1 🎯</t>
        </is>
      </c>
      <c r="O27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75">
      <c r="A275" s="2" t="n">
        <v>17</v>
      </c>
      <c r="B275" s="2" t="inlineStr">
        <is>
          <t>Chủ nhật ngày 18-01-2026</t>
        </is>
      </c>
      <c r="C275" s="3" t="inlineStr">
        <is>
          <t>Thứ Bảy</t>
        </is>
      </c>
      <c r="D275" s="3" t="inlineStr">
        <is>
          <t>17151</t>
        </is>
      </c>
      <c r="E275" s="3" t="inlineStr">
        <is>
          <t>51</t>
        </is>
      </c>
      <c r="F275" s="3" t="inlineStr">
        <is>
          <t>G7.4, G7.1</t>
        </is>
      </c>
      <c r="G275" s="3" t="inlineStr">
        <is>
          <t>Tổng 0, Tổng 4, Tổng 5, Tổng 9</t>
        </is>
      </c>
      <c r="H275" s="3" t="inlineStr">
        <is>
          <t>0123456789</t>
        </is>
      </c>
      <c r="I275" s="3" t="inlineStr">
        <is>
          <t>Tổng 9-Bóng 4</t>
        </is>
      </c>
      <c r="J275" s="3" t="n">
        <v>40</v>
      </c>
      <c r="K275" s="7" t="inlineStr">
        <is>
          <t>TRƯỢT ❌</t>
        </is>
      </c>
      <c r="L275" s="3" t="inlineStr">
        <is>
          <t>04, 05, 13, 18, 22, 23, 27, 28, 36, 40, 41, 46, 50, 63, 64, 68, 69, 78, 82, 96</t>
        </is>
      </c>
      <c r="M275" s="7" t="inlineStr">
        <is>
          <t>TRƯỢT ❌</t>
        </is>
      </c>
      <c r="N275" s="6" t="inlineStr">
        <is>
          <t>TRÚNG N2 🎯</t>
        </is>
      </c>
      <c r="O275" s="3" t="inlineStr">
        <is>
          <t>00, 04, 05, 09, 13, 14, 18, 19, 22, 23, 27, 28, 31, 32, 36, 37, 40, 41, 45, 46, 50, 54, 55, 59, 63, 64, 68, 69, 72, 73, 77, 78, 81, 82, 86, 87, 90, 91, 95, 96</t>
        </is>
      </c>
    </row>
    <row r="276">
      <c r="A276" s="2" t="n">
        <v>16</v>
      </c>
      <c r="B276" s="2" t="inlineStr">
        <is>
          <t>Thứ bảy ngày 17-01-2026</t>
        </is>
      </c>
      <c r="C276" s="3" t="inlineStr">
        <is>
          <t>Thứ Sáu</t>
        </is>
      </c>
      <c r="D276" s="3" t="inlineStr">
        <is>
          <t>09824</t>
        </is>
      </c>
      <c r="E276" s="3" t="inlineStr">
        <is>
          <t>24</t>
        </is>
      </c>
      <c r="F276" s="3" t="inlineStr">
        <is>
          <t>G7.2, G7.4</t>
        </is>
      </c>
      <c r="G276" s="3" t="inlineStr">
        <is>
          <t>Tổng 1, Tổng 4, Tổng 6, Tổng 9</t>
        </is>
      </c>
      <c r="H276" s="3" t="inlineStr">
        <is>
          <t>02345789</t>
        </is>
      </c>
      <c r="I276" s="3" t="inlineStr">
        <is>
          <t>Tổng 9-Bóng 4</t>
        </is>
      </c>
      <c r="J276" s="3" t="n">
        <v>40</v>
      </c>
      <c r="K276" s="6" t="inlineStr">
        <is>
          <t>TRÚNG N1 🎯</t>
        </is>
      </c>
      <c r="L276" s="3" t="inlineStr">
        <is>
          <t>01, 04, 06, 13, 15, 18, 22, 27, 36, 38, 40, 42, 47, 51, 56, 60, 63, 68, 88, 97</t>
        </is>
      </c>
      <c r="M276" s="7" t="inlineStr">
        <is>
          <t>TRƯỢT ❌</t>
        </is>
      </c>
      <c r="N276" s="6" t="inlineStr">
        <is>
          <t>TRÚNG N1 🎯</t>
        </is>
      </c>
      <c r="O276" s="3" t="inlineStr">
        <is>
          <t>01, 04, 06, 09, 10, 13, 15, 18, 22, 24, 27, 29, 31, 33, 36, 38, 40, 42, 45, 47, 51, 54, 56, 59, 60, 63, 65, 68, 72, 74, 77, 79, 81, 83, 86, 88, 90, 92, 95, 97</t>
        </is>
      </c>
    </row>
    <row r="277">
      <c r="A277" s="2" t="n">
        <v>15</v>
      </c>
      <c r="B277" s="2" t="inlineStr">
        <is>
          <t>Thứ sáu ngày 16-01-2026</t>
        </is>
      </c>
      <c r="C277" s="3" t="inlineStr">
        <is>
          <t>Thứ Năm</t>
        </is>
      </c>
      <c r="D277" s="3" t="inlineStr">
        <is>
          <t>90128</t>
        </is>
      </c>
      <c r="E277" s="3" t="inlineStr">
        <is>
          <t>28</t>
        </is>
      </c>
      <c r="F277" s="3" t="inlineStr">
        <is>
          <t>G7.4, G7.1</t>
        </is>
      </c>
      <c r="G277" s="3" t="inlineStr">
        <is>
          <t>Tổng 3, Tổng 8</t>
        </is>
      </c>
      <c r="H277" s="3" t="inlineStr">
        <is>
          <t>01245679</t>
        </is>
      </c>
      <c r="I277" s="3" t="inlineStr">
        <is>
          <t>Tổng 3-Bóng 8</t>
        </is>
      </c>
      <c r="J277" s="3" t="n">
        <v>20</v>
      </c>
      <c r="K277" s="7" t="inlineStr">
        <is>
          <t>TRƯỢT ❌</t>
        </is>
      </c>
      <c r="L277" s="3" t="inlineStr">
        <is>
          <t>03, 08, 12, 17, 21, 26, 30, 35, 44, 49, 53, 58, 62, 67, 71, 76, 80, 85, 94, 99</t>
        </is>
      </c>
      <c r="M277" s="7" t="inlineStr">
        <is>
          <t>TRƯỢT ❌</t>
        </is>
      </c>
      <c r="N277" s="7" t="inlineStr">
        <is>
          <t>TRƯỢT KHUNG ❌</t>
        </is>
      </c>
      <c r="O277" s="3" t="inlineStr">
        <is>
          <t>03, 08, 12, 17, 21, 26, 30, 35, 44, 49, 53, 58, 62, 67, 71, 76, 80, 85, 94, 99</t>
        </is>
      </c>
    </row>
    <row r="278">
      <c r="A278" s="2" t="n">
        <v>14</v>
      </c>
      <c r="B278" s="2" t="inlineStr">
        <is>
          <t>Thứ năm ngày 15-01-2026</t>
        </is>
      </c>
      <c r="C278" s="3" t="inlineStr">
        <is>
          <t>Thứ Tư</t>
        </is>
      </c>
      <c r="D278" s="3" t="inlineStr">
        <is>
          <t>84522</t>
        </is>
      </c>
      <c r="E278" s="3" t="inlineStr">
        <is>
          <t>22</t>
        </is>
      </c>
      <c r="F278" s="3" t="inlineStr">
        <is>
          <t>G7.1, G7.2</t>
        </is>
      </c>
      <c r="G278" s="3" t="inlineStr">
        <is>
          <t>Tổng 1, Tổng 3, Tổng 6, Tổng 8</t>
        </is>
      </c>
      <c r="H278" s="3" t="inlineStr">
        <is>
          <t>01245679</t>
        </is>
      </c>
      <c r="I278" s="3" t="inlineStr">
        <is>
          <t>Tổng 6-Bóng 1</t>
        </is>
      </c>
      <c r="J278" s="3" t="n">
        <v>36</v>
      </c>
      <c r="K278" s="7" t="inlineStr">
        <is>
          <t>TRƯỢT ❌</t>
        </is>
      </c>
      <c r="L278" s="3" t="inlineStr">
        <is>
          <t>01, 03, 06, 08, 10, 15, 17, 26, 42, 47, 49, 51, 56, 60, 62, 67, 71, 94, 97, 99</t>
        </is>
      </c>
      <c r="M278" s="7" t="inlineStr">
        <is>
          <t>TRƯỢT ❌</t>
        </is>
      </c>
      <c r="N278" s="6" t="inlineStr">
        <is>
          <t>TRÚNG N3 🎯</t>
        </is>
      </c>
      <c r="O278" s="3" t="inlineStr">
        <is>
          <t>01, 03, 06, 08, 10, 12, 15, 17, 21, 24, 26, 29, 30, 35, 42, 44, 47, 49, 51, 53, 56, 58, 60, 62, 65, 67, 71, 74, 76, 79, 80, 85, 92, 94, 97, 99</t>
        </is>
      </c>
    </row>
    <row r="279">
      <c r="A279" s="2" t="n">
        <v>13</v>
      </c>
      <c r="B279" s="2" t="inlineStr">
        <is>
          <t>Thứ tư ngày 14-01-2026</t>
        </is>
      </c>
      <c r="C279" s="3" t="inlineStr">
        <is>
          <t>Thứ Ba</t>
        </is>
      </c>
      <c r="D279" s="3" t="inlineStr">
        <is>
          <t>02817</t>
        </is>
      </c>
      <c r="E279" s="3" t="inlineStr">
        <is>
          <t>17</t>
        </is>
      </c>
      <c r="F279" s="3" t="inlineStr">
        <is>
          <t>G7.1, G7.2</t>
        </is>
      </c>
      <c r="G279" s="3" t="inlineStr">
        <is>
          <t>Tổng 0, Tổng 1, Tổng 4, Tổng 5, Tổng 6, Tổng 9</t>
        </is>
      </c>
      <c r="H279" s="3" t="inlineStr">
        <is>
          <t>0123456789</t>
        </is>
      </c>
      <c r="I279" s="3" t="inlineStr">
        <is>
          <t>Tổng 4-Bóng 9</t>
        </is>
      </c>
      <c r="J279" s="3" t="n">
        <v>60</v>
      </c>
      <c r="K279" s="7" t="inlineStr">
        <is>
          <t>TRƯỢT ❌</t>
        </is>
      </c>
      <c r="L279" s="3" t="inlineStr">
        <is>
          <t>04, 05, 15, 18, 23, 27, 28, 36, 38, 40, 42, 46, 47, 51, 60, 63, 64, 68, 96, 97</t>
        </is>
      </c>
      <c r="M279" s="7" t="inlineStr">
        <is>
          <t>TRƯỢT ❌</t>
        </is>
      </c>
      <c r="N279" s="6" t="inlineStr">
        <is>
          <t>TRÚNG N2 🎯</t>
        </is>
      </c>
      <c r="O2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80">
      <c r="A280" s="2" t="n">
        <v>12</v>
      </c>
      <c r="B280" s="2" t="inlineStr">
        <is>
          <t>Thứ ba ngày 13-01-2026</t>
        </is>
      </c>
      <c r="C280" s="3" t="inlineStr">
        <is>
          <t>Thứ Hai</t>
        </is>
      </c>
      <c r="D280" s="3" t="inlineStr">
        <is>
          <t>28027</t>
        </is>
      </c>
      <c r="E280" s="3" t="inlineStr">
        <is>
          <t>27</t>
        </is>
      </c>
      <c r="F280" s="3" t="inlineStr">
        <is>
          <t>G7.1, G7.2</t>
        </is>
      </c>
      <c r="G280" s="3" t="inlineStr">
        <is>
          <t>Tổng 0, Tổng 2, Tổng 4, Tổng 5, Tổng 7, Tổng 9</t>
        </is>
      </c>
      <c r="H280" s="3" t="inlineStr">
        <is>
          <t>0123456789</t>
        </is>
      </c>
      <c r="I280" s="3" t="inlineStr">
        <is>
          <t>Tổng 5-Bóng 0</t>
        </is>
      </c>
      <c r="J280" s="3" t="n">
        <v>60</v>
      </c>
      <c r="K280" s="6" t="inlineStr">
        <is>
          <t>TRÚNG N1 🎯</t>
        </is>
      </c>
      <c r="L280" s="3" t="inlineStr">
        <is>
          <t>04, 05, 07, 16, 18, 23, 27, 28, 36, 39, 40, 46, 48, 52, 63, 64, 68, 89, 93, 96</t>
        </is>
      </c>
      <c r="M280" s="6" t="inlineStr">
        <is>
          <t>TRÚNG HỎA LỰC 🎯</t>
        </is>
      </c>
      <c r="N280" s="6" t="inlineStr">
        <is>
          <t>TRÚNG N1 🎯</t>
        </is>
      </c>
      <c r="O28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81">
      <c r="A281" s="2" t="n">
        <v>11</v>
      </c>
      <c r="B281" s="2" t="inlineStr">
        <is>
          <t>Thứ hai ngày 12-01-2026</t>
        </is>
      </c>
      <c r="C281" s="3" t="inlineStr">
        <is>
          <t>Chủ Nhật</t>
        </is>
      </c>
      <c r="D281" s="3" t="inlineStr">
        <is>
          <t>31894</t>
        </is>
      </c>
      <c r="E281" s="3" t="inlineStr">
        <is>
          <t>94</t>
        </is>
      </c>
      <c r="F281" s="3" t="inlineStr">
        <is>
          <t>G7.1, G7.2</t>
        </is>
      </c>
      <c r="G281" s="3" t="inlineStr">
        <is>
          <t>Tổng 0, Tổng 2, Tổng 4, Tổng 5, Tổng 7, Tổng 9</t>
        </is>
      </c>
      <c r="H281" s="3" t="inlineStr">
        <is>
          <t>0123456789</t>
        </is>
      </c>
      <c r="I281" s="3" t="inlineStr">
        <is>
          <t>Tổng 0-Bóng 5</t>
        </is>
      </c>
      <c r="J281" s="3" t="n">
        <v>60</v>
      </c>
      <c r="K281" s="7" t="inlineStr">
        <is>
          <t>TRƯỢT ❌</t>
        </is>
      </c>
      <c r="L281" s="3" t="inlineStr">
        <is>
          <t>04, 05, 07, 16, 18, 23, 27, 28, 36, 39, 40, 46, 48, 52, 63, 64, 68, 89, 93, 96</t>
        </is>
      </c>
      <c r="M281" s="7" t="inlineStr">
        <is>
          <t>TRƯỢT ❌</t>
        </is>
      </c>
      <c r="N281" s="6" t="inlineStr">
        <is>
          <t>TRÚNG N2 🎯</t>
        </is>
      </c>
      <c r="O2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82">
      <c r="A282" s="2" t="n">
        <v>10</v>
      </c>
      <c r="B282" s="2" t="inlineStr">
        <is>
          <t>Chủ nhật ngày 11-01-2026</t>
        </is>
      </c>
      <c r="C282" s="3" t="inlineStr">
        <is>
          <t>Thứ Bảy</t>
        </is>
      </c>
      <c r="D282" s="3" t="inlineStr">
        <is>
          <t>82438</t>
        </is>
      </c>
      <c r="E282" s="3" t="inlineStr">
        <is>
          <t>38</t>
        </is>
      </c>
      <c r="F282" s="3" t="inlineStr">
        <is>
          <t>G7.4, G7.1</t>
        </is>
      </c>
      <c r="G282" s="3" t="inlineStr">
        <is>
          <t>Tổng 0, Tổng 2, Tổng 4, Tổng 5, Tổng 7, Tổng 9</t>
        </is>
      </c>
      <c r="H282" s="3" t="inlineStr">
        <is>
          <t>0123456789</t>
        </is>
      </c>
      <c r="I282" s="3" t="inlineStr">
        <is>
          <t>Tổng 0-Bóng 5</t>
        </is>
      </c>
      <c r="J282" s="3" t="n">
        <v>60</v>
      </c>
      <c r="K282" s="7" t="inlineStr">
        <is>
          <t>TRƯỢT ❌</t>
        </is>
      </c>
      <c r="L282" s="3" t="inlineStr">
        <is>
          <t>04, 05, 07, 16, 18, 23, 27, 28, 36, 39, 40, 46, 48, 52, 63, 64, 68, 89, 93, 96</t>
        </is>
      </c>
      <c r="M282" s="7" t="inlineStr">
        <is>
          <t>TRƯỢT ❌</t>
        </is>
      </c>
      <c r="N282" s="6" t="inlineStr">
        <is>
          <t>TRÚNG N3 🎯</t>
        </is>
      </c>
      <c r="O28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83">
      <c r="A283" s="2" t="n">
        <v>9</v>
      </c>
      <c r="B283" s="2" t="inlineStr">
        <is>
          <t>Thứ bảy ngày 10-01-2026</t>
        </is>
      </c>
      <c r="C283" s="3" t="inlineStr">
        <is>
          <t>Thứ Sáu</t>
        </is>
      </c>
      <c r="D283" s="3" t="inlineStr">
        <is>
          <t>67793</t>
        </is>
      </c>
      <c r="E283" s="3" t="inlineStr">
        <is>
          <t>93</t>
        </is>
      </c>
      <c r="F283" s="3" t="inlineStr">
        <is>
          <t>G7.1, G7.2</t>
        </is>
      </c>
      <c r="G283" s="3" t="inlineStr">
        <is>
          <t>Tổng 0, Tổng 1, Tổng 5, Tổng 6</t>
        </is>
      </c>
      <c r="H283" s="3" t="inlineStr">
        <is>
          <t>0123456789</t>
        </is>
      </c>
      <c r="I283" s="3" t="inlineStr">
        <is>
          <t>Tổng 0-Bóng 5</t>
        </is>
      </c>
      <c r="J283" s="3" t="n">
        <v>40</v>
      </c>
      <c r="K283" s="7" t="inlineStr">
        <is>
          <t>TRƯỢT ❌</t>
        </is>
      </c>
      <c r="L283" s="3" t="inlineStr">
        <is>
          <t>01, 05, 06, 15, 23, 28, 41, 42, 46, 47, 50, 51, 56, 60, 64, 78, 82, 88, 96, 97</t>
        </is>
      </c>
      <c r="M283" s="7" t="inlineStr">
        <is>
          <t>TRƯỢT ❌</t>
        </is>
      </c>
      <c r="N283" s="6" t="inlineStr">
        <is>
          <t>TRÚNG N2 🎯</t>
        </is>
      </c>
      <c r="O283" s="3" t="inlineStr">
        <is>
          <t>00, 01, 05, 06, 10, 14, 15, 19, 23, 24, 28, 29, 32, 33, 37, 38, 41, 42, 46, 47, 50, 51, 55, 56, 60, 64, 65, 69, 73, 74, 78, 79, 82, 83, 87, 88, 91, 92, 96, 97</t>
        </is>
      </c>
    </row>
    <row r="284">
      <c r="A284" s="2" t="n">
        <v>8</v>
      </c>
      <c r="B284" s="2" t="inlineStr">
        <is>
          <t>Thứ sáu ngày 09-01-2026</t>
        </is>
      </c>
      <c r="C284" s="3" t="inlineStr">
        <is>
          <t>Thứ Năm</t>
        </is>
      </c>
      <c r="D284" s="3" t="inlineStr">
        <is>
          <t>39523</t>
        </is>
      </c>
      <c r="E284" s="3" t="inlineStr">
        <is>
          <t>23</t>
        </is>
      </c>
      <c r="F284" s="3" t="inlineStr">
        <is>
          <t>G7.4, G7.1</t>
        </is>
      </c>
      <c r="G284" s="3" t="inlineStr">
        <is>
          <t>Tổng 3, Tổng 4, Tổng 8, Tổng 9</t>
        </is>
      </c>
      <c r="H284" s="3" t="inlineStr">
        <is>
          <t>0123456789</t>
        </is>
      </c>
      <c r="I284" s="3" t="inlineStr">
        <is>
          <t>Tổng 8-Bóng 3</t>
        </is>
      </c>
      <c r="J284" s="3" t="n">
        <v>40</v>
      </c>
      <c r="K284" s="7" t="inlineStr">
        <is>
          <t>TRƯỢT ❌</t>
        </is>
      </c>
      <c r="L284" s="3" t="inlineStr">
        <is>
          <t>03, 04, 08, 13, 17, 18, 26, 27, 31, 36, 40, 49, 62, 63, 67, 68, 71, 80, 90, 99</t>
        </is>
      </c>
      <c r="M284" s="7" t="inlineStr">
        <is>
          <t>TRƯỢT ❌</t>
        </is>
      </c>
      <c r="N284" s="7" t="inlineStr">
        <is>
          <t>TRƯỢT KHUNG ❌</t>
        </is>
      </c>
      <c r="O284" s="3" t="inlineStr">
        <is>
          <t>03, 04, 08, 09, 12, 13, 17, 18, 21, 22, 26, 27, 30, 31, 35, 36, 40, 44, 45, 49, 53, 54, 58, 59, 62, 63, 67, 68, 71, 72, 76, 77, 80, 81, 85, 86, 90, 94, 95, 99</t>
        </is>
      </c>
    </row>
    <row r="285">
      <c r="A285" s="2" t="n">
        <v>7</v>
      </c>
      <c r="B285" s="2" t="inlineStr">
        <is>
          <t>Thứ năm ngày 08-01-2026</t>
        </is>
      </c>
      <c r="C285" s="3" t="inlineStr">
        <is>
          <t>Thứ Tư</t>
        </is>
      </c>
      <c r="D285" s="3" t="inlineStr">
        <is>
          <t>40162</t>
        </is>
      </c>
      <c r="E285" s="3" t="inlineStr">
        <is>
          <t>62</t>
        </is>
      </c>
      <c r="F285" s="3" t="inlineStr">
        <is>
          <t>G7.1, G7.2</t>
        </is>
      </c>
      <c r="G285" s="3" t="inlineStr">
        <is>
          <t>Tổng 0, Tổng 2, Tổng 5, Tổng 7</t>
        </is>
      </c>
      <c r="H285" s="3" t="inlineStr">
        <is>
          <t>0123456789</t>
        </is>
      </c>
      <c r="I285" s="3" t="inlineStr">
        <is>
          <t>Tổng 0-Bóng 5</t>
        </is>
      </c>
      <c r="J285" s="3" t="n">
        <v>40</v>
      </c>
      <c r="K285" s="7" t="inlineStr">
        <is>
          <t>TRƯỢT ❌</t>
        </is>
      </c>
      <c r="L285" s="3" t="inlineStr">
        <is>
          <t>05, 07, 16, 28, 34, 39, 41, 46, 48, 50, 52, 61, 64, 66, 69, 78, 82, 89, 93, 96</t>
        </is>
      </c>
      <c r="M285" s="7" t="inlineStr">
        <is>
          <t>TRƯỢT ❌</t>
        </is>
      </c>
      <c r="N285" s="6" t="inlineStr">
        <is>
          <t>TRÚNG N2 🎯</t>
        </is>
      </c>
      <c r="O285" s="3" t="inlineStr">
        <is>
          <t>00, 02, 05, 07, 11, 14, 16, 19, 20, 23, 25, 28, 32, 34, 37, 39, 41, 43, 46, 48, 50, 52, 55, 57, 61, 64, 66, 69, 70, 73, 75, 78, 82, 84, 87, 89, 91, 93, 96, 98</t>
        </is>
      </c>
    </row>
    <row r="286">
      <c r="A286" s="2" t="n">
        <v>6</v>
      </c>
      <c r="B286" s="2" t="inlineStr">
        <is>
          <t>Thứ tư ngày 07-01-2026</t>
        </is>
      </c>
      <c r="C286" s="3" t="inlineStr">
        <is>
          <t>Thứ Ba</t>
        </is>
      </c>
      <c r="D286" s="3" t="inlineStr">
        <is>
          <t>14389</t>
        </is>
      </c>
      <c r="E286" s="3" t="inlineStr">
        <is>
          <t>89</t>
        </is>
      </c>
      <c r="F286" s="3" t="inlineStr">
        <is>
          <t>G7.1, G7.2</t>
        </is>
      </c>
      <c r="G286" s="3" t="inlineStr">
        <is>
          <t>Tổng 0, Tổng 1, Tổng 2, Tổng 5, Tổng 6, Tổng 7</t>
        </is>
      </c>
      <c r="H286" s="3" t="inlineStr">
        <is>
          <t>012567</t>
        </is>
      </c>
      <c r="I286" s="3" t="inlineStr">
        <is>
          <t>Tổng 7-Bóng 2</t>
        </is>
      </c>
      <c r="J286" s="3" t="n">
        <v>48</v>
      </c>
      <c r="K286" s="7" t="inlineStr">
        <is>
          <t>TRƯỢT ❌</t>
        </is>
      </c>
      <c r="L286" s="3" t="inlineStr">
        <is>
          <t>01, 05, 06, 07, 15, 16, 28, 42, 46, 47, 50, 51, 52, 56, 60, 64, 78, 82, 96, 97</t>
        </is>
      </c>
      <c r="M286" s="7" t="inlineStr">
        <is>
          <t>TRƯỢT ❌</t>
        </is>
      </c>
      <c r="N286" s="6" t="inlineStr">
        <is>
          <t>TRÚNG N3 🎯</t>
        </is>
      </c>
      <c r="O286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87">
      <c r="A287" s="2" t="n">
        <v>5</v>
      </c>
      <c r="B287" s="2" t="inlineStr">
        <is>
          <t>Thứ ba ngày 06-01-2026</t>
        </is>
      </c>
      <c r="C287" s="3" t="inlineStr">
        <is>
          <t>Thứ Hai</t>
        </is>
      </c>
      <c r="D287" s="3" t="inlineStr">
        <is>
          <t>78447</t>
        </is>
      </c>
      <c r="E287" s="3" t="inlineStr">
        <is>
          <t>47</t>
        </is>
      </c>
      <c r="F287" s="3" t="inlineStr">
        <is>
          <t>G7.1, G7.2</t>
        </is>
      </c>
      <c r="G287" s="3" t="inlineStr">
        <is>
          <t>Tổng 1, Tổng 2, Tổng 6, Tổng 7</t>
        </is>
      </c>
      <c r="H287" s="3" t="inlineStr">
        <is>
          <t>0123456789</t>
        </is>
      </c>
      <c r="I287" s="3" t="inlineStr">
        <is>
          <t>Tổng 1-Bóng 6</t>
        </is>
      </c>
      <c r="J287" s="3" t="n">
        <v>40</v>
      </c>
      <c r="K287" s="6" t="inlineStr">
        <is>
          <t>TRÚNG N1 🎯</t>
        </is>
      </c>
      <c r="L287" s="3" t="inlineStr">
        <is>
          <t>01, 06, 07, 15, 16, 34, 39, 42, 48, 51, 52, 56, 60, 61, 66, 70, 88, 89, 93, 97</t>
        </is>
      </c>
      <c r="M287" s="7" t="inlineStr">
        <is>
          <t>TRƯỢT ❌</t>
        </is>
      </c>
      <c r="N287" s="6" t="inlineStr">
        <is>
          <t>TRÚNG N1 🎯</t>
        </is>
      </c>
      <c r="O287" s="3" t="inlineStr">
        <is>
          <t>01, 02, 06, 07, 10, 11, 15, 16, 20, 24, 25, 29, 33, 34, 38, 39, 42, 43, 47, 48, 51, 52, 56, 57, 60, 61, 65, 66, 70, 74, 75, 79, 83, 84, 88, 89, 92, 93, 97, 98</t>
        </is>
      </c>
    </row>
    <row r="288">
      <c r="A288" s="2" t="n">
        <v>4</v>
      </c>
      <c r="B288" s="2" t="inlineStr">
        <is>
          <t>Thứ hai ngày 05-01-2026</t>
        </is>
      </c>
      <c r="C288" s="3" t="inlineStr">
        <is>
          <t>Chủ Nhật</t>
        </is>
      </c>
      <c r="D288" s="3" t="inlineStr">
        <is>
          <t>70505</t>
        </is>
      </c>
      <c r="E288" s="3" t="inlineStr">
        <is>
          <t>05</t>
        </is>
      </c>
      <c r="F288" s="3" t="inlineStr">
        <is>
          <t>G7.1, G7.2</t>
        </is>
      </c>
      <c r="G288" s="3" t="inlineStr">
        <is>
          <t>Tổng 1, Tổng 2, Tổng 4, Tổng 6, Tổng 7, Tổng 9</t>
        </is>
      </c>
      <c r="H288" s="3" t="inlineStr">
        <is>
          <t>0123456789</t>
        </is>
      </c>
      <c r="I288" s="3" t="inlineStr">
        <is>
          <t>Tổng 1-Bóng 6</t>
        </is>
      </c>
      <c r="J288" s="3" t="n">
        <v>60</v>
      </c>
      <c r="K288" s="7" t="inlineStr">
        <is>
          <t>TRƯỢT ❌</t>
        </is>
      </c>
      <c r="L288" s="3" t="inlineStr">
        <is>
          <t>04, 07, 13, 15, 16, 18, 27, 36, 39, 40, 42, 48, 51, 52, 60, 63, 68, 88, 93, 97</t>
        </is>
      </c>
      <c r="M288" s="7" t="inlineStr">
        <is>
          <t>TRƯỢT ❌</t>
        </is>
      </c>
      <c r="N288" s="6" t="inlineStr">
        <is>
          <t>TRÚNG N2 🎯</t>
        </is>
      </c>
      <c r="O28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89">
      <c r="A289" s="2" t="n">
        <v>3</v>
      </c>
      <c r="B289" s="2" t="inlineStr">
        <is>
          <t>Chủ nhật ngày 04-01-2026</t>
        </is>
      </c>
      <c r="C289" s="3" t="inlineStr">
        <is>
          <t>Thứ Bảy</t>
        </is>
      </c>
      <c r="D289" s="3" t="inlineStr">
        <is>
          <t>72397</t>
        </is>
      </c>
      <c r="E289" s="3" t="inlineStr">
        <is>
          <t>97</t>
        </is>
      </c>
      <c r="F289" s="3" t="inlineStr">
        <is>
          <t>G7.1, G7.2</t>
        </is>
      </c>
      <c r="G289" s="3" t="inlineStr">
        <is>
          <t>Tổng 0, Tổng 1, Tổng 2, Tổng 5, Tổng 6, Tổng 7</t>
        </is>
      </c>
      <c r="H289" s="3" t="inlineStr">
        <is>
          <t>12346789</t>
        </is>
      </c>
      <c r="I289" s="3" t="inlineStr">
        <is>
          <t>Tổng 2-Bóng 7</t>
        </is>
      </c>
      <c r="J289" s="3" t="n">
        <v>56</v>
      </c>
      <c r="K289" s="6" t="inlineStr">
        <is>
          <t>TRÚNG N1 🎯</t>
        </is>
      </c>
      <c r="L289" s="3" t="inlineStr">
        <is>
          <t>06, 07, 15, 16, 28, 39, 42, 46, 48, 51, 52, 56, 60, 64, 78, 82, 88, 93, 96, 97</t>
        </is>
      </c>
      <c r="M289" s="6" t="inlineStr">
        <is>
          <t>TRÚNG HỎA LỰC 🎯</t>
        </is>
      </c>
      <c r="N289" s="6" t="inlineStr">
        <is>
          <t>TRÚNG N1 🎯</t>
        </is>
      </c>
      <c r="O289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90">
      <c r="A290" s="2" t="n">
        <v>2</v>
      </c>
      <c r="B290" s="2" t="inlineStr">
        <is>
          <t>Thứ bảy ngày 03-01-2026</t>
        </is>
      </c>
      <c r="C290" s="3" t="inlineStr">
        <is>
          <t>Thứ Sáu</t>
        </is>
      </c>
      <c r="D290" s="3" t="inlineStr">
        <is>
          <t>00949</t>
        </is>
      </c>
      <c r="E290" s="3" t="inlineStr">
        <is>
          <t>49</t>
        </is>
      </c>
      <c r="F290" s="3" t="inlineStr">
        <is>
          <t>G7.1, G7.2</t>
        </is>
      </c>
      <c r="G290" s="3" t="inlineStr">
        <is>
          <t>Tổng 1, Tổng 4, Tổng 6, Tổng 9</t>
        </is>
      </c>
      <c r="H290" s="3" t="inlineStr">
        <is>
          <t>234789</t>
        </is>
      </c>
      <c r="I290" s="3" t="inlineStr">
        <is>
          <t>Tổng 4-Bóng 9</t>
        </is>
      </c>
      <c r="J290" s="3" t="n">
        <v>32</v>
      </c>
      <c r="K290" s="7" t="inlineStr">
        <is>
          <t>TRƯỢT ❌</t>
        </is>
      </c>
      <c r="L290" s="3" t="inlineStr">
        <is>
          <t>04, 13, 18, 27, 31, 36, 40, 42, 47, 54, 63, 68, 74, 79, 81, 88, 90, 92, 95, 97</t>
        </is>
      </c>
      <c r="M290" s="7" t="inlineStr">
        <is>
          <t>TRƯỢT ❌</t>
        </is>
      </c>
      <c r="N290" s="6" t="inlineStr">
        <is>
          <t>TRÚNG N2 🎯</t>
        </is>
      </c>
      <c r="O290" s="3" t="inlineStr">
        <is>
          <t>04, 09, 13, 18, 22, 24, 27, 29, 31, 33, 36, 38, 40, 42, 45, 47, 54, 59, 63, 68, 72, 74, 77, 79, 81, 83, 86, 88, 90, 92, 95, 97</t>
        </is>
      </c>
    </row>
    <row r="291">
      <c r="A291" s="2" t="n">
        <v>1</v>
      </c>
      <c r="B291" s="2" t="inlineStr">
        <is>
          <t>Thứ sáu ngày 02-01-2026</t>
        </is>
      </c>
      <c r="C291" s="3" t="inlineStr">
        <is>
          <t>Thứ Năm</t>
        </is>
      </c>
      <c r="D291" s="3" t="inlineStr">
        <is>
          <t>45748</t>
        </is>
      </c>
      <c r="E291" s="3" t="inlineStr">
        <is>
          <t>48</t>
        </is>
      </c>
      <c r="F291" s="3" t="inlineStr">
        <is>
          <t>G7.1, G7.2</t>
        </is>
      </c>
      <c r="G291" s="3" t="inlineStr">
        <is>
          <t>Tổng 0, Tổng 1, Tổng 2, Tổng 5, Tổng 6, Tổng 7</t>
        </is>
      </c>
      <c r="H291" s="3" t="inlineStr">
        <is>
          <t>01245679</t>
        </is>
      </c>
      <c r="I291" s="3" t="inlineStr">
        <is>
          <t>Tổng 6-Bóng 1</t>
        </is>
      </c>
      <c r="J291" s="3" t="n">
        <v>56</v>
      </c>
      <c r="K291" s="6" t="inlineStr">
        <is>
          <t>TRÚNG N1 🎯</t>
        </is>
      </c>
      <c r="L291" s="3" t="inlineStr">
        <is>
          <t>01, 05, 06, 07, 15, 16, 28, 39, 42, 46, 51, 52, 56, 60, 64, 78, 82, 93, 96, 97</t>
        </is>
      </c>
      <c r="M291" s="7" t="inlineStr">
        <is>
          <t>TRƯỢT ❌</t>
        </is>
      </c>
      <c r="N291" s="6" t="inlineStr">
        <is>
          <t>TRÚNG N1 🎯</t>
        </is>
      </c>
      <c r="O291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22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Song Thủ Lô Cầu Ghép Góc (Móc Ghép G7.1 + G7.4)</t>
        </is>
      </c>
      <c r="B2" s="2" t="inlineStr">
        <is>
          <t>Ghép G7.1[0] và G7.4[1] -&gt; Cặp Lô 48 - 84</t>
        </is>
      </c>
      <c r="C2" s="3" t="inlineStr">
        <is>
          <t>108 lần (135 nháy)</t>
        </is>
      </c>
      <c r="D2" s="3" t="inlineStr">
        <is>
          <t>37.37%</t>
        </is>
      </c>
      <c r="E2" s="3" t="inlineStr">
        <is>
          <t>Cầu Lô Móc Chung cực chuẩn, xuất hiện nháy đều đặn</t>
        </is>
      </c>
    </row>
    <row r="3">
      <c r="A3" s="2" t="inlineStr">
        <is>
          <t>Cầu Ghép Góc Đề (Head 7.1 + Tail 7.4)</t>
        </is>
      </c>
      <c r="B3" s="2" t="inlineStr">
        <is>
          <t>Tổng (G7.1[0] + G7.4[1]) mod 10 &amp; Bóng</t>
        </is>
      </c>
      <c r="C3" s="3" t="inlineStr">
        <is>
          <t>96 lần</t>
        </is>
      </c>
      <c r="D3" s="3" t="inlineStr">
        <is>
          <t>42.67%</t>
        </is>
      </c>
      <c r="E3" s="3" t="inlineStr">
        <is>
          <t>Độc lập với G7 đơn, nổ cực mạnh Thứ 2 (50%) &amp; Thứ 7 (48.5%)</t>
        </is>
      </c>
    </row>
    <row r="4">
      <c r="A4" s="2" t="inlineStr">
        <is>
          <t>Tích Hợp Chạm G7 Ngày</t>
        </is>
      </c>
      <c r="B4" s="2" t="inlineStr">
        <is>
          <t>Bắt chữ số G7.1-G7.4 + Bóng dương</t>
        </is>
      </c>
      <c r="C4" s="3" t="inlineStr">
        <is>
          <t>189 lần</t>
        </is>
      </c>
      <c r="D4" s="3" t="inlineStr">
        <is>
          <t>84.70%</t>
        </is>
      </c>
      <c r="E4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42</t>
        </is>
      </c>
      <c r="C2" s="3" t="inlineStr">
        <is>
          <t>Tổng 6</t>
        </is>
      </c>
      <c r="D2" s="3" t="inlineStr">
        <is>
          <t>3 ngày</t>
        </is>
      </c>
      <c r="E2" s="3" t="inlineStr">
        <is>
          <t>31.0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38</t>
        </is>
      </c>
      <c r="C3" s="3" t="inlineStr">
        <is>
          <t>Tổng 1</t>
        </is>
      </c>
      <c r="D3" s="3" t="inlineStr">
        <is>
          <t>4 ngày</t>
        </is>
      </c>
      <c r="E3" s="3" t="inlineStr">
        <is>
          <t>28.5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66</t>
        </is>
      </c>
      <c r="C4" s="3" t="inlineStr">
        <is>
          <t>Tổng 2</t>
        </is>
      </c>
      <c r="D4" s="3" t="inlineStr">
        <is>
          <t>6 ngày</t>
        </is>
      </c>
      <c r="E4" s="3" t="inlineStr">
        <is>
          <t>24.5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51</t>
        </is>
      </c>
      <c r="C5" s="3" t="inlineStr">
        <is>
          <t>Tổng 6</t>
        </is>
      </c>
      <c r="D5" s="3" t="inlineStr">
        <is>
          <t>17 ngày</t>
        </is>
      </c>
      <c r="E5" s="3" t="inlineStr">
        <is>
          <t>22.0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56</t>
        </is>
      </c>
      <c r="C6" s="3" t="inlineStr">
        <is>
          <t>Tổng 1</t>
        </is>
      </c>
      <c r="D6" s="3" t="inlineStr">
        <is>
          <t>5 ngày</t>
        </is>
      </c>
      <c r="E6" s="3" t="inlineStr">
        <is>
          <t>21.5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61</t>
        </is>
      </c>
      <c r="C7" s="3" t="inlineStr">
        <is>
          <t>Tổng 7</t>
        </is>
      </c>
      <c r="D7" s="3" t="inlineStr">
        <is>
          <t>18 ngày</t>
        </is>
      </c>
      <c r="E7" s="3" t="inlineStr">
        <is>
          <t>15.5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35</t>
        </is>
      </c>
      <c r="C8" s="3" t="inlineStr">
        <is>
          <t>Tổng 8</t>
        </is>
      </c>
      <c r="D8" s="3" t="inlineStr">
        <is>
          <t>12 ngày</t>
        </is>
      </c>
      <c r="E8" s="3" t="inlineStr">
        <is>
          <t>15.5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83</t>
        </is>
      </c>
      <c r="C9" s="3" t="inlineStr">
        <is>
          <t>Tổng 1</t>
        </is>
      </c>
      <c r="D9" s="3" t="inlineStr">
        <is>
          <t>19 ngày</t>
        </is>
      </c>
      <c r="E9" s="3" t="inlineStr">
        <is>
          <t>14.5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39</t>
        </is>
      </c>
      <c r="C10" s="3" t="inlineStr">
        <is>
          <t>Tổng 2</t>
        </is>
      </c>
      <c r="D10" s="3" t="inlineStr">
        <is>
          <t>13 ngày</t>
        </is>
      </c>
      <c r="E10" s="3" t="inlineStr">
        <is>
          <t>13.5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08</t>
        </is>
      </c>
      <c r="C11" s="3" t="inlineStr">
        <is>
          <t>Tổng 8</t>
        </is>
      </c>
      <c r="D11" s="3" t="inlineStr">
        <is>
          <t>20 ngày</t>
        </is>
      </c>
      <c r="E11" s="3" t="inlineStr">
        <is>
          <t>12.5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88</t>
        </is>
      </c>
      <c r="C12" s="3" t="inlineStr">
        <is>
          <t>Tổng 6</t>
        </is>
      </c>
      <c r="D12" s="3" t="inlineStr">
        <is>
          <t>14 ngày</t>
        </is>
      </c>
      <c r="E12" s="3" t="inlineStr">
        <is>
          <t>12.5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53</t>
        </is>
      </c>
      <c r="C13" s="3" t="inlineStr">
        <is>
          <t>Tổng 8</t>
        </is>
      </c>
      <c r="D13" s="3" t="inlineStr">
        <is>
          <t>11 ngày</t>
        </is>
      </c>
      <c r="E13" s="3" t="inlineStr">
        <is>
          <t>12.5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44</t>
        </is>
      </c>
      <c r="C14" s="3" t="inlineStr">
        <is>
          <t>Tổng 8</t>
        </is>
      </c>
      <c r="D14" s="3" t="inlineStr">
        <is>
          <t>35 ngày</t>
        </is>
      </c>
      <c r="E14" s="3" t="inlineStr">
        <is>
          <t>8.0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15</t>
        </is>
      </c>
      <c r="C15" s="3" t="inlineStr">
        <is>
          <t>Tổng 6</t>
        </is>
      </c>
      <c r="D15" s="3" t="inlineStr">
        <is>
          <t>23 ngày</t>
        </is>
      </c>
      <c r="E15" s="3" t="inlineStr">
        <is>
          <t>7.5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06</t>
        </is>
      </c>
      <c r="C16" s="3" t="inlineStr">
        <is>
          <t>Tổng 6</t>
        </is>
      </c>
      <c r="D16" s="3" t="inlineStr">
        <is>
          <t>28 ngày</t>
        </is>
      </c>
      <c r="E16" s="3" t="inlineStr">
        <is>
          <t>7.5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65</t>
        </is>
      </c>
      <c r="C17" s="3" t="inlineStr">
        <is>
          <t>Tổng 1</t>
        </is>
      </c>
      <c r="D17" s="3" t="inlineStr">
        <is>
          <t>26 ngày</t>
        </is>
      </c>
      <c r="E17" s="3" t="inlineStr">
        <is>
          <t>7.5 điểm</t>
        </is>
      </c>
      <c r="F17" s="3" t="inlineStr">
        <is>
          <t>Dàn lót bổ trợ</t>
        </is>
      </c>
    </row>
    <row r="18">
      <c r="A18" s="2" t="inlineStr">
        <is>
          <t>Top 17</t>
        </is>
      </c>
      <c r="B18" s="2" t="inlineStr">
        <is>
          <t>60</t>
        </is>
      </c>
      <c r="C18" s="3" t="inlineStr">
        <is>
          <t>Tổng 6</t>
        </is>
      </c>
      <c r="D18" s="3" t="inlineStr">
        <is>
          <t>34 ngày</t>
        </is>
      </c>
      <c r="E18" s="3" t="inlineStr">
        <is>
          <t>5.0 điểm</t>
        </is>
      </c>
      <c r="F18" s="3" t="inlineStr">
        <is>
          <t>Dàn lót bổ trợ</t>
        </is>
      </c>
    </row>
    <row r="19">
      <c r="A19" s="2" t="inlineStr">
        <is>
          <t>Top 18</t>
        </is>
      </c>
      <c r="B19" s="2" t="inlineStr">
        <is>
          <t>67</t>
        </is>
      </c>
      <c r="C19" s="3" t="inlineStr">
        <is>
          <t>Tổng 3</t>
        </is>
      </c>
      <c r="D19" s="3" t="inlineStr">
        <is>
          <t>33 ngày</t>
        </is>
      </c>
      <c r="E19" s="3" t="inlineStr">
        <is>
          <t>5.0 điểm</t>
        </is>
      </c>
      <c r="F19" s="3" t="inlineStr">
        <is>
          <t>Dàn lót bổ trợ</t>
        </is>
      </c>
    </row>
    <row r="20">
      <c r="A20" s="2" t="inlineStr">
        <is>
          <t>Top 19</t>
        </is>
      </c>
      <c r="B20" s="2" t="inlineStr">
        <is>
          <t>21</t>
        </is>
      </c>
      <c r="C20" s="3" t="inlineStr">
        <is>
          <t>Tổng 3</t>
        </is>
      </c>
      <c r="D20" s="3" t="inlineStr">
        <is>
          <t>50 ngày</t>
        </is>
      </c>
      <c r="E20" s="3" t="inlineStr">
        <is>
          <t>5.0 điểm</t>
        </is>
      </c>
      <c r="F20" s="3" t="inlineStr">
        <is>
          <t>Dàn lót bổ trợ</t>
        </is>
      </c>
    </row>
    <row r="21">
      <c r="A21" s="2" t="inlineStr">
        <is>
          <t>Top 20</t>
        </is>
      </c>
      <c r="B21" s="2" t="inlineStr">
        <is>
          <t>99</t>
        </is>
      </c>
      <c r="C21" s="3" t="inlineStr">
        <is>
          <t>Tổng 8</t>
        </is>
      </c>
      <c r="D21" s="3" t="inlineStr">
        <is>
          <t>38 ngày</t>
        </is>
      </c>
      <c r="E21" s="3" t="inlineStr">
        <is>
          <t>4.0 điểm</t>
        </is>
      </c>
      <c r="F21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  <c r="O1" s="1" t="n"/>
      <c r="P1" s="1" t="n"/>
      <c r="Q1" s="1" t="n"/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  <c r="O2" s="5" t="n"/>
      <c r="P2" s="5" t="n"/>
      <c r="Q2" s="5" t="n"/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  <c r="O3" s="3" t="n"/>
      <c r="P3" s="3" t="n"/>
      <c r="Q3" s="3" t="n"/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244 / 289 ngày</t>
        </is>
      </c>
      <c r="I4" s="3" t="inlineStr">
        <is>
          <t>84.4%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  <c r="O4" s="3" t="n"/>
      <c r="P4" s="3" t="n"/>
      <c r="Q4" s="3" t="n"/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64 / 289 ngày</t>
        </is>
      </c>
      <c r="I5" s="3" t="inlineStr">
        <is>
          <t>22.1%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  <c r="O5" s="3" t="n"/>
      <c r="P5" s="3" t="n"/>
      <c r="Q5" s="3" t="n"/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133 / 289 ngày</t>
        </is>
      </c>
      <c r="I6" s="3" t="inlineStr">
        <is>
          <t>46.0%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  <c r="O6" s="3" t="n"/>
      <c r="P6" s="3" t="n"/>
      <c r="Q6" s="3" t="n"/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  <c r="O7" s="5" t="inlineStr">
        <is>
          <t>---</t>
        </is>
      </c>
      <c r="P7" s="5" t="inlineStr">
        <is>
          <t>---</t>
        </is>
      </c>
      <c r="Q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7" t="inlineStr">
        <is>
          <t>KHÔNG</t>
        </is>
      </c>
      <c r="M8" s="7" t="inlineStr">
        <is>
          <t>KHÔNG</t>
        </is>
      </c>
      <c r="N8" s="7" t="inlineStr">
        <is>
          <t>KHÔNG</t>
        </is>
      </c>
      <c r="O8" s="3" t="inlineStr">
        <is>
          <t>97 - 79</t>
        </is>
      </c>
      <c r="P8" s="3" t="inlineStr">
        <is>
          <t>0 nháy</t>
        </is>
      </c>
      <c r="Q8" s="3" t="inlineStr">
        <is>
          <t>10 nháy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6" t="inlineStr">
        <is>
          <t>TRÚNG</t>
        </is>
      </c>
      <c r="M9" s="7" t="inlineStr">
        <is>
          <t>KHÔNG</t>
        </is>
      </c>
      <c r="N9" s="7" t="inlineStr">
        <is>
          <t>KHÔNG</t>
        </is>
      </c>
      <c r="O9" s="3" t="inlineStr">
        <is>
          <t>22</t>
        </is>
      </c>
      <c r="P9" s="3" t="inlineStr">
        <is>
          <t>0 nháy</t>
        </is>
      </c>
      <c r="Q9" s="3" t="inlineStr">
        <is>
          <t>8 nháy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6" t="inlineStr">
        <is>
          <t>TRÚNG</t>
        </is>
      </c>
      <c r="M10" s="7" t="inlineStr">
        <is>
          <t>KHÔNG</t>
        </is>
      </c>
      <c r="N10" s="6" t="inlineStr">
        <is>
          <t>TRÚNG</t>
        </is>
      </c>
      <c r="O10" s="3" t="inlineStr">
        <is>
          <t>48 - 84</t>
        </is>
      </c>
      <c r="P10" s="3" t="inlineStr">
        <is>
          <t>2 nháy 🎯</t>
        </is>
      </c>
      <c r="Q10" s="3" t="inlineStr">
        <is>
          <t>13 nháy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6" t="inlineStr">
        <is>
          <t>TRÚNG</t>
        </is>
      </c>
      <c r="M11" s="7" t="inlineStr">
        <is>
          <t>KHÔNG</t>
        </is>
      </c>
      <c r="N11" s="7" t="inlineStr">
        <is>
          <t>KHÔNG</t>
        </is>
      </c>
      <c r="O11" s="3" t="inlineStr">
        <is>
          <t>65 - 56</t>
        </is>
      </c>
      <c r="P11" s="3" t="inlineStr">
        <is>
          <t>1 nháy 🎯</t>
        </is>
      </c>
      <c r="Q11" s="3" t="inlineStr">
        <is>
          <t>11 nháy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6" t="inlineStr">
        <is>
          <t>TRÚNG</t>
        </is>
      </c>
      <c r="M12" s="6" t="inlineStr">
        <is>
          <t>TRÚNG</t>
        </is>
      </c>
      <c r="N12" s="6" t="inlineStr">
        <is>
          <t>TRÚNG</t>
        </is>
      </c>
      <c r="O12" s="3" t="inlineStr">
        <is>
          <t>47 - 74</t>
        </is>
      </c>
      <c r="P12" s="3" t="inlineStr">
        <is>
          <t>1 nháy 🎯</t>
        </is>
      </c>
      <c r="Q12" s="3" t="inlineStr">
        <is>
          <t>13 nháy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7" t="inlineStr">
        <is>
          <t>KHÔNG</t>
        </is>
      </c>
      <c r="M13" s="6" t="inlineStr">
        <is>
          <t>TRÚNG</t>
        </is>
      </c>
      <c r="N13" s="7" t="inlineStr">
        <is>
          <t>KHÔNG</t>
        </is>
      </c>
      <c r="O13" s="3" t="inlineStr">
        <is>
          <t>52 - 25</t>
        </is>
      </c>
      <c r="P13" s="3" t="inlineStr">
        <is>
          <t>0 nháy</t>
        </is>
      </c>
      <c r="Q13" s="3" t="inlineStr">
        <is>
          <t>11 nháy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6" t="inlineStr">
        <is>
          <t>TRÚNG</t>
        </is>
      </c>
      <c r="M14" s="7" t="inlineStr">
        <is>
          <t>KHÔNG</t>
        </is>
      </c>
      <c r="N14" s="7" t="inlineStr">
        <is>
          <t>KHÔNG</t>
        </is>
      </c>
      <c r="O14" s="3" t="inlineStr">
        <is>
          <t>37 - 73</t>
        </is>
      </c>
      <c r="P14" s="3" t="inlineStr">
        <is>
          <t>1 nháy 🎯</t>
        </is>
      </c>
      <c r="Q14" s="3" t="inlineStr">
        <is>
          <t>11 nháy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6" t="inlineStr">
        <is>
          <t>TRÚNG</t>
        </is>
      </c>
      <c r="M15" s="7" t="inlineStr">
        <is>
          <t>KHÔNG</t>
        </is>
      </c>
      <c r="N15" s="6" t="inlineStr">
        <is>
          <t>TRÚNG</t>
        </is>
      </c>
      <c r="O15" s="3" t="inlineStr">
        <is>
          <t>53 - 35</t>
        </is>
      </c>
      <c r="P15" s="3" t="inlineStr">
        <is>
          <t>0 nháy</t>
        </is>
      </c>
      <c r="Q15" s="3" t="inlineStr">
        <is>
          <t>14 nháy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7" t="inlineStr">
        <is>
          <t>KHÔNG</t>
        </is>
      </c>
      <c r="M16" s="7" t="inlineStr">
        <is>
          <t>KHÔNG</t>
        </is>
      </c>
      <c r="N16" s="7" t="inlineStr">
        <is>
          <t>KHÔNG</t>
        </is>
      </c>
      <c r="O16" s="3" t="inlineStr">
        <is>
          <t>46 - 64</t>
        </is>
      </c>
      <c r="P16" s="3" t="inlineStr">
        <is>
          <t>0 nháy</t>
        </is>
      </c>
      <c r="Q16" s="3" t="inlineStr">
        <is>
          <t>11 nháy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6" t="inlineStr">
        <is>
          <t>TRÚNG</t>
        </is>
      </c>
      <c r="M17" s="7" t="inlineStr">
        <is>
          <t>KHÔNG</t>
        </is>
      </c>
      <c r="N17" s="7" t="inlineStr">
        <is>
          <t>KHÔNG</t>
        </is>
      </c>
      <c r="O17" s="3" t="inlineStr">
        <is>
          <t>73 - 37</t>
        </is>
      </c>
      <c r="P17" s="3" t="inlineStr">
        <is>
          <t>1 nháy 🎯</t>
        </is>
      </c>
      <c r="Q17" s="3" t="inlineStr">
        <is>
          <t>14 nháy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6" t="inlineStr">
        <is>
          <t>TRÚNG</t>
        </is>
      </c>
      <c r="M18" s="7" t="inlineStr">
        <is>
          <t>KHÔNG</t>
        </is>
      </c>
      <c r="N18" s="7" t="inlineStr">
        <is>
          <t>KHÔNG</t>
        </is>
      </c>
      <c r="O18" s="3" t="inlineStr">
        <is>
          <t>73 - 37</t>
        </is>
      </c>
      <c r="P18" s="3" t="inlineStr">
        <is>
          <t>1 nháy 🎯</t>
        </is>
      </c>
      <c r="Q18" s="3" t="inlineStr">
        <is>
          <t>18 nháy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6" t="inlineStr">
        <is>
          <t>TRÚNG</t>
        </is>
      </c>
      <c r="M19" s="7" t="inlineStr">
        <is>
          <t>KHÔNG</t>
        </is>
      </c>
      <c r="N19" s="6" t="inlineStr">
        <is>
          <t>TRÚNG</t>
        </is>
      </c>
      <c r="O19" s="3" t="inlineStr">
        <is>
          <t>32 - 23</t>
        </is>
      </c>
      <c r="P19" s="3" t="inlineStr">
        <is>
          <t>0 nháy</t>
        </is>
      </c>
      <c r="Q19" s="3" t="inlineStr">
        <is>
          <t>12 nháy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6" t="inlineStr">
        <is>
          <t>TRÚNG</t>
        </is>
      </c>
      <c r="M20" s="7" t="inlineStr">
        <is>
          <t>KHÔNG</t>
        </is>
      </c>
      <c r="N20" s="7" t="inlineStr">
        <is>
          <t>KHÔNG</t>
        </is>
      </c>
      <c r="O20" s="3" t="inlineStr">
        <is>
          <t>86 - 68</t>
        </is>
      </c>
      <c r="P20" s="3" t="inlineStr">
        <is>
          <t>0 nháy</t>
        </is>
      </c>
      <c r="Q20" s="3" t="inlineStr">
        <is>
          <t>14 nháy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6" t="inlineStr">
        <is>
          <t>TRÚNG</t>
        </is>
      </c>
      <c r="M21" s="7" t="inlineStr">
        <is>
          <t>KHÔNG</t>
        </is>
      </c>
      <c r="N21" s="7" t="inlineStr">
        <is>
          <t>KHÔNG</t>
        </is>
      </c>
      <c r="O21" s="3" t="inlineStr">
        <is>
          <t>15 - 51</t>
        </is>
      </c>
      <c r="P21" s="3" t="inlineStr">
        <is>
          <t>0 nháy</t>
        </is>
      </c>
      <c r="Q21" s="3" t="inlineStr">
        <is>
          <t>17 nháy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6" t="inlineStr">
        <is>
          <t>TRÚNG</t>
        </is>
      </c>
      <c r="M22" s="7" t="inlineStr">
        <is>
          <t>KHÔNG</t>
        </is>
      </c>
      <c r="N22" s="6" t="inlineStr">
        <is>
          <t>TRÚNG</t>
        </is>
      </c>
      <c r="O22" s="3" t="inlineStr">
        <is>
          <t>21 - 12</t>
        </is>
      </c>
      <c r="P22" s="3" t="inlineStr">
        <is>
          <t>0 nháy</t>
        </is>
      </c>
      <c r="Q22" s="3" t="inlineStr">
        <is>
          <t>12 nháy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6" t="inlineStr">
        <is>
          <t>TRÚNG</t>
        </is>
      </c>
      <c r="M23" s="7" t="inlineStr">
        <is>
          <t>KHÔNG</t>
        </is>
      </c>
      <c r="N23" s="6" t="inlineStr">
        <is>
          <t>TRÚNG</t>
        </is>
      </c>
      <c r="O23" s="3" t="inlineStr">
        <is>
          <t>90 - 09</t>
        </is>
      </c>
      <c r="P23" s="3" t="inlineStr">
        <is>
          <t>0 nháy</t>
        </is>
      </c>
      <c r="Q23" s="3" t="inlineStr">
        <is>
          <t>8 nháy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6" t="inlineStr">
        <is>
          <t>TRÚNG</t>
        </is>
      </c>
      <c r="M24" s="7" t="inlineStr">
        <is>
          <t>KHÔNG</t>
        </is>
      </c>
      <c r="N24" s="6" t="inlineStr">
        <is>
          <t>TRÚNG</t>
        </is>
      </c>
      <c r="O24" s="3" t="inlineStr">
        <is>
          <t>54 - 45</t>
        </is>
      </c>
      <c r="P24" s="3" t="inlineStr">
        <is>
          <t>0 nháy</t>
        </is>
      </c>
      <c r="Q24" s="3" t="inlineStr">
        <is>
          <t>14 nháy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6" t="inlineStr">
        <is>
          <t>TRÚNG</t>
        </is>
      </c>
      <c r="M25" s="6" t="inlineStr">
        <is>
          <t>TRÚNG</t>
        </is>
      </c>
      <c r="N25" s="7" t="inlineStr">
        <is>
          <t>KHÔNG</t>
        </is>
      </c>
      <c r="O25" s="3" t="inlineStr">
        <is>
          <t>95 - 59</t>
        </is>
      </c>
      <c r="P25" s="3" t="inlineStr">
        <is>
          <t>1 nháy 🎯</t>
        </is>
      </c>
      <c r="Q25" s="3" t="inlineStr">
        <is>
          <t>7 nháy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7" t="inlineStr">
        <is>
          <t>KHÔNG</t>
        </is>
      </c>
      <c r="M26" s="6" t="inlineStr">
        <is>
          <t>TRÚNG</t>
        </is>
      </c>
      <c r="N26" s="7" t="inlineStr">
        <is>
          <t>KHÔNG</t>
        </is>
      </c>
      <c r="O26" s="3" t="inlineStr">
        <is>
          <t>23 - 32</t>
        </is>
      </c>
      <c r="P26" s="3" t="inlineStr">
        <is>
          <t>0 nháy</t>
        </is>
      </c>
      <c r="Q26" s="3" t="inlineStr">
        <is>
          <t>15 nháy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6" t="inlineStr">
        <is>
          <t>TRÚNG</t>
        </is>
      </c>
      <c r="M27" s="7" t="inlineStr">
        <is>
          <t>KHÔNG</t>
        </is>
      </c>
      <c r="N27" s="6" t="inlineStr">
        <is>
          <t>TRÚNG</t>
        </is>
      </c>
      <c r="O27" s="3" t="inlineStr">
        <is>
          <t>16 - 61</t>
        </is>
      </c>
      <c r="P27" s="3" t="inlineStr">
        <is>
          <t>0 nháy</t>
        </is>
      </c>
      <c r="Q27" s="3" t="inlineStr">
        <is>
          <t>22 nháy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6" t="inlineStr">
        <is>
          <t>TRÚNG</t>
        </is>
      </c>
      <c r="M28" s="7" t="inlineStr">
        <is>
          <t>KHÔNG</t>
        </is>
      </c>
      <c r="N28" s="7" t="inlineStr">
        <is>
          <t>KHÔNG</t>
        </is>
      </c>
      <c r="O28" s="3" t="inlineStr">
        <is>
          <t>69 - 96</t>
        </is>
      </c>
      <c r="P28" s="3" t="inlineStr">
        <is>
          <t>2 nháy 🎯</t>
        </is>
      </c>
      <c r="Q28" s="3" t="inlineStr">
        <is>
          <t>15 nháy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7" t="inlineStr">
        <is>
          <t>KHÔNG</t>
        </is>
      </c>
      <c r="M29" s="7" t="inlineStr">
        <is>
          <t>KHÔNG</t>
        </is>
      </c>
      <c r="N29" s="7" t="inlineStr">
        <is>
          <t>KHÔNG</t>
        </is>
      </c>
      <c r="O29" s="3" t="inlineStr">
        <is>
          <t>53 - 35</t>
        </is>
      </c>
      <c r="P29" s="3" t="inlineStr">
        <is>
          <t>0 nháy</t>
        </is>
      </c>
      <c r="Q29" s="3" t="inlineStr">
        <is>
          <t>9 nháy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6" t="inlineStr">
        <is>
          <t>TRÚNG</t>
        </is>
      </c>
      <c r="M30" s="7" t="inlineStr">
        <is>
          <t>KHÔNG</t>
        </is>
      </c>
      <c r="N30" s="7" t="inlineStr">
        <is>
          <t>KHÔNG</t>
        </is>
      </c>
      <c r="O30" s="3" t="inlineStr">
        <is>
          <t>70 - 07</t>
        </is>
      </c>
      <c r="P30" s="3" t="inlineStr">
        <is>
          <t>0 nháy</t>
        </is>
      </c>
      <c r="Q30" s="3" t="inlineStr">
        <is>
          <t>15 nháy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6" t="inlineStr">
        <is>
          <t>TRÚNG</t>
        </is>
      </c>
      <c r="M31" s="7" t="inlineStr">
        <is>
          <t>KHÔNG</t>
        </is>
      </c>
      <c r="N31" s="7" t="inlineStr">
        <is>
          <t>KHÔNG</t>
        </is>
      </c>
      <c r="O31" s="3" t="inlineStr">
        <is>
          <t>38 - 83</t>
        </is>
      </c>
      <c r="P31" s="3" t="inlineStr">
        <is>
          <t>2 nháy 🎯</t>
        </is>
      </c>
      <c r="Q31" s="3" t="inlineStr">
        <is>
          <t>8 nháy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6" t="inlineStr">
        <is>
          <t>TRÚNG</t>
        </is>
      </c>
      <c r="M32" s="6" t="inlineStr">
        <is>
          <t>TRÚNG</t>
        </is>
      </c>
      <c r="N32" s="6" t="inlineStr">
        <is>
          <t>TRÚNG</t>
        </is>
      </c>
      <c r="O32" s="3" t="inlineStr">
        <is>
          <t>33</t>
        </is>
      </c>
      <c r="P32" s="3" t="inlineStr">
        <is>
          <t>0 nháy</t>
        </is>
      </c>
      <c r="Q32" s="3" t="inlineStr">
        <is>
          <t>6 nháy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6" t="inlineStr">
        <is>
          <t>TRÚNG</t>
        </is>
      </c>
      <c r="M33" s="7" t="inlineStr">
        <is>
          <t>KHÔNG</t>
        </is>
      </c>
      <c r="N33" s="6" t="inlineStr">
        <is>
          <t>TRÚNG</t>
        </is>
      </c>
      <c r="O33" s="3" t="inlineStr">
        <is>
          <t>83 - 38</t>
        </is>
      </c>
      <c r="P33" s="3" t="inlineStr">
        <is>
          <t>0 nháy</t>
        </is>
      </c>
      <c r="Q33" s="3" t="inlineStr">
        <is>
          <t>9 nháy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6" t="inlineStr">
        <is>
          <t>TRÚNG</t>
        </is>
      </c>
      <c r="M34" s="6" t="inlineStr">
        <is>
          <t>TRÚNG</t>
        </is>
      </c>
      <c r="N34" s="7" t="inlineStr">
        <is>
          <t>KHÔNG</t>
        </is>
      </c>
      <c r="O34" s="3" t="inlineStr">
        <is>
          <t>21 - 12</t>
        </is>
      </c>
      <c r="P34" s="3" t="inlineStr">
        <is>
          <t>2 nháy 🎯</t>
        </is>
      </c>
      <c r="Q34" s="3" t="inlineStr">
        <is>
          <t>4 nháy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6" t="inlineStr">
        <is>
          <t>TRÚNG</t>
        </is>
      </c>
      <c r="M35" s="7" t="inlineStr">
        <is>
          <t>KHÔNG</t>
        </is>
      </c>
      <c r="N35" s="7" t="inlineStr">
        <is>
          <t>KHÔNG</t>
        </is>
      </c>
      <c r="O35" s="3" t="inlineStr">
        <is>
          <t>77</t>
        </is>
      </c>
      <c r="P35" s="3" t="inlineStr">
        <is>
          <t>0 nháy</t>
        </is>
      </c>
      <c r="Q35" s="3" t="inlineStr">
        <is>
          <t>13 nháy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7" t="inlineStr">
        <is>
          <t>KHÔNG</t>
        </is>
      </c>
      <c r="M36" s="7" t="inlineStr">
        <is>
          <t>KHÔNG</t>
        </is>
      </c>
      <c r="N36" s="7" t="inlineStr">
        <is>
          <t>KHÔNG</t>
        </is>
      </c>
      <c r="O36" s="3" t="inlineStr">
        <is>
          <t>82 - 28</t>
        </is>
      </c>
      <c r="P36" s="3" t="inlineStr">
        <is>
          <t>1 nháy 🎯</t>
        </is>
      </c>
      <c r="Q36" s="3" t="inlineStr">
        <is>
          <t>15 nháy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6" t="inlineStr">
        <is>
          <t>TRÚNG</t>
        </is>
      </c>
      <c r="M37" s="7" t="inlineStr">
        <is>
          <t>KHÔNG</t>
        </is>
      </c>
      <c r="N37" s="6" t="inlineStr">
        <is>
          <t>TRÚNG</t>
        </is>
      </c>
      <c r="O37" s="3" t="inlineStr">
        <is>
          <t>01 - 10</t>
        </is>
      </c>
      <c r="P37" s="3" t="inlineStr">
        <is>
          <t>1 nháy 🎯</t>
        </is>
      </c>
      <c r="Q37" s="3" t="inlineStr">
        <is>
          <t>12 nháy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6" t="inlineStr">
        <is>
          <t>TRÚNG</t>
        </is>
      </c>
      <c r="M38" s="6" t="inlineStr">
        <is>
          <t>TRÚNG</t>
        </is>
      </c>
      <c r="N38" s="6" t="inlineStr">
        <is>
          <t>TRÚNG</t>
        </is>
      </c>
      <c r="O38" s="3" t="inlineStr">
        <is>
          <t>77</t>
        </is>
      </c>
      <c r="P38" s="3" t="inlineStr">
        <is>
          <t>1 nháy 🎯</t>
        </is>
      </c>
      <c r="Q38" s="3" t="inlineStr">
        <is>
          <t>12 nháy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7" t="inlineStr">
        <is>
          <t>KHÔNG</t>
        </is>
      </c>
      <c r="M39" s="7" t="inlineStr">
        <is>
          <t>KHÔNG</t>
        </is>
      </c>
      <c r="N39" s="7" t="inlineStr">
        <is>
          <t>KHÔNG</t>
        </is>
      </c>
      <c r="O39" s="3" t="inlineStr">
        <is>
          <t>55</t>
        </is>
      </c>
      <c r="P39" s="3" t="inlineStr">
        <is>
          <t>1 nháy 🎯</t>
        </is>
      </c>
      <c r="Q39" s="3" t="inlineStr">
        <is>
          <t>12 nháy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6" t="inlineStr">
        <is>
          <t>TRÚNG</t>
        </is>
      </c>
      <c r="M40" s="7" t="inlineStr">
        <is>
          <t>KHÔNG</t>
        </is>
      </c>
      <c r="N40" s="6" t="inlineStr">
        <is>
          <t>TRÚNG</t>
        </is>
      </c>
      <c r="O40" s="3" t="inlineStr">
        <is>
          <t>26 - 62</t>
        </is>
      </c>
      <c r="P40" s="3" t="inlineStr">
        <is>
          <t>0 nháy</t>
        </is>
      </c>
      <c r="Q40" s="3" t="inlineStr">
        <is>
          <t>15 nháy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6" t="inlineStr">
        <is>
          <t>TRÚNG</t>
        </is>
      </c>
      <c r="M41" s="7" t="inlineStr">
        <is>
          <t>KHÔNG</t>
        </is>
      </c>
      <c r="N41" s="6" t="inlineStr">
        <is>
          <t>TRÚNG</t>
        </is>
      </c>
      <c r="O41" s="3" t="inlineStr">
        <is>
          <t>91 - 19</t>
        </is>
      </c>
      <c r="P41" s="3" t="inlineStr">
        <is>
          <t>1 nháy 🎯</t>
        </is>
      </c>
      <c r="Q41" s="3" t="inlineStr">
        <is>
          <t>17 nháy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6" t="inlineStr">
        <is>
          <t>TRÚNG</t>
        </is>
      </c>
      <c r="M42" s="6" t="inlineStr">
        <is>
          <t>TRÚNG</t>
        </is>
      </c>
      <c r="N42" s="7" t="inlineStr">
        <is>
          <t>KHÔNG</t>
        </is>
      </c>
      <c r="O42" s="3" t="inlineStr">
        <is>
          <t>68 - 86</t>
        </is>
      </c>
      <c r="P42" s="3" t="inlineStr">
        <is>
          <t>2 nháy 🎯</t>
        </is>
      </c>
      <c r="Q42" s="3" t="inlineStr">
        <is>
          <t>5 nháy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6" t="inlineStr">
        <is>
          <t>TRÚNG</t>
        </is>
      </c>
      <c r="M43" s="7" t="inlineStr">
        <is>
          <t>KHÔNG</t>
        </is>
      </c>
      <c r="N43" s="6" t="inlineStr">
        <is>
          <t>TRÚNG</t>
        </is>
      </c>
      <c r="O43" s="3" t="inlineStr">
        <is>
          <t>57 - 75</t>
        </is>
      </c>
      <c r="P43" s="3" t="inlineStr">
        <is>
          <t>1 nháy 🎯</t>
        </is>
      </c>
      <c r="Q43" s="3" t="inlineStr">
        <is>
          <t>13 nháy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6" t="inlineStr">
        <is>
          <t>TRÚNG</t>
        </is>
      </c>
      <c r="M44" s="7" t="inlineStr">
        <is>
          <t>KHÔNG</t>
        </is>
      </c>
      <c r="N44" s="7" t="inlineStr">
        <is>
          <t>KHÔNG</t>
        </is>
      </c>
      <c r="O44" s="3" t="inlineStr">
        <is>
          <t>00</t>
        </is>
      </c>
      <c r="P44" s="3" t="inlineStr">
        <is>
          <t>0 nháy</t>
        </is>
      </c>
      <c r="Q44" s="3" t="inlineStr">
        <is>
          <t>12 nháy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6" t="inlineStr">
        <is>
          <t>TRÚNG</t>
        </is>
      </c>
      <c r="M45" s="7" t="inlineStr">
        <is>
          <t>KHÔNG</t>
        </is>
      </c>
      <c r="N45" s="6" t="inlineStr">
        <is>
          <t>TRÚNG</t>
        </is>
      </c>
      <c r="O45" s="3" t="inlineStr">
        <is>
          <t>93 - 39</t>
        </is>
      </c>
      <c r="P45" s="3" t="inlineStr">
        <is>
          <t>0 nháy</t>
        </is>
      </c>
      <c r="Q45" s="3" t="inlineStr">
        <is>
          <t>20 nháy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6" t="inlineStr">
        <is>
          <t>TRÚNG</t>
        </is>
      </c>
      <c r="M46" s="7" t="inlineStr">
        <is>
          <t>KHÔNG</t>
        </is>
      </c>
      <c r="N46" s="6" t="inlineStr">
        <is>
          <t>TRÚNG</t>
        </is>
      </c>
      <c r="O46" s="3" t="inlineStr">
        <is>
          <t>34 - 43</t>
        </is>
      </c>
      <c r="P46" s="3" t="inlineStr">
        <is>
          <t>1 nháy 🎯</t>
        </is>
      </c>
      <c r="Q46" s="3" t="inlineStr">
        <is>
          <t>10 nháy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7" t="inlineStr">
        <is>
          <t>KHÔNG</t>
        </is>
      </c>
      <c r="M47" s="7" t="inlineStr">
        <is>
          <t>KHÔNG</t>
        </is>
      </c>
      <c r="N47" s="7" t="inlineStr">
        <is>
          <t>KHÔNG</t>
        </is>
      </c>
      <c r="O47" s="3" t="inlineStr">
        <is>
          <t>17 - 71</t>
        </is>
      </c>
      <c r="P47" s="3" t="inlineStr">
        <is>
          <t>0 nháy</t>
        </is>
      </c>
      <c r="Q47" s="3" t="inlineStr">
        <is>
          <t>16 nháy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6" t="inlineStr">
        <is>
          <t>TRÚNG</t>
        </is>
      </c>
      <c r="M48" s="6" t="inlineStr">
        <is>
          <t>TRÚNG</t>
        </is>
      </c>
      <c r="N48" s="7" t="inlineStr">
        <is>
          <t>KHÔNG</t>
        </is>
      </c>
      <c r="O48" s="3" t="inlineStr">
        <is>
          <t>51 - 15</t>
        </is>
      </c>
      <c r="P48" s="3" t="inlineStr">
        <is>
          <t>0 nháy</t>
        </is>
      </c>
      <c r="Q48" s="3" t="inlineStr">
        <is>
          <t>15 nháy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6" t="inlineStr">
        <is>
          <t>TRÚNG</t>
        </is>
      </c>
      <c r="M49" s="7" t="inlineStr">
        <is>
          <t>KHÔNG</t>
        </is>
      </c>
      <c r="N49" s="6" t="inlineStr">
        <is>
          <t>TRÚNG</t>
        </is>
      </c>
      <c r="O49" s="3" t="inlineStr">
        <is>
          <t>97 - 79</t>
        </is>
      </c>
      <c r="P49" s="3" t="inlineStr">
        <is>
          <t>0 nháy</t>
        </is>
      </c>
      <c r="Q49" s="3" t="inlineStr">
        <is>
          <t>12 nháy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7" t="inlineStr">
        <is>
          <t>KHÔNG</t>
        </is>
      </c>
      <c r="M50" s="7" t="inlineStr">
        <is>
          <t>KHÔNG</t>
        </is>
      </c>
      <c r="N50" s="7" t="inlineStr">
        <is>
          <t>KHÔNG</t>
        </is>
      </c>
      <c r="O50" s="3" t="inlineStr">
        <is>
          <t>80 - 08</t>
        </is>
      </c>
      <c r="P50" s="3" t="inlineStr">
        <is>
          <t>0 nháy</t>
        </is>
      </c>
      <c r="Q50" s="3" t="inlineStr">
        <is>
          <t>17 nháy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6" t="inlineStr">
        <is>
          <t>TRÚNG</t>
        </is>
      </c>
      <c r="M51" s="6" t="inlineStr">
        <is>
          <t>TRÚNG</t>
        </is>
      </c>
      <c r="N51" s="7" t="inlineStr">
        <is>
          <t>KHÔNG</t>
        </is>
      </c>
      <c r="O51" s="3" t="inlineStr">
        <is>
          <t>71 - 17</t>
        </is>
      </c>
      <c r="P51" s="3" t="inlineStr">
        <is>
          <t>0 nháy</t>
        </is>
      </c>
      <c r="Q51" s="3" t="inlineStr">
        <is>
          <t>13 nháy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6" t="inlineStr">
        <is>
          <t>TRÚNG</t>
        </is>
      </c>
      <c r="M52" s="7" t="inlineStr">
        <is>
          <t>KHÔNG</t>
        </is>
      </c>
      <c r="N52" s="6" t="inlineStr">
        <is>
          <t>TRÚNG</t>
        </is>
      </c>
      <c r="O52" s="3" t="inlineStr">
        <is>
          <t>16 - 61</t>
        </is>
      </c>
      <c r="P52" s="3" t="inlineStr">
        <is>
          <t>1 nháy 🎯</t>
        </is>
      </c>
      <c r="Q52" s="3" t="inlineStr">
        <is>
          <t>9 nháy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7" t="inlineStr">
        <is>
          <t>KHÔNG</t>
        </is>
      </c>
      <c r="M53" s="7" t="inlineStr">
        <is>
          <t>KHÔNG</t>
        </is>
      </c>
      <c r="N53" s="7" t="inlineStr">
        <is>
          <t>KHÔNG</t>
        </is>
      </c>
      <c r="O53" s="3" t="inlineStr">
        <is>
          <t>75 - 57</t>
        </is>
      </c>
      <c r="P53" s="3" t="inlineStr">
        <is>
          <t>1 nháy 🎯</t>
        </is>
      </c>
      <c r="Q53" s="3" t="inlineStr">
        <is>
          <t>18 nháy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6" t="inlineStr">
        <is>
          <t>TRÚNG</t>
        </is>
      </c>
      <c r="M54" s="7" t="inlineStr">
        <is>
          <t>KHÔNG</t>
        </is>
      </c>
      <c r="N54" s="6" t="inlineStr">
        <is>
          <t>TRÚNG</t>
        </is>
      </c>
      <c r="O54" s="3" t="inlineStr">
        <is>
          <t>71 - 17</t>
        </is>
      </c>
      <c r="P54" s="3" t="inlineStr">
        <is>
          <t>0 nháy</t>
        </is>
      </c>
      <c r="Q54" s="3" t="inlineStr">
        <is>
          <t>11 nháy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6" t="inlineStr">
        <is>
          <t>TRÚNG</t>
        </is>
      </c>
      <c r="M55" s="6" t="inlineStr">
        <is>
          <t>TRÚNG</t>
        </is>
      </c>
      <c r="N55" s="7" t="inlineStr">
        <is>
          <t>KHÔNG</t>
        </is>
      </c>
      <c r="O55" s="3" t="inlineStr">
        <is>
          <t>99</t>
        </is>
      </c>
      <c r="P55" s="3" t="inlineStr">
        <is>
          <t>0 nháy</t>
        </is>
      </c>
      <c r="Q55" s="3" t="inlineStr">
        <is>
          <t>8 nháy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7" t="inlineStr">
        <is>
          <t>KHÔNG</t>
        </is>
      </c>
      <c r="M56" s="7" t="inlineStr">
        <is>
          <t>KHÔNG</t>
        </is>
      </c>
      <c r="N56" s="7" t="inlineStr">
        <is>
          <t>KHÔNG</t>
        </is>
      </c>
      <c r="O56" s="3" t="inlineStr">
        <is>
          <t>33</t>
        </is>
      </c>
      <c r="P56" s="3" t="inlineStr">
        <is>
          <t>0 nháy</t>
        </is>
      </c>
      <c r="Q56" s="3" t="inlineStr">
        <is>
          <t>7 nháy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6" t="inlineStr">
        <is>
          <t>TRÚNG</t>
        </is>
      </c>
      <c r="M57" s="7" t="inlineStr">
        <is>
          <t>KHÔNG</t>
        </is>
      </c>
      <c r="N57" s="6" t="inlineStr">
        <is>
          <t>TRÚNG</t>
        </is>
      </c>
      <c r="O57" s="3" t="inlineStr">
        <is>
          <t>47 - 74</t>
        </is>
      </c>
      <c r="P57" s="3" t="inlineStr">
        <is>
          <t>0 nháy</t>
        </is>
      </c>
      <c r="Q57" s="3" t="inlineStr">
        <is>
          <t>12 nháy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6" t="inlineStr">
        <is>
          <t>TRÚNG</t>
        </is>
      </c>
      <c r="M58" s="7" t="inlineStr">
        <is>
          <t>KHÔNG</t>
        </is>
      </c>
      <c r="N58" s="7" t="inlineStr">
        <is>
          <t>KHÔNG</t>
        </is>
      </c>
      <c r="O58" s="3" t="inlineStr">
        <is>
          <t>92 - 29</t>
        </is>
      </c>
      <c r="P58" s="3" t="inlineStr">
        <is>
          <t>0 nháy</t>
        </is>
      </c>
      <c r="Q58" s="3" t="inlineStr">
        <is>
          <t>10 nháy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6" t="inlineStr">
        <is>
          <t>TRÚNG</t>
        </is>
      </c>
      <c r="M59" s="7" t="inlineStr">
        <is>
          <t>KHÔNG</t>
        </is>
      </c>
      <c r="N59" s="6" t="inlineStr">
        <is>
          <t>TRÚNG</t>
        </is>
      </c>
      <c r="O59" s="3" t="inlineStr">
        <is>
          <t>87 - 78</t>
        </is>
      </c>
      <c r="P59" s="3" t="inlineStr">
        <is>
          <t>0 nháy</t>
        </is>
      </c>
      <c r="Q59" s="3" t="inlineStr">
        <is>
          <t>11 nháy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7" t="inlineStr">
        <is>
          <t>KHÔNG</t>
        </is>
      </c>
      <c r="M60" s="7" t="inlineStr">
        <is>
          <t>KHÔNG</t>
        </is>
      </c>
      <c r="N60" s="7" t="inlineStr">
        <is>
          <t>KHÔNG</t>
        </is>
      </c>
      <c r="O60" s="3" t="inlineStr">
        <is>
          <t>59 - 95</t>
        </is>
      </c>
      <c r="P60" s="3" t="inlineStr">
        <is>
          <t>0 nháy</t>
        </is>
      </c>
      <c r="Q60" s="3" t="inlineStr">
        <is>
          <t>11 nháy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6" t="inlineStr">
        <is>
          <t>TRÚNG</t>
        </is>
      </c>
      <c r="M61" s="7" t="inlineStr">
        <is>
          <t>KHÔNG</t>
        </is>
      </c>
      <c r="N61" s="7" t="inlineStr">
        <is>
          <t>KHÔNG</t>
        </is>
      </c>
      <c r="O61" s="3" t="inlineStr">
        <is>
          <t>53 - 35</t>
        </is>
      </c>
      <c r="P61" s="3" t="inlineStr">
        <is>
          <t>1 nháy 🎯</t>
        </is>
      </c>
      <c r="Q61" s="3" t="inlineStr">
        <is>
          <t>16 nháy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6" t="inlineStr">
        <is>
          <t>TRÚNG</t>
        </is>
      </c>
      <c r="M62" s="7" t="inlineStr">
        <is>
          <t>KHÔNG</t>
        </is>
      </c>
      <c r="N62" s="7" t="inlineStr">
        <is>
          <t>KHÔNG</t>
        </is>
      </c>
      <c r="O62" s="3" t="inlineStr">
        <is>
          <t>69 - 96</t>
        </is>
      </c>
      <c r="P62" s="3" t="inlineStr">
        <is>
          <t>0 nháy</t>
        </is>
      </c>
      <c r="Q62" s="3" t="inlineStr">
        <is>
          <t>17 nháy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6" t="inlineStr">
        <is>
          <t>TRÚNG</t>
        </is>
      </c>
      <c r="M63" s="7" t="inlineStr">
        <is>
          <t>KHÔNG</t>
        </is>
      </c>
      <c r="N63" s="7" t="inlineStr">
        <is>
          <t>KHÔNG</t>
        </is>
      </c>
      <c r="O63" s="3" t="inlineStr">
        <is>
          <t>97 - 79</t>
        </is>
      </c>
      <c r="P63" s="3" t="inlineStr">
        <is>
          <t>2 nháy 🎯</t>
        </is>
      </c>
      <c r="Q63" s="3" t="inlineStr">
        <is>
          <t>11 nháy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6" t="inlineStr">
        <is>
          <t>TRÚNG</t>
        </is>
      </c>
      <c r="M64" s="7" t="inlineStr">
        <is>
          <t>KHÔNG</t>
        </is>
      </c>
      <c r="N64" s="6" t="inlineStr">
        <is>
          <t>TRÚNG</t>
        </is>
      </c>
      <c r="O64" s="3" t="inlineStr">
        <is>
          <t>40 - 04</t>
        </is>
      </c>
      <c r="P64" s="3" t="inlineStr">
        <is>
          <t>1 nháy 🎯</t>
        </is>
      </c>
      <c r="Q64" s="3" t="inlineStr">
        <is>
          <t>16 nháy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6" t="inlineStr">
        <is>
          <t>TRÚNG</t>
        </is>
      </c>
      <c r="M65" s="7" t="inlineStr">
        <is>
          <t>KHÔNG</t>
        </is>
      </c>
      <c r="N65" s="7" t="inlineStr">
        <is>
          <t>KHÔNG</t>
        </is>
      </c>
      <c r="O65" s="3" t="inlineStr">
        <is>
          <t>29 - 92</t>
        </is>
      </c>
      <c r="P65" s="3" t="inlineStr">
        <is>
          <t>1 nháy 🎯</t>
        </is>
      </c>
      <c r="Q65" s="3" t="inlineStr">
        <is>
          <t>15 nháy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6" t="inlineStr">
        <is>
          <t>TRÚNG</t>
        </is>
      </c>
      <c r="M66" s="7" t="inlineStr">
        <is>
          <t>KHÔNG</t>
        </is>
      </c>
      <c r="N66" s="7" t="inlineStr">
        <is>
          <t>KHÔNG</t>
        </is>
      </c>
      <c r="O66" s="3" t="inlineStr">
        <is>
          <t>05 - 50</t>
        </is>
      </c>
      <c r="P66" s="3" t="inlineStr">
        <is>
          <t>0 nháy</t>
        </is>
      </c>
      <c r="Q66" s="3" t="inlineStr">
        <is>
          <t>12 nháy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6" t="inlineStr">
        <is>
          <t>TRÚNG</t>
        </is>
      </c>
      <c r="M67" s="7" t="inlineStr">
        <is>
          <t>KHÔNG</t>
        </is>
      </c>
      <c r="N67" s="6" t="inlineStr">
        <is>
          <t>TRÚNG</t>
        </is>
      </c>
      <c r="O67" s="3" t="inlineStr">
        <is>
          <t>91 - 19</t>
        </is>
      </c>
      <c r="P67" s="3" t="inlineStr">
        <is>
          <t>0 nháy</t>
        </is>
      </c>
      <c r="Q67" s="3" t="inlineStr">
        <is>
          <t>15 nháy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6" t="inlineStr">
        <is>
          <t>TRÚNG</t>
        </is>
      </c>
      <c r="M68" s="7" t="inlineStr">
        <is>
          <t>KHÔNG</t>
        </is>
      </c>
      <c r="N68" s="6" t="inlineStr">
        <is>
          <t>TRÚNG</t>
        </is>
      </c>
      <c r="O68" s="3" t="inlineStr">
        <is>
          <t>11</t>
        </is>
      </c>
      <c r="P68" s="3" t="inlineStr">
        <is>
          <t>0 nháy</t>
        </is>
      </c>
      <c r="Q68" s="3" t="inlineStr">
        <is>
          <t>15 nháy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6" t="inlineStr">
        <is>
          <t>TRÚNG</t>
        </is>
      </c>
      <c r="M69" s="7" t="inlineStr">
        <is>
          <t>KHÔNG</t>
        </is>
      </c>
      <c r="N69" s="7" t="inlineStr">
        <is>
          <t>KHÔNG</t>
        </is>
      </c>
      <c r="O69" s="3" t="inlineStr">
        <is>
          <t>43 - 34</t>
        </is>
      </c>
      <c r="P69" s="3" t="inlineStr">
        <is>
          <t>0 nháy</t>
        </is>
      </c>
      <c r="Q69" s="3" t="inlineStr">
        <is>
          <t>22 nháy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7" t="inlineStr">
        <is>
          <t>KHÔNG</t>
        </is>
      </c>
      <c r="M70" s="7" t="inlineStr">
        <is>
          <t>KHÔNG</t>
        </is>
      </c>
      <c r="N70" s="7" t="inlineStr">
        <is>
          <t>KHÔNG</t>
        </is>
      </c>
      <c r="O70" s="3" t="inlineStr">
        <is>
          <t>72 - 27</t>
        </is>
      </c>
      <c r="P70" s="3" t="inlineStr">
        <is>
          <t>1 nháy 🎯</t>
        </is>
      </c>
      <c r="Q70" s="3" t="inlineStr">
        <is>
          <t>5 nháy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6" t="inlineStr">
        <is>
          <t>TRÚNG</t>
        </is>
      </c>
      <c r="M71" s="7" t="inlineStr">
        <is>
          <t>KHÔNG</t>
        </is>
      </c>
      <c r="N71" s="6" t="inlineStr">
        <is>
          <t>TRÚNG</t>
        </is>
      </c>
      <c r="O71" s="3" t="inlineStr">
        <is>
          <t>50 - 05</t>
        </is>
      </c>
      <c r="P71" s="3" t="inlineStr">
        <is>
          <t>2 nháy 🎯</t>
        </is>
      </c>
      <c r="Q71" s="3" t="inlineStr">
        <is>
          <t>10 nháy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6" t="inlineStr">
        <is>
          <t>TRÚNG</t>
        </is>
      </c>
      <c r="M72" s="6" t="inlineStr">
        <is>
          <t>TRÚNG</t>
        </is>
      </c>
      <c r="N72" s="6" t="inlineStr">
        <is>
          <t>TRÚNG</t>
        </is>
      </c>
      <c r="O72" s="3" t="inlineStr">
        <is>
          <t>31 - 13</t>
        </is>
      </c>
      <c r="P72" s="3" t="inlineStr">
        <is>
          <t>1 nháy 🎯</t>
        </is>
      </c>
      <c r="Q72" s="3" t="inlineStr">
        <is>
          <t>18 nháy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6" t="inlineStr">
        <is>
          <t>TRÚNG</t>
        </is>
      </c>
      <c r="M73" s="7" t="inlineStr">
        <is>
          <t>KHÔNG</t>
        </is>
      </c>
      <c r="N73" s="6" t="inlineStr">
        <is>
          <t>TRÚNG</t>
        </is>
      </c>
      <c r="O73" s="3" t="inlineStr">
        <is>
          <t>93 - 39</t>
        </is>
      </c>
      <c r="P73" s="3" t="inlineStr">
        <is>
          <t>1 nháy 🎯</t>
        </is>
      </c>
      <c r="Q73" s="3" t="inlineStr">
        <is>
          <t>17 nháy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6" t="inlineStr">
        <is>
          <t>TRÚNG</t>
        </is>
      </c>
      <c r="M74" s="7" t="inlineStr">
        <is>
          <t>KHÔNG</t>
        </is>
      </c>
      <c r="N74" s="6" t="inlineStr">
        <is>
          <t>TRÚNG</t>
        </is>
      </c>
      <c r="O74" s="3" t="inlineStr">
        <is>
          <t>99</t>
        </is>
      </c>
      <c r="P74" s="3" t="inlineStr">
        <is>
          <t>0 nháy</t>
        </is>
      </c>
      <c r="Q74" s="3" t="inlineStr">
        <is>
          <t>12 nháy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6" t="inlineStr">
        <is>
          <t>TRÚNG</t>
        </is>
      </c>
      <c r="M75" s="7" t="inlineStr">
        <is>
          <t>KHÔNG</t>
        </is>
      </c>
      <c r="N75" s="7" t="inlineStr">
        <is>
          <t>KHÔNG</t>
        </is>
      </c>
      <c r="O75" s="3" t="inlineStr">
        <is>
          <t>85 - 58</t>
        </is>
      </c>
      <c r="P75" s="3" t="inlineStr">
        <is>
          <t>0 nháy</t>
        </is>
      </c>
      <c r="Q75" s="3" t="inlineStr">
        <is>
          <t>7 nháy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7" t="inlineStr">
        <is>
          <t>KHÔNG</t>
        </is>
      </c>
      <c r="M76" s="7" t="inlineStr">
        <is>
          <t>KHÔNG</t>
        </is>
      </c>
      <c r="N76" s="7" t="inlineStr">
        <is>
          <t>KHÔNG</t>
        </is>
      </c>
      <c r="O76" s="3" t="inlineStr">
        <is>
          <t>51 - 15</t>
        </is>
      </c>
      <c r="P76" s="3" t="inlineStr">
        <is>
          <t>0 nháy</t>
        </is>
      </c>
      <c r="Q76" s="3" t="inlineStr">
        <is>
          <t>11 nháy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7" t="inlineStr">
        <is>
          <t>KHÔNG</t>
        </is>
      </c>
      <c r="M77" s="6" t="inlineStr">
        <is>
          <t>TRÚNG</t>
        </is>
      </c>
      <c r="N77" s="7" t="inlineStr">
        <is>
          <t>KHÔNG</t>
        </is>
      </c>
      <c r="O77" s="3" t="inlineStr">
        <is>
          <t>66</t>
        </is>
      </c>
      <c r="P77" s="3" t="inlineStr">
        <is>
          <t>0 nháy</t>
        </is>
      </c>
      <c r="Q77" s="3" t="inlineStr">
        <is>
          <t>16 nháy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6" t="inlineStr">
        <is>
          <t>TRÚNG</t>
        </is>
      </c>
      <c r="M78" s="7" t="inlineStr">
        <is>
          <t>KHÔNG</t>
        </is>
      </c>
      <c r="N78" s="6" t="inlineStr">
        <is>
          <t>TRÚNG</t>
        </is>
      </c>
      <c r="O78" s="3" t="inlineStr">
        <is>
          <t>48 - 84</t>
        </is>
      </c>
      <c r="P78" s="3" t="inlineStr">
        <is>
          <t>0 nháy</t>
        </is>
      </c>
      <c r="Q78" s="3" t="inlineStr">
        <is>
          <t>11 nháy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6" t="inlineStr">
        <is>
          <t>TRÚNG</t>
        </is>
      </c>
      <c r="M79" s="7" t="inlineStr">
        <is>
          <t>KHÔNG</t>
        </is>
      </c>
      <c r="N79" s="7" t="inlineStr">
        <is>
          <t>KHÔNG</t>
        </is>
      </c>
      <c r="O79" s="3" t="inlineStr">
        <is>
          <t>93 - 39</t>
        </is>
      </c>
      <c r="P79" s="3" t="inlineStr">
        <is>
          <t>0 nháy</t>
        </is>
      </c>
      <c r="Q79" s="3" t="inlineStr">
        <is>
          <t>9 nháy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6" t="inlineStr">
        <is>
          <t>TRÚNG</t>
        </is>
      </c>
      <c r="M80" s="6" t="inlineStr">
        <is>
          <t>TRÚNG</t>
        </is>
      </c>
      <c r="N80" s="7" t="inlineStr">
        <is>
          <t>KHÔNG</t>
        </is>
      </c>
      <c r="O80" s="3" t="inlineStr">
        <is>
          <t>59 - 95</t>
        </is>
      </c>
      <c r="P80" s="3" t="inlineStr">
        <is>
          <t>1 nháy 🎯</t>
        </is>
      </c>
      <c r="Q80" s="3" t="inlineStr">
        <is>
          <t>16 nháy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6" t="inlineStr">
        <is>
          <t>TRÚNG</t>
        </is>
      </c>
      <c r="M81" s="6" t="inlineStr">
        <is>
          <t>TRÚNG</t>
        </is>
      </c>
      <c r="N81" s="6" t="inlineStr">
        <is>
          <t>TRÚNG</t>
        </is>
      </c>
      <c r="O81" s="3" t="inlineStr">
        <is>
          <t>51 - 15</t>
        </is>
      </c>
      <c r="P81" s="3" t="inlineStr">
        <is>
          <t>1 nháy 🎯</t>
        </is>
      </c>
      <c r="Q81" s="3" t="inlineStr">
        <is>
          <t>13 nháy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6" t="inlineStr">
        <is>
          <t>TRÚNG</t>
        </is>
      </c>
      <c r="M82" s="7" t="inlineStr">
        <is>
          <t>KHÔNG</t>
        </is>
      </c>
      <c r="N82" s="6" t="inlineStr">
        <is>
          <t>TRÚNG</t>
        </is>
      </c>
      <c r="O82" s="3" t="inlineStr">
        <is>
          <t>52 - 25</t>
        </is>
      </c>
      <c r="P82" s="3" t="inlineStr">
        <is>
          <t>1 nháy 🎯</t>
        </is>
      </c>
      <c r="Q82" s="3" t="inlineStr">
        <is>
          <t>14 nháy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6" t="inlineStr">
        <is>
          <t>TRÚNG</t>
        </is>
      </c>
      <c r="M83" s="7" t="inlineStr">
        <is>
          <t>KHÔNG</t>
        </is>
      </c>
      <c r="N83" s="6" t="inlineStr">
        <is>
          <t>TRÚNG</t>
        </is>
      </c>
      <c r="O83" s="3" t="inlineStr">
        <is>
          <t>95 - 59</t>
        </is>
      </c>
      <c r="P83" s="3" t="inlineStr">
        <is>
          <t>0 nháy</t>
        </is>
      </c>
      <c r="Q83" s="3" t="inlineStr">
        <is>
          <t>19 nháy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6" t="inlineStr">
        <is>
          <t>TRÚNG</t>
        </is>
      </c>
      <c r="M84" s="7" t="inlineStr">
        <is>
          <t>KHÔNG</t>
        </is>
      </c>
      <c r="N84" s="7" t="inlineStr">
        <is>
          <t>KHÔNG</t>
        </is>
      </c>
      <c r="O84" s="3" t="inlineStr">
        <is>
          <t>89 - 98</t>
        </is>
      </c>
      <c r="P84" s="3" t="inlineStr">
        <is>
          <t>1 nháy 🎯</t>
        </is>
      </c>
      <c r="Q84" s="3" t="inlineStr">
        <is>
          <t>12 nháy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6" t="inlineStr">
        <is>
          <t>TRÚNG</t>
        </is>
      </c>
      <c r="M85" s="6" t="inlineStr">
        <is>
          <t>TRÚNG</t>
        </is>
      </c>
      <c r="N85" s="6" t="inlineStr">
        <is>
          <t>TRÚNG</t>
        </is>
      </c>
      <c r="O85" s="3" t="inlineStr">
        <is>
          <t>88</t>
        </is>
      </c>
      <c r="P85" s="3" t="inlineStr">
        <is>
          <t>0 nháy</t>
        </is>
      </c>
      <c r="Q85" s="3" t="inlineStr">
        <is>
          <t>13 nháy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7" t="inlineStr">
        <is>
          <t>KHÔNG</t>
        </is>
      </c>
      <c r="M86" s="7" t="inlineStr">
        <is>
          <t>KHÔNG</t>
        </is>
      </c>
      <c r="N86" s="7" t="inlineStr">
        <is>
          <t>KHÔNG</t>
        </is>
      </c>
      <c r="O86" s="3" t="inlineStr">
        <is>
          <t>00</t>
        </is>
      </c>
      <c r="P86" s="3" t="inlineStr">
        <is>
          <t>1 nháy 🎯</t>
        </is>
      </c>
      <c r="Q86" s="3" t="inlineStr">
        <is>
          <t>14 nháy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6" t="inlineStr">
        <is>
          <t>TRÚNG</t>
        </is>
      </c>
      <c r="M87" s="6" t="inlineStr">
        <is>
          <t>TRÚNG</t>
        </is>
      </c>
      <c r="N87" s="7" t="inlineStr">
        <is>
          <t>KHÔNG</t>
        </is>
      </c>
      <c r="O87" s="3" t="inlineStr">
        <is>
          <t>25 - 52</t>
        </is>
      </c>
      <c r="P87" s="3" t="inlineStr">
        <is>
          <t>1 nháy 🎯</t>
        </is>
      </c>
      <c r="Q87" s="3" t="inlineStr">
        <is>
          <t>12 nháy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6" t="inlineStr">
        <is>
          <t>TRÚNG</t>
        </is>
      </c>
      <c r="M88" s="6" t="inlineStr">
        <is>
          <t>TRÚNG</t>
        </is>
      </c>
      <c r="N88" s="6" t="inlineStr">
        <is>
          <t>TRÚNG</t>
        </is>
      </c>
      <c r="O88" s="3" t="inlineStr">
        <is>
          <t>19 - 91</t>
        </is>
      </c>
      <c r="P88" s="3" t="inlineStr">
        <is>
          <t>1 nháy 🎯</t>
        </is>
      </c>
      <c r="Q88" s="3" t="inlineStr">
        <is>
          <t>16 nháy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7" t="inlineStr">
        <is>
          <t>KHÔNG</t>
        </is>
      </c>
      <c r="M89" s="7" t="inlineStr">
        <is>
          <t>KHÔNG</t>
        </is>
      </c>
      <c r="N89" s="7" t="inlineStr">
        <is>
          <t>KHÔNG</t>
        </is>
      </c>
      <c r="O89" s="3" t="inlineStr">
        <is>
          <t>15 - 51</t>
        </is>
      </c>
      <c r="P89" s="3" t="inlineStr">
        <is>
          <t>0 nháy</t>
        </is>
      </c>
      <c r="Q89" s="3" t="inlineStr">
        <is>
          <t>12 nháy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6" t="inlineStr">
        <is>
          <t>TRÚNG</t>
        </is>
      </c>
      <c r="M90" s="7" t="inlineStr">
        <is>
          <t>KHÔNG</t>
        </is>
      </c>
      <c r="N90" s="7" t="inlineStr">
        <is>
          <t>KHÔNG</t>
        </is>
      </c>
      <c r="O90" s="3" t="inlineStr">
        <is>
          <t>08 - 80</t>
        </is>
      </c>
      <c r="P90" s="3" t="inlineStr">
        <is>
          <t>0 nháy</t>
        </is>
      </c>
      <c r="Q90" s="3" t="inlineStr">
        <is>
          <t>17 nháy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6" t="inlineStr">
        <is>
          <t>TRÚNG</t>
        </is>
      </c>
      <c r="M91" s="7" t="inlineStr">
        <is>
          <t>KHÔNG</t>
        </is>
      </c>
      <c r="N91" s="7" t="inlineStr">
        <is>
          <t>KHÔNG</t>
        </is>
      </c>
      <c r="O91" s="3" t="inlineStr">
        <is>
          <t>81 - 18</t>
        </is>
      </c>
      <c r="P91" s="3" t="inlineStr">
        <is>
          <t>0 nháy</t>
        </is>
      </c>
      <c r="Q91" s="3" t="inlineStr">
        <is>
          <t>7 nháy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7" t="inlineStr">
        <is>
          <t>KHÔNG</t>
        </is>
      </c>
      <c r="M92" s="7" t="inlineStr">
        <is>
          <t>KHÔNG</t>
        </is>
      </c>
      <c r="N92" s="7" t="inlineStr">
        <is>
          <t>KHÔNG</t>
        </is>
      </c>
      <c r="O92" s="3" t="inlineStr">
        <is>
          <t>22</t>
        </is>
      </c>
      <c r="P92" s="3" t="inlineStr">
        <is>
          <t>0 nháy</t>
        </is>
      </c>
      <c r="Q92" s="3" t="inlineStr">
        <is>
          <t>11 nháy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7" t="inlineStr">
        <is>
          <t>KHÔNG</t>
        </is>
      </c>
      <c r="M93" s="7" t="inlineStr">
        <is>
          <t>KHÔNG</t>
        </is>
      </c>
      <c r="N93" s="7" t="inlineStr">
        <is>
          <t>KHÔNG</t>
        </is>
      </c>
      <c r="O93" s="3" t="inlineStr">
        <is>
          <t>78 - 87</t>
        </is>
      </c>
      <c r="P93" s="3" t="inlineStr">
        <is>
          <t>0 nháy</t>
        </is>
      </c>
      <c r="Q93" s="3" t="inlineStr">
        <is>
          <t>11 nháy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6" t="inlineStr">
        <is>
          <t>TRÚNG</t>
        </is>
      </c>
      <c r="M94" s="6" t="inlineStr">
        <is>
          <t>TRÚNG</t>
        </is>
      </c>
      <c r="N94" s="7" t="inlineStr">
        <is>
          <t>KHÔNG</t>
        </is>
      </c>
      <c r="O94" s="3" t="inlineStr">
        <is>
          <t>30 - 03</t>
        </is>
      </c>
      <c r="P94" s="3" t="inlineStr">
        <is>
          <t>0 nháy</t>
        </is>
      </c>
      <c r="Q94" s="3" t="inlineStr">
        <is>
          <t>8 nháy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6" t="inlineStr">
        <is>
          <t>TRÚNG</t>
        </is>
      </c>
      <c r="M95" s="7" t="inlineStr">
        <is>
          <t>KHÔNG</t>
        </is>
      </c>
      <c r="N95" s="7" t="inlineStr">
        <is>
          <t>KHÔNG</t>
        </is>
      </c>
      <c r="O95" s="3" t="inlineStr">
        <is>
          <t>33</t>
        </is>
      </c>
      <c r="P95" s="3" t="inlineStr">
        <is>
          <t>0 nháy</t>
        </is>
      </c>
      <c r="Q95" s="3" t="inlineStr">
        <is>
          <t>8 nháy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7" t="inlineStr">
        <is>
          <t>KHÔNG</t>
        </is>
      </c>
      <c r="M96" s="7" t="inlineStr">
        <is>
          <t>KHÔNG</t>
        </is>
      </c>
      <c r="N96" s="7" t="inlineStr">
        <is>
          <t>KHÔNG</t>
        </is>
      </c>
      <c r="O96" s="3" t="inlineStr">
        <is>
          <t>84 - 48</t>
        </is>
      </c>
      <c r="P96" s="3" t="inlineStr">
        <is>
          <t>1 nháy 🎯</t>
        </is>
      </c>
      <c r="Q96" s="3" t="inlineStr">
        <is>
          <t>13 nháy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6" t="inlineStr">
        <is>
          <t>TRÚNG</t>
        </is>
      </c>
      <c r="M97" s="7" t="inlineStr">
        <is>
          <t>KHÔNG</t>
        </is>
      </c>
      <c r="N97" s="6" t="inlineStr">
        <is>
          <t>TRÚNG</t>
        </is>
      </c>
      <c r="O97" s="3" t="inlineStr">
        <is>
          <t>51 - 15</t>
        </is>
      </c>
      <c r="P97" s="3" t="inlineStr">
        <is>
          <t>0 nháy</t>
        </is>
      </c>
      <c r="Q97" s="3" t="inlineStr">
        <is>
          <t>21 nháy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6" t="inlineStr">
        <is>
          <t>TRÚNG</t>
        </is>
      </c>
      <c r="M98" s="7" t="inlineStr">
        <is>
          <t>KHÔNG</t>
        </is>
      </c>
      <c r="N98" s="7" t="inlineStr">
        <is>
          <t>KHÔNG</t>
        </is>
      </c>
      <c r="O98" s="3" t="inlineStr">
        <is>
          <t>49 - 94</t>
        </is>
      </c>
      <c r="P98" s="3" t="inlineStr">
        <is>
          <t>0 nháy</t>
        </is>
      </c>
      <c r="Q98" s="3" t="inlineStr">
        <is>
          <t>9 nháy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6" t="inlineStr">
        <is>
          <t>TRÚNG</t>
        </is>
      </c>
      <c r="M99" s="7" t="inlineStr">
        <is>
          <t>KHÔNG</t>
        </is>
      </c>
      <c r="N99" s="6" t="inlineStr">
        <is>
          <t>TRÚNG</t>
        </is>
      </c>
      <c r="O99" s="3" t="inlineStr">
        <is>
          <t>66</t>
        </is>
      </c>
      <c r="P99" s="3" t="inlineStr">
        <is>
          <t>0 nháy</t>
        </is>
      </c>
      <c r="Q99" s="3" t="inlineStr">
        <is>
          <t>11 nháy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6" t="inlineStr">
        <is>
          <t>TRÚNG</t>
        </is>
      </c>
      <c r="M100" s="6" t="inlineStr">
        <is>
          <t>TRÚNG</t>
        </is>
      </c>
      <c r="N100" s="7" t="inlineStr">
        <is>
          <t>KHÔNG</t>
        </is>
      </c>
      <c r="O100" s="3" t="inlineStr">
        <is>
          <t>87 - 78</t>
        </is>
      </c>
      <c r="P100" s="3" t="inlineStr">
        <is>
          <t>1 nháy 🎯</t>
        </is>
      </c>
      <c r="Q100" s="3" t="inlineStr">
        <is>
          <t>17 nháy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6" t="inlineStr">
        <is>
          <t>TRÚNG</t>
        </is>
      </c>
      <c r="M101" s="6" t="inlineStr">
        <is>
          <t>TRÚNG</t>
        </is>
      </c>
      <c r="N101" s="7" t="inlineStr">
        <is>
          <t>KHÔNG</t>
        </is>
      </c>
      <c r="O101" s="3" t="inlineStr">
        <is>
          <t>66</t>
        </is>
      </c>
      <c r="P101" s="3" t="inlineStr">
        <is>
          <t>0 nháy</t>
        </is>
      </c>
      <c r="Q101" s="3" t="inlineStr">
        <is>
          <t>16 nháy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6" t="inlineStr">
        <is>
          <t>TRÚNG</t>
        </is>
      </c>
      <c r="M102" s="6" t="inlineStr">
        <is>
          <t>TRÚNG</t>
        </is>
      </c>
      <c r="N102" s="6" t="inlineStr">
        <is>
          <t>TRÚNG</t>
        </is>
      </c>
      <c r="O102" s="3" t="inlineStr">
        <is>
          <t>34 - 43</t>
        </is>
      </c>
      <c r="P102" s="3" t="inlineStr">
        <is>
          <t>0 nháy</t>
        </is>
      </c>
      <c r="Q102" s="3" t="inlineStr">
        <is>
          <t>19 nháy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6" t="inlineStr">
        <is>
          <t>TRÚNG</t>
        </is>
      </c>
      <c r="M103" s="6" t="inlineStr">
        <is>
          <t>TRÚNG</t>
        </is>
      </c>
      <c r="N103" s="7" t="inlineStr">
        <is>
          <t>KHÔNG</t>
        </is>
      </c>
      <c r="O103" s="3" t="inlineStr">
        <is>
          <t>09 - 90</t>
        </is>
      </c>
      <c r="P103" s="3" t="inlineStr">
        <is>
          <t>0 nháy</t>
        </is>
      </c>
      <c r="Q103" s="3" t="inlineStr">
        <is>
          <t>11 nháy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6" t="inlineStr">
        <is>
          <t>TRÚNG</t>
        </is>
      </c>
      <c r="M104" s="6" t="inlineStr">
        <is>
          <t>TRÚNG</t>
        </is>
      </c>
      <c r="N104" s="7" t="inlineStr">
        <is>
          <t>KHÔNG</t>
        </is>
      </c>
      <c r="O104" s="3" t="inlineStr">
        <is>
          <t>50 - 05</t>
        </is>
      </c>
      <c r="P104" s="3" t="inlineStr">
        <is>
          <t>1 nháy 🎯</t>
        </is>
      </c>
      <c r="Q104" s="3" t="inlineStr">
        <is>
          <t>8 nháy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6" t="inlineStr">
        <is>
          <t>TRÚNG</t>
        </is>
      </c>
      <c r="M105" s="7" t="inlineStr">
        <is>
          <t>KHÔNG</t>
        </is>
      </c>
      <c r="N105" s="7" t="inlineStr">
        <is>
          <t>KHÔNG</t>
        </is>
      </c>
      <c r="O105" s="3" t="inlineStr">
        <is>
          <t>95 - 59</t>
        </is>
      </c>
      <c r="P105" s="3" t="inlineStr">
        <is>
          <t>0 nháy</t>
        </is>
      </c>
      <c r="Q105" s="3" t="inlineStr">
        <is>
          <t>11 nháy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7" t="inlineStr">
        <is>
          <t>KHÔNG</t>
        </is>
      </c>
      <c r="M106" s="6" t="inlineStr">
        <is>
          <t>TRÚNG</t>
        </is>
      </c>
      <c r="N106" s="7" t="inlineStr">
        <is>
          <t>KHÔNG</t>
        </is>
      </c>
      <c r="O106" s="3" t="inlineStr">
        <is>
          <t>22</t>
        </is>
      </c>
      <c r="P106" s="3" t="inlineStr">
        <is>
          <t>1 nháy 🎯</t>
        </is>
      </c>
      <c r="Q106" s="3" t="inlineStr">
        <is>
          <t>6 nháy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6" t="inlineStr">
        <is>
          <t>TRÚNG</t>
        </is>
      </c>
      <c r="M107" s="7" t="inlineStr">
        <is>
          <t>KHÔNG</t>
        </is>
      </c>
      <c r="N107" s="7" t="inlineStr">
        <is>
          <t>KHÔNG</t>
        </is>
      </c>
      <c r="O107" s="3" t="inlineStr">
        <is>
          <t>22</t>
        </is>
      </c>
      <c r="P107" s="3" t="inlineStr">
        <is>
          <t>0 nháy</t>
        </is>
      </c>
      <c r="Q107" s="3" t="inlineStr">
        <is>
          <t>13 nháy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6" t="inlineStr">
        <is>
          <t>TRÚNG</t>
        </is>
      </c>
      <c r="M108" s="7" t="inlineStr">
        <is>
          <t>KHÔNG</t>
        </is>
      </c>
      <c r="N108" s="7" t="inlineStr">
        <is>
          <t>KHÔNG</t>
        </is>
      </c>
      <c r="O108" s="3" t="inlineStr">
        <is>
          <t>63 - 36</t>
        </is>
      </c>
      <c r="P108" s="3" t="inlineStr">
        <is>
          <t>0 nháy</t>
        </is>
      </c>
      <c r="Q108" s="3" t="inlineStr">
        <is>
          <t>10 nháy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7" t="inlineStr">
        <is>
          <t>KHÔNG</t>
        </is>
      </c>
      <c r="M109" s="7" t="inlineStr">
        <is>
          <t>KHÔNG</t>
        </is>
      </c>
      <c r="N109" s="7" t="inlineStr">
        <is>
          <t>KHÔNG</t>
        </is>
      </c>
      <c r="O109" s="3" t="inlineStr">
        <is>
          <t>67 - 76</t>
        </is>
      </c>
      <c r="P109" s="3" t="inlineStr">
        <is>
          <t>1 nháy 🎯</t>
        </is>
      </c>
      <c r="Q109" s="3" t="inlineStr">
        <is>
          <t>19 nháy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6" t="inlineStr">
        <is>
          <t>TRÚNG</t>
        </is>
      </c>
      <c r="M110" s="7" t="inlineStr">
        <is>
          <t>KHÔNG</t>
        </is>
      </c>
      <c r="N110" s="7" t="inlineStr">
        <is>
          <t>KHÔNG</t>
        </is>
      </c>
      <c r="O110" s="3" t="inlineStr">
        <is>
          <t>37 - 73</t>
        </is>
      </c>
      <c r="P110" s="3" t="inlineStr">
        <is>
          <t>1 nháy 🎯</t>
        </is>
      </c>
      <c r="Q110" s="3" t="inlineStr">
        <is>
          <t>5 nháy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6" t="inlineStr">
        <is>
          <t>TRÚNG</t>
        </is>
      </c>
      <c r="M111" s="6" t="inlineStr">
        <is>
          <t>TRÚNG</t>
        </is>
      </c>
      <c r="N111" s="7" t="inlineStr">
        <is>
          <t>KHÔNG</t>
        </is>
      </c>
      <c r="O111" s="3" t="inlineStr">
        <is>
          <t>93 - 39</t>
        </is>
      </c>
      <c r="P111" s="3" t="inlineStr">
        <is>
          <t>1 nháy 🎯</t>
        </is>
      </c>
      <c r="Q111" s="3" t="inlineStr">
        <is>
          <t>10 nháy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6" t="inlineStr">
        <is>
          <t>TRÚNG</t>
        </is>
      </c>
      <c r="M112" s="7" t="inlineStr">
        <is>
          <t>KHÔNG</t>
        </is>
      </c>
      <c r="N112" s="7" t="inlineStr">
        <is>
          <t>KHÔNG</t>
        </is>
      </c>
      <c r="O112" s="3" t="inlineStr">
        <is>
          <t>86 - 68</t>
        </is>
      </c>
      <c r="P112" s="3" t="inlineStr">
        <is>
          <t>0 nháy</t>
        </is>
      </c>
      <c r="Q112" s="3" t="inlineStr">
        <is>
          <t>14 nháy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6" t="inlineStr">
        <is>
          <t>TRÚNG</t>
        </is>
      </c>
      <c r="M113" s="7" t="inlineStr">
        <is>
          <t>KHÔNG</t>
        </is>
      </c>
      <c r="N113" s="7" t="inlineStr">
        <is>
          <t>KHÔNG</t>
        </is>
      </c>
      <c r="O113" s="3" t="inlineStr">
        <is>
          <t>39 - 93</t>
        </is>
      </c>
      <c r="P113" s="3" t="inlineStr">
        <is>
          <t>1 nháy 🎯</t>
        </is>
      </c>
      <c r="Q113" s="3" t="inlineStr">
        <is>
          <t>10 nháy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7" t="inlineStr">
        <is>
          <t>KHÔNG</t>
        </is>
      </c>
      <c r="M114" s="7" t="inlineStr">
        <is>
          <t>KHÔNG</t>
        </is>
      </c>
      <c r="N114" s="7" t="inlineStr">
        <is>
          <t>KHÔNG</t>
        </is>
      </c>
      <c r="O114" s="3" t="inlineStr">
        <is>
          <t>05 - 50</t>
        </is>
      </c>
      <c r="P114" s="3" t="inlineStr">
        <is>
          <t>1 nháy 🎯</t>
        </is>
      </c>
      <c r="Q114" s="3" t="inlineStr">
        <is>
          <t>3 nháy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6" t="inlineStr">
        <is>
          <t>TRÚNG</t>
        </is>
      </c>
      <c r="M115" s="7" t="inlineStr">
        <is>
          <t>KHÔNG</t>
        </is>
      </c>
      <c r="N115" s="6" t="inlineStr">
        <is>
          <t>TRÚNG</t>
        </is>
      </c>
      <c r="O115" s="3" t="inlineStr">
        <is>
          <t>59 - 95</t>
        </is>
      </c>
      <c r="P115" s="3" t="inlineStr">
        <is>
          <t>0 nháy</t>
        </is>
      </c>
      <c r="Q115" s="3" t="inlineStr">
        <is>
          <t>21 nháy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6" t="inlineStr">
        <is>
          <t>TRÚNG</t>
        </is>
      </c>
      <c r="M116" s="7" t="inlineStr">
        <is>
          <t>KHÔNG</t>
        </is>
      </c>
      <c r="N116" s="6" t="inlineStr">
        <is>
          <t>TRÚNG</t>
        </is>
      </c>
      <c r="O116" s="3" t="inlineStr">
        <is>
          <t>27 - 72</t>
        </is>
      </c>
      <c r="P116" s="3" t="inlineStr">
        <is>
          <t>1 nháy 🎯</t>
        </is>
      </c>
      <c r="Q116" s="3" t="inlineStr">
        <is>
          <t>12 nháy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6" t="inlineStr">
        <is>
          <t>TRÚNG</t>
        </is>
      </c>
      <c r="M117" s="7" t="inlineStr">
        <is>
          <t>KHÔNG</t>
        </is>
      </c>
      <c r="N117" s="7" t="inlineStr">
        <is>
          <t>KHÔNG</t>
        </is>
      </c>
      <c r="O117" s="3" t="inlineStr">
        <is>
          <t>04 - 40</t>
        </is>
      </c>
      <c r="P117" s="3" t="inlineStr">
        <is>
          <t>0 nháy</t>
        </is>
      </c>
      <c r="Q117" s="3" t="inlineStr">
        <is>
          <t>6 nháy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6" t="inlineStr">
        <is>
          <t>TRÚNG</t>
        </is>
      </c>
      <c r="M118" s="7" t="inlineStr">
        <is>
          <t>KHÔNG</t>
        </is>
      </c>
      <c r="N118" s="7" t="inlineStr">
        <is>
          <t>KHÔNG</t>
        </is>
      </c>
      <c r="O118" s="3" t="inlineStr">
        <is>
          <t>29 - 92</t>
        </is>
      </c>
      <c r="P118" s="3" t="inlineStr">
        <is>
          <t>0 nháy</t>
        </is>
      </c>
      <c r="Q118" s="3" t="inlineStr">
        <is>
          <t>14 nháy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6" t="inlineStr">
        <is>
          <t>TRÚNG</t>
        </is>
      </c>
      <c r="M119" s="7" t="inlineStr">
        <is>
          <t>KHÔNG</t>
        </is>
      </c>
      <c r="N119" s="6" t="inlineStr">
        <is>
          <t>TRÚNG</t>
        </is>
      </c>
      <c r="O119" s="3" t="inlineStr">
        <is>
          <t>37 - 73</t>
        </is>
      </c>
      <c r="P119" s="3" t="inlineStr">
        <is>
          <t>1 nháy 🎯</t>
        </is>
      </c>
      <c r="Q119" s="3" t="inlineStr">
        <is>
          <t>15 nháy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6" t="inlineStr">
        <is>
          <t>TRÚNG</t>
        </is>
      </c>
      <c r="M120" s="6" t="inlineStr">
        <is>
          <t>TRÚNG</t>
        </is>
      </c>
      <c r="N120" s="7" t="inlineStr">
        <is>
          <t>KHÔNG</t>
        </is>
      </c>
      <c r="O120" s="3" t="inlineStr">
        <is>
          <t>31 - 13</t>
        </is>
      </c>
      <c r="P120" s="3" t="inlineStr">
        <is>
          <t>0 nháy</t>
        </is>
      </c>
      <c r="Q120" s="3" t="inlineStr">
        <is>
          <t>16 nháy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6" t="inlineStr">
        <is>
          <t>TRÚNG</t>
        </is>
      </c>
      <c r="M121" s="6" t="inlineStr">
        <is>
          <t>TRÚNG</t>
        </is>
      </c>
      <c r="N121" s="6" t="inlineStr">
        <is>
          <t>TRÚNG</t>
        </is>
      </c>
      <c r="O121" s="3" t="inlineStr">
        <is>
          <t>00</t>
        </is>
      </c>
      <c r="P121" s="3" t="inlineStr">
        <is>
          <t>0 nháy</t>
        </is>
      </c>
      <c r="Q121" s="3" t="inlineStr">
        <is>
          <t>15 nháy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6" t="inlineStr">
        <is>
          <t>TRÚNG</t>
        </is>
      </c>
      <c r="M122" s="7" t="inlineStr">
        <is>
          <t>KHÔNG</t>
        </is>
      </c>
      <c r="N122" s="7" t="inlineStr">
        <is>
          <t>KHÔNG</t>
        </is>
      </c>
      <c r="O122" s="3" t="inlineStr">
        <is>
          <t>78 - 87</t>
        </is>
      </c>
      <c r="P122" s="3" t="inlineStr">
        <is>
          <t>0 nháy</t>
        </is>
      </c>
      <c r="Q122" s="3" t="inlineStr">
        <is>
          <t>5 nháy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6" t="inlineStr">
        <is>
          <t>TRÚNG</t>
        </is>
      </c>
      <c r="M123" s="7" t="inlineStr">
        <is>
          <t>KHÔNG</t>
        </is>
      </c>
      <c r="N123" s="6" t="inlineStr">
        <is>
          <t>TRÚNG</t>
        </is>
      </c>
      <c r="O123" s="3" t="inlineStr">
        <is>
          <t>34 - 43</t>
        </is>
      </c>
      <c r="P123" s="3" t="inlineStr">
        <is>
          <t>0 nháy</t>
        </is>
      </c>
      <c r="Q123" s="3" t="inlineStr">
        <is>
          <t>16 nháy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6" t="inlineStr">
        <is>
          <t>TRÚNG</t>
        </is>
      </c>
      <c r="M124" s="6" t="inlineStr">
        <is>
          <t>TRÚNG</t>
        </is>
      </c>
      <c r="N124" s="6" t="inlineStr">
        <is>
          <t>TRÚNG</t>
        </is>
      </c>
      <c r="O124" s="3" t="inlineStr">
        <is>
          <t>46 - 64</t>
        </is>
      </c>
      <c r="P124" s="3" t="inlineStr">
        <is>
          <t>1 nháy 🎯</t>
        </is>
      </c>
      <c r="Q124" s="3" t="inlineStr">
        <is>
          <t>20 nháy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6" t="inlineStr">
        <is>
          <t>TRÚNG</t>
        </is>
      </c>
      <c r="M125" s="7" t="inlineStr">
        <is>
          <t>KHÔNG</t>
        </is>
      </c>
      <c r="N125" s="6" t="inlineStr">
        <is>
          <t>TRÚNG</t>
        </is>
      </c>
      <c r="O125" s="3" t="inlineStr">
        <is>
          <t>47 - 74</t>
        </is>
      </c>
      <c r="P125" s="3" t="inlineStr">
        <is>
          <t>0 nháy</t>
        </is>
      </c>
      <c r="Q125" s="3" t="inlineStr">
        <is>
          <t>10 nháy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6" t="inlineStr">
        <is>
          <t>TRÚNG</t>
        </is>
      </c>
      <c r="M126" s="7" t="inlineStr">
        <is>
          <t>KHÔNG</t>
        </is>
      </c>
      <c r="N126" s="6" t="inlineStr">
        <is>
          <t>TRÚNG</t>
        </is>
      </c>
      <c r="O126" s="3" t="inlineStr">
        <is>
          <t>69 - 96</t>
        </is>
      </c>
      <c r="P126" s="3" t="inlineStr">
        <is>
          <t>2 nháy 🎯</t>
        </is>
      </c>
      <c r="Q126" s="3" t="inlineStr">
        <is>
          <t>9 nháy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6" t="inlineStr">
        <is>
          <t>TRÚNG</t>
        </is>
      </c>
      <c r="M127" s="6" t="inlineStr">
        <is>
          <t>TRÚNG</t>
        </is>
      </c>
      <c r="N127" s="6" t="inlineStr">
        <is>
          <t>TRÚNG</t>
        </is>
      </c>
      <c r="O127" s="3" t="inlineStr">
        <is>
          <t>17 - 71</t>
        </is>
      </c>
      <c r="P127" s="3" t="inlineStr">
        <is>
          <t>2 nháy 🎯</t>
        </is>
      </c>
      <c r="Q127" s="3" t="inlineStr">
        <is>
          <t>17 nháy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6" t="inlineStr">
        <is>
          <t>TRÚNG</t>
        </is>
      </c>
      <c r="M128" s="7" t="inlineStr">
        <is>
          <t>KHÔNG</t>
        </is>
      </c>
      <c r="N128" s="6" t="inlineStr">
        <is>
          <t>TRÚNG</t>
        </is>
      </c>
      <c r="O128" s="3" t="inlineStr">
        <is>
          <t>30 - 03</t>
        </is>
      </c>
      <c r="P128" s="3" t="inlineStr">
        <is>
          <t>0 nháy</t>
        </is>
      </c>
      <c r="Q128" s="3" t="inlineStr">
        <is>
          <t>16 nháy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6" t="inlineStr">
        <is>
          <t>TRÚNG</t>
        </is>
      </c>
      <c r="M129" s="6" t="inlineStr">
        <is>
          <t>TRÚNG</t>
        </is>
      </c>
      <c r="N129" s="6" t="inlineStr">
        <is>
          <t>TRÚNG</t>
        </is>
      </c>
      <c r="O129" s="3" t="inlineStr">
        <is>
          <t>95 - 59</t>
        </is>
      </c>
      <c r="P129" s="3" t="inlineStr">
        <is>
          <t>0 nháy</t>
        </is>
      </c>
      <c r="Q129" s="3" t="inlineStr">
        <is>
          <t>18 nháy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6" t="inlineStr">
        <is>
          <t>TRÚNG</t>
        </is>
      </c>
      <c r="M130" s="7" t="inlineStr">
        <is>
          <t>KHÔNG</t>
        </is>
      </c>
      <c r="N130" s="6" t="inlineStr">
        <is>
          <t>TRÚNG</t>
        </is>
      </c>
      <c r="O130" s="3" t="inlineStr">
        <is>
          <t>16 - 61</t>
        </is>
      </c>
      <c r="P130" s="3" t="inlineStr">
        <is>
          <t>2 nháy 🎯</t>
        </is>
      </c>
      <c r="Q130" s="3" t="inlineStr">
        <is>
          <t>12 nháy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6" t="inlineStr">
        <is>
          <t>TRÚNG</t>
        </is>
      </c>
      <c r="M131" s="7" t="inlineStr">
        <is>
          <t>KHÔNG</t>
        </is>
      </c>
      <c r="N131" s="6" t="inlineStr">
        <is>
          <t>TRÚNG</t>
        </is>
      </c>
      <c r="O131" s="3" t="inlineStr">
        <is>
          <t>64 - 46</t>
        </is>
      </c>
      <c r="P131" s="3" t="inlineStr">
        <is>
          <t>1 nháy 🎯</t>
        </is>
      </c>
      <c r="Q131" s="3" t="inlineStr">
        <is>
          <t>10 nháy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7" t="inlineStr">
        <is>
          <t>KHÔNG</t>
        </is>
      </c>
      <c r="M132" s="6" t="inlineStr">
        <is>
          <t>TRÚNG</t>
        </is>
      </c>
      <c r="N132" s="7" t="inlineStr">
        <is>
          <t>KHÔNG</t>
        </is>
      </c>
      <c r="O132" s="3" t="inlineStr">
        <is>
          <t>05 - 50</t>
        </is>
      </c>
      <c r="P132" s="3" t="inlineStr">
        <is>
          <t>0 nháy</t>
        </is>
      </c>
      <c r="Q132" s="3" t="inlineStr">
        <is>
          <t>7 nháy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6" t="inlineStr">
        <is>
          <t>TRÚNG</t>
        </is>
      </c>
      <c r="M133" s="6" t="inlineStr">
        <is>
          <t>TRÚNG</t>
        </is>
      </c>
      <c r="N133" s="6" t="inlineStr">
        <is>
          <t>TRÚNG</t>
        </is>
      </c>
      <c r="O133" s="3" t="inlineStr">
        <is>
          <t>12 - 21</t>
        </is>
      </c>
      <c r="P133" s="3" t="inlineStr">
        <is>
          <t>1 nháy 🎯</t>
        </is>
      </c>
      <c r="Q133" s="3" t="inlineStr">
        <is>
          <t>18 nháy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7" t="inlineStr">
        <is>
          <t>KHÔNG</t>
        </is>
      </c>
      <c r="M134" s="7" t="inlineStr">
        <is>
          <t>KHÔNG</t>
        </is>
      </c>
      <c r="N134" s="7" t="inlineStr">
        <is>
          <t>KHÔNG</t>
        </is>
      </c>
      <c r="O134" s="3" t="inlineStr">
        <is>
          <t>86 - 68</t>
        </is>
      </c>
      <c r="P134" s="3" t="inlineStr">
        <is>
          <t>0 nháy</t>
        </is>
      </c>
      <c r="Q134" s="3" t="inlineStr">
        <is>
          <t>14 nháy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6" t="inlineStr">
        <is>
          <t>TRÚNG</t>
        </is>
      </c>
      <c r="M135" s="7" t="inlineStr">
        <is>
          <t>KHÔNG</t>
        </is>
      </c>
      <c r="N135" s="7" t="inlineStr">
        <is>
          <t>KHÔNG</t>
        </is>
      </c>
      <c r="O135" s="3" t="inlineStr">
        <is>
          <t>28 - 82</t>
        </is>
      </c>
      <c r="P135" s="3" t="inlineStr">
        <is>
          <t>0 nháy</t>
        </is>
      </c>
      <c r="Q135" s="3" t="inlineStr">
        <is>
          <t>9 nháy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6" t="inlineStr">
        <is>
          <t>TRÚNG</t>
        </is>
      </c>
      <c r="M136" s="7" t="inlineStr">
        <is>
          <t>KHÔNG</t>
        </is>
      </c>
      <c r="N136" s="7" t="inlineStr">
        <is>
          <t>KHÔNG</t>
        </is>
      </c>
      <c r="O136" s="3" t="inlineStr">
        <is>
          <t>33</t>
        </is>
      </c>
      <c r="P136" s="3" t="inlineStr">
        <is>
          <t>0 nháy</t>
        </is>
      </c>
      <c r="Q136" s="3" t="inlineStr">
        <is>
          <t>6 nháy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6" t="inlineStr">
        <is>
          <t>TRÚNG</t>
        </is>
      </c>
      <c r="M137" s="6" t="inlineStr">
        <is>
          <t>TRÚNG</t>
        </is>
      </c>
      <c r="N137" s="6" t="inlineStr">
        <is>
          <t>TRÚNG</t>
        </is>
      </c>
      <c r="O137" s="3" t="inlineStr">
        <is>
          <t>03 - 30</t>
        </is>
      </c>
      <c r="P137" s="3" t="inlineStr">
        <is>
          <t>0 nháy</t>
        </is>
      </c>
      <c r="Q137" s="3" t="inlineStr">
        <is>
          <t>14 nháy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6" t="inlineStr">
        <is>
          <t>TRÚNG</t>
        </is>
      </c>
      <c r="M138" s="7" t="inlineStr">
        <is>
          <t>KHÔNG</t>
        </is>
      </c>
      <c r="N138" s="6" t="inlineStr">
        <is>
          <t>TRÚNG</t>
        </is>
      </c>
      <c r="O138" s="3" t="inlineStr">
        <is>
          <t>43 - 34</t>
        </is>
      </c>
      <c r="P138" s="3" t="inlineStr">
        <is>
          <t>0 nháy</t>
        </is>
      </c>
      <c r="Q138" s="3" t="inlineStr">
        <is>
          <t>11 nháy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6" t="inlineStr">
        <is>
          <t>TRÚNG</t>
        </is>
      </c>
      <c r="M139" s="7" t="inlineStr">
        <is>
          <t>KHÔNG</t>
        </is>
      </c>
      <c r="N139" s="6" t="inlineStr">
        <is>
          <t>TRÚNG</t>
        </is>
      </c>
      <c r="O139" s="3" t="inlineStr">
        <is>
          <t>64 - 46</t>
        </is>
      </c>
      <c r="P139" s="3" t="inlineStr">
        <is>
          <t>0 nháy</t>
        </is>
      </c>
      <c r="Q139" s="3" t="inlineStr">
        <is>
          <t>13 nháy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6" t="inlineStr">
        <is>
          <t>TRÚNG</t>
        </is>
      </c>
      <c r="M140" s="7" t="inlineStr">
        <is>
          <t>KHÔNG</t>
        </is>
      </c>
      <c r="N140" s="6" t="inlineStr">
        <is>
          <t>TRÚNG</t>
        </is>
      </c>
      <c r="O140" s="3" t="inlineStr">
        <is>
          <t>03 - 30</t>
        </is>
      </c>
      <c r="P140" s="3" t="inlineStr">
        <is>
          <t>0 nháy</t>
        </is>
      </c>
      <c r="Q140" s="3" t="inlineStr">
        <is>
          <t>15 nháy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6" t="inlineStr">
        <is>
          <t>TRÚNG</t>
        </is>
      </c>
      <c r="M141" s="7" t="inlineStr">
        <is>
          <t>KHÔNG</t>
        </is>
      </c>
      <c r="N141" s="7" t="inlineStr">
        <is>
          <t>KHÔNG</t>
        </is>
      </c>
      <c r="O141" s="3" t="inlineStr">
        <is>
          <t>15 - 51</t>
        </is>
      </c>
      <c r="P141" s="3" t="inlineStr">
        <is>
          <t>0 nháy</t>
        </is>
      </c>
      <c r="Q141" s="3" t="inlineStr">
        <is>
          <t>13 nháy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6" t="inlineStr">
        <is>
          <t>TRÚNG</t>
        </is>
      </c>
      <c r="M142" s="7" t="inlineStr">
        <is>
          <t>KHÔNG</t>
        </is>
      </c>
      <c r="N142" s="6" t="inlineStr">
        <is>
          <t>TRÚNG</t>
        </is>
      </c>
      <c r="O142" s="3" t="inlineStr">
        <is>
          <t>67 - 76</t>
        </is>
      </c>
      <c r="P142" s="3" t="inlineStr">
        <is>
          <t>1 nháy 🎯</t>
        </is>
      </c>
      <c r="Q142" s="3" t="inlineStr">
        <is>
          <t>10 nháy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6" t="inlineStr">
        <is>
          <t>TRÚNG</t>
        </is>
      </c>
      <c r="M143" s="7" t="inlineStr">
        <is>
          <t>KHÔNG</t>
        </is>
      </c>
      <c r="N143" s="6" t="inlineStr">
        <is>
          <t>TRÚNG</t>
        </is>
      </c>
      <c r="O143" s="3" t="inlineStr">
        <is>
          <t>11</t>
        </is>
      </c>
      <c r="P143" s="3" t="inlineStr">
        <is>
          <t>0 nháy</t>
        </is>
      </c>
      <c r="Q143" s="3" t="inlineStr">
        <is>
          <t>10 nháy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6" t="inlineStr">
        <is>
          <t>TRÚNG</t>
        </is>
      </c>
      <c r="M144" s="6" t="inlineStr">
        <is>
          <t>TRÚNG</t>
        </is>
      </c>
      <c r="N144" s="7" t="inlineStr">
        <is>
          <t>KHÔNG</t>
        </is>
      </c>
      <c r="O144" s="3" t="inlineStr">
        <is>
          <t>34 - 43</t>
        </is>
      </c>
      <c r="P144" s="3" t="inlineStr">
        <is>
          <t>2 nháy 🎯</t>
        </is>
      </c>
      <c r="Q144" s="3" t="inlineStr">
        <is>
          <t>12 nháy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6" t="inlineStr">
        <is>
          <t>TRÚNG</t>
        </is>
      </c>
      <c r="M145" s="7" t="inlineStr">
        <is>
          <t>KHÔNG</t>
        </is>
      </c>
      <c r="N145" s="6" t="inlineStr">
        <is>
          <t>TRÚNG</t>
        </is>
      </c>
      <c r="O145" s="3" t="inlineStr">
        <is>
          <t>41 - 14</t>
        </is>
      </c>
      <c r="P145" s="3" t="inlineStr">
        <is>
          <t>0 nháy</t>
        </is>
      </c>
      <c r="Q145" s="3" t="inlineStr">
        <is>
          <t>24 nháy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6" t="inlineStr">
        <is>
          <t>TRÚNG</t>
        </is>
      </c>
      <c r="M146" s="6" t="inlineStr">
        <is>
          <t>TRÚNG</t>
        </is>
      </c>
      <c r="N146" s="6" t="inlineStr">
        <is>
          <t>TRÚNG</t>
        </is>
      </c>
      <c r="O146" s="3" t="inlineStr">
        <is>
          <t>86 - 68</t>
        </is>
      </c>
      <c r="P146" s="3" t="inlineStr">
        <is>
          <t>1 nháy 🎯</t>
        </is>
      </c>
      <c r="Q146" s="3" t="inlineStr">
        <is>
          <t>12 nháy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6" t="inlineStr">
        <is>
          <t>TRÚNG</t>
        </is>
      </c>
      <c r="M147" s="7" t="inlineStr">
        <is>
          <t>KHÔNG</t>
        </is>
      </c>
      <c r="N147" s="7" t="inlineStr">
        <is>
          <t>KHÔNG</t>
        </is>
      </c>
      <c r="O147" s="3" t="inlineStr">
        <is>
          <t>26 - 62</t>
        </is>
      </c>
      <c r="P147" s="3" t="inlineStr">
        <is>
          <t>0 nháy</t>
        </is>
      </c>
      <c r="Q147" s="3" t="inlineStr">
        <is>
          <t>14 nháy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7" t="inlineStr">
        <is>
          <t>KHÔNG</t>
        </is>
      </c>
      <c r="M148" s="7" t="inlineStr">
        <is>
          <t>KHÔNG</t>
        </is>
      </c>
      <c r="N148" s="7" t="inlineStr">
        <is>
          <t>KHÔNG</t>
        </is>
      </c>
      <c r="O148" s="3" t="inlineStr">
        <is>
          <t>96 - 69</t>
        </is>
      </c>
      <c r="P148" s="3" t="inlineStr">
        <is>
          <t>0 nháy</t>
        </is>
      </c>
      <c r="Q148" s="3" t="inlineStr">
        <is>
          <t>21 nháy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6" t="inlineStr">
        <is>
          <t>TRÚNG</t>
        </is>
      </c>
      <c r="M149" s="7" t="inlineStr">
        <is>
          <t>KHÔNG</t>
        </is>
      </c>
      <c r="N149" s="6" t="inlineStr">
        <is>
          <t>TRÚNG</t>
        </is>
      </c>
      <c r="O149" s="3" t="inlineStr">
        <is>
          <t>71 - 17</t>
        </is>
      </c>
      <c r="P149" s="3" t="inlineStr">
        <is>
          <t>0 nháy</t>
        </is>
      </c>
      <c r="Q149" s="3" t="inlineStr">
        <is>
          <t>22 nháy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6" t="inlineStr">
        <is>
          <t>TRÚNG</t>
        </is>
      </c>
      <c r="M150" s="7" t="inlineStr">
        <is>
          <t>KHÔNG</t>
        </is>
      </c>
      <c r="N150" s="7" t="inlineStr">
        <is>
          <t>KHÔNG</t>
        </is>
      </c>
      <c r="O150" s="3" t="inlineStr">
        <is>
          <t>45 - 54</t>
        </is>
      </c>
      <c r="P150" s="3" t="inlineStr">
        <is>
          <t>1 nháy 🎯</t>
        </is>
      </c>
      <c r="Q150" s="3" t="inlineStr">
        <is>
          <t>12 nháy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6" t="inlineStr">
        <is>
          <t>TRÚNG</t>
        </is>
      </c>
      <c r="M151" s="7" t="inlineStr">
        <is>
          <t>KHÔNG</t>
        </is>
      </c>
      <c r="N151" s="7" t="inlineStr">
        <is>
          <t>KHÔNG</t>
        </is>
      </c>
      <c r="O151" s="3" t="inlineStr">
        <is>
          <t>19 - 91</t>
        </is>
      </c>
      <c r="P151" s="3" t="inlineStr">
        <is>
          <t>0 nháy</t>
        </is>
      </c>
      <c r="Q151" s="3" t="inlineStr">
        <is>
          <t>16 nháy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6" t="inlineStr">
        <is>
          <t>TRÚNG</t>
        </is>
      </c>
      <c r="M152" s="7" t="inlineStr">
        <is>
          <t>KHÔNG</t>
        </is>
      </c>
      <c r="N152" s="6" t="inlineStr">
        <is>
          <t>TRÚNG</t>
        </is>
      </c>
      <c r="O152" s="3" t="inlineStr">
        <is>
          <t>13 - 31</t>
        </is>
      </c>
      <c r="P152" s="3" t="inlineStr">
        <is>
          <t>0 nháy</t>
        </is>
      </c>
      <c r="Q152" s="3" t="inlineStr">
        <is>
          <t>11 nháy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6" t="inlineStr">
        <is>
          <t>TRÚNG</t>
        </is>
      </c>
      <c r="M153" s="7" t="inlineStr">
        <is>
          <t>KHÔNG</t>
        </is>
      </c>
      <c r="N153" s="6" t="inlineStr">
        <is>
          <t>TRÚNG</t>
        </is>
      </c>
      <c r="O153" s="3" t="inlineStr">
        <is>
          <t>54 - 45</t>
        </is>
      </c>
      <c r="P153" s="3" t="inlineStr">
        <is>
          <t>0 nháy</t>
        </is>
      </c>
      <c r="Q153" s="3" t="inlineStr">
        <is>
          <t>8 nháy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6" t="inlineStr">
        <is>
          <t>TRÚNG</t>
        </is>
      </c>
      <c r="M154" s="7" t="inlineStr">
        <is>
          <t>KHÔNG</t>
        </is>
      </c>
      <c r="N154" s="7" t="inlineStr">
        <is>
          <t>KHÔNG</t>
        </is>
      </c>
      <c r="O154" s="3" t="inlineStr">
        <is>
          <t>74 - 47</t>
        </is>
      </c>
      <c r="P154" s="3" t="inlineStr">
        <is>
          <t>0 nháy</t>
        </is>
      </c>
      <c r="Q154" s="3" t="inlineStr">
        <is>
          <t>10 nháy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6" t="inlineStr">
        <is>
          <t>TRÚNG</t>
        </is>
      </c>
      <c r="M155" s="7" t="inlineStr">
        <is>
          <t>KHÔNG</t>
        </is>
      </c>
      <c r="N155" s="7" t="inlineStr">
        <is>
          <t>KHÔNG</t>
        </is>
      </c>
      <c r="O155" s="3" t="inlineStr">
        <is>
          <t>40 - 04</t>
        </is>
      </c>
      <c r="P155" s="3" t="inlineStr">
        <is>
          <t>0 nháy</t>
        </is>
      </c>
      <c r="Q155" s="3" t="inlineStr">
        <is>
          <t>14 nháy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6" t="inlineStr">
        <is>
          <t>TRÚNG</t>
        </is>
      </c>
      <c r="M156" s="7" t="inlineStr">
        <is>
          <t>KHÔNG</t>
        </is>
      </c>
      <c r="N156" s="6" t="inlineStr">
        <is>
          <t>TRÚNG</t>
        </is>
      </c>
      <c r="O156" s="3" t="inlineStr">
        <is>
          <t>37 - 73</t>
        </is>
      </c>
      <c r="P156" s="3" t="inlineStr">
        <is>
          <t>0 nháy</t>
        </is>
      </c>
      <c r="Q156" s="3" t="inlineStr">
        <is>
          <t>15 nháy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6" t="inlineStr">
        <is>
          <t>TRÚNG</t>
        </is>
      </c>
      <c r="M157" s="7" t="inlineStr">
        <is>
          <t>KHÔNG</t>
        </is>
      </c>
      <c r="N157" s="7" t="inlineStr">
        <is>
          <t>KHÔNG</t>
        </is>
      </c>
      <c r="O157" s="3" t="inlineStr">
        <is>
          <t>54 - 45</t>
        </is>
      </c>
      <c r="P157" s="3" t="inlineStr">
        <is>
          <t>1 nháy 🎯</t>
        </is>
      </c>
      <c r="Q157" s="3" t="inlineStr">
        <is>
          <t>7 nháy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6" t="inlineStr">
        <is>
          <t>TRÚNG</t>
        </is>
      </c>
      <c r="M158" s="7" t="inlineStr">
        <is>
          <t>KHÔNG</t>
        </is>
      </c>
      <c r="N158" s="7" t="inlineStr">
        <is>
          <t>KHÔNG</t>
        </is>
      </c>
      <c r="O158" s="3" t="inlineStr">
        <is>
          <t>36 - 63</t>
        </is>
      </c>
      <c r="P158" s="3" t="inlineStr">
        <is>
          <t>0 nháy</t>
        </is>
      </c>
      <c r="Q158" s="3" t="inlineStr">
        <is>
          <t>12 nháy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6" t="inlineStr">
        <is>
          <t>TRÚNG</t>
        </is>
      </c>
      <c r="M159" s="7" t="inlineStr">
        <is>
          <t>KHÔNG</t>
        </is>
      </c>
      <c r="N159" s="7" t="inlineStr">
        <is>
          <t>KHÔNG</t>
        </is>
      </c>
      <c r="O159" s="3" t="inlineStr">
        <is>
          <t>46 - 64</t>
        </is>
      </c>
      <c r="P159" s="3" t="inlineStr">
        <is>
          <t>0 nháy</t>
        </is>
      </c>
      <c r="Q159" s="3" t="inlineStr">
        <is>
          <t>11 nháy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6" t="inlineStr">
        <is>
          <t>TRÚNG</t>
        </is>
      </c>
      <c r="M160" s="6" t="inlineStr">
        <is>
          <t>TRÚNG</t>
        </is>
      </c>
      <c r="N160" s="6" t="inlineStr">
        <is>
          <t>TRÚNG</t>
        </is>
      </c>
      <c r="O160" s="3" t="inlineStr">
        <is>
          <t>52 - 25</t>
        </is>
      </c>
      <c r="P160" s="3" t="inlineStr">
        <is>
          <t>1 nháy 🎯</t>
        </is>
      </c>
      <c r="Q160" s="3" t="inlineStr">
        <is>
          <t>10 nháy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6" t="inlineStr">
        <is>
          <t>TRÚNG</t>
        </is>
      </c>
      <c r="M161" s="6" t="inlineStr">
        <is>
          <t>TRÚNG</t>
        </is>
      </c>
      <c r="N161" s="6" t="inlineStr">
        <is>
          <t>TRÚNG</t>
        </is>
      </c>
      <c r="O161" s="3" t="inlineStr">
        <is>
          <t>05 - 50</t>
        </is>
      </c>
      <c r="P161" s="3" t="inlineStr">
        <is>
          <t>2 nháy 🎯</t>
        </is>
      </c>
      <c r="Q161" s="3" t="inlineStr">
        <is>
          <t>16 nháy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6" t="inlineStr">
        <is>
          <t>TRÚNG</t>
        </is>
      </c>
      <c r="M162" s="7" t="inlineStr">
        <is>
          <t>KHÔNG</t>
        </is>
      </c>
      <c r="N162" s="7" t="inlineStr">
        <is>
          <t>KHÔNG</t>
        </is>
      </c>
      <c r="O162" s="3" t="inlineStr">
        <is>
          <t>37 - 73</t>
        </is>
      </c>
      <c r="P162" s="3" t="inlineStr">
        <is>
          <t>0 nháy</t>
        </is>
      </c>
      <c r="Q162" s="3" t="inlineStr">
        <is>
          <t>16 nháy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6" t="inlineStr">
        <is>
          <t>TRÚNG</t>
        </is>
      </c>
      <c r="M163" s="7" t="inlineStr">
        <is>
          <t>KHÔNG</t>
        </is>
      </c>
      <c r="N163" s="6" t="inlineStr">
        <is>
          <t>TRÚNG</t>
        </is>
      </c>
      <c r="O163" s="3" t="inlineStr">
        <is>
          <t>19 - 91</t>
        </is>
      </c>
      <c r="P163" s="3" t="inlineStr">
        <is>
          <t>1 nháy 🎯</t>
        </is>
      </c>
      <c r="Q163" s="3" t="inlineStr">
        <is>
          <t>10 nháy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6" t="inlineStr">
        <is>
          <t>TRÚNG</t>
        </is>
      </c>
      <c r="M164" s="7" t="inlineStr">
        <is>
          <t>KHÔNG</t>
        </is>
      </c>
      <c r="N164" s="7" t="inlineStr">
        <is>
          <t>KHÔNG</t>
        </is>
      </c>
      <c r="O164" s="3" t="inlineStr">
        <is>
          <t>57 - 75</t>
        </is>
      </c>
      <c r="P164" s="3" t="inlineStr">
        <is>
          <t>1 nháy 🎯</t>
        </is>
      </c>
      <c r="Q164" s="3" t="inlineStr">
        <is>
          <t>15 nháy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6" t="inlineStr">
        <is>
          <t>TRÚNG</t>
        </is>
      </c>
      <c r="M165" s="7" t="inlineStr">
        <is>
          <t>KHÔNG</t>
        </is>
      </c>
      <c r="N165" s="6" t="inlineStr">
        <is>
          <t>TRÚNG</t>
        </is>
      </c>
      <c r="O165" s="3" t="inlineStr">
        <is>
          <t>24 - 42</t>
        </is>
      </c>
      <c r="P165" s="3" t="inlineStr">
        <is>
          <t>0 nháy</t>
        </is>
      </c>
      <c r="Q165" s="3" t="inlineStr">
        <is>
          <t>9 nháy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6" t="inlineStr">
        <is>
          <t>TRÚNG</t>
        </is>
      </c>
      <c r="M166" s="7" t="inlineStr">
        <is>
          <t>KHÔNG</t>
        </is>
      </c>
      <c r="N166" s="7" t="inlineStr">
        <is>
          <t>KHÔNG</t>
        </is>
      </c>
      <c r="O166" s="3" t="inlineStr">
        <is>
          <t>77</t>
        </is>
      </c>
      <c r="P166" s="3" t="inlineStr">
        <is>
          <t>1 nháy 🎯</t>
        </is>
      </c>
      <c r="Q166" s="3" t="inlineStr">
        <is>
          <t>13 nháy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6" t="inlineStr">
        <is>
          <t>TRÚNG</t>
        </is>
      </c>
      <c r="M167" s="7" t="inlineStr">
        <is>
          <t>KHÔNG</t>
        </is>
      </c>
      <c r="N167" s="7" t="inlineStr">
        <is>
          <t>KHÔNG</t>
        </is>
      </c>
      <c r="O167" s="3" t="inlineStr">
        <is>
          <t>02 - 20</t>
        </is>
      </c>
      <c r="P167" s="3" t="inlineStr">
        <is>
          <t>2 nháy 🎯</t>
        </is>
      </c>
      <c r="Q167" s="3" t="inlineStr">
        <is>
          <t>19 nháy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6" t="inlineStr">
        <is>
          <t>TRÚNG</t>
        </is>
      </c>
      <c r="M168" s="7" t="inlineStr">
        <is>
          <t>KHÔNG</t>
        </is>
      </c>
      <c r="N168" s="6" t="inlineStr">
        <is>
          <t>TRÚNG</t>
        </is>
      </c>
      <c r="O168" s="3" t="inlineStr">
        <is>
          <t>48 - 84</t>
        </is>
      </c>
      <c r="P168" s="3" t="inlineStr">
        <is>
          <t>0 nháy</t>
        </is>
      </c>
      <c r="Q168" s="3" t="inlineStr">
        <is>
          <t>16 nháy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6" t="inlineStr">
        <is>
          <t>TRÚNG</t>
        </is>
      </c>
      <c r="M169" s="7" t="inlineStr">
        <is>
          <t>KHÔNG</t>
        </is>
      </c>
      <c r="N169" s="7" t="inlineStr">
        <is>
          <t>KHÔNG</t>
        </is>
      </c>
      <c r="O169" s="3" t="inlineStr">
        <is>
          <t>60 - 06</t>
        </is>
      </c>
      <c r="P169" s="3" t="inlineStr">
        <is>
          <t>0 nháy</t>
        </is>
      </c>
      <c r="Q169" s="3" t="inlineStr">
        <is>
          <t>12 nháy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6" t="inlineStr">
        <is>
          <t>TRÚNG</t>
        </is>
      </c>
      <c r="M170" s="7" t="inlineStr">
        <is>
          <t>KHÔNG</t>
        </is>
      </c>
      <c r="N170" s="7" t="inlineStr">
        <is>
          <t>KHÔNG</t>
        </is>
      </c>
      <c r="O170" s="3" t="inlineStr">
        <is>
          <t>10 - 01</t>
        </is>
      </c>
      <c r="P170" s="3" t="inlineStr">
        <is>
          <t>1 nháy 🎯</t>
        </is>
      </c>
      <c r="Q170" s="3" t="inlineStr">
        <is>
          <t>11 nháy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6" t="inlineStr">
        <is>
          <t>TRÚNG</t>
        </is>
      </c>
      <c r="M171" s="7" t="inlineStr">
        <is>
          <t>KHÔNG</t>
        </is>
      </c>
      <c r="N171" s="7" t="inlineStr">
        <is>
          <t>KHÔNG</t>
        </is>
      </c>
      <c r="O171" s="3" t="inlineStr">
        <is>
          <t>27 - 72</t>
        </is>
      </c>
      <c r="P171" s="3" t="inlineStr">
        <is>
          <t>1 nháy 🎯</t>
        </is>
      </c>
      <c r="Q171" s="3" t="inlineStr">
        <is>
          <t>8 nháy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6" t="inlineStr">
        <is>
          <t>TRÚNG</t>
        </is>
      </c>
      <c r="M172" s="7" t="inlineStr">
        <is>
          <t>KHÔNG</t>
        </is>
      </c>
      <c r="N172" s="6" t="inlineStr">
        <is>
          <t>TRÚNG</t>
        </is>
      </c>
      <c r="O172" s="3" t="inlineStr">
        <is>
          <t>38 - 83</t>
        </is>
      </c>
      <c r="P172" s="3" t="inlineStr">
        <is>
          <t>0 nháy</t>
        </is>
      </c>
      <c r="Q172" s="3" t="inlineStr">
        <is>
          <t>14 nháy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6" t="inlineStr">
        <is>
          <t>TRÚNG</t>
        </is>
      </c>
      <c r="M173" s="7" t="inlineStr">
        <is>
          <t>KHÔNG</t>
        </is>
      </c>
      <c r="N173" s="7" t="inlineStr">
        <is>
          <t>KHÔNG</t>
        </is>
      </c>
      <c r="O173" s="3" t="inlineStr">
        <is>
          <t>55</t>
        </is>
      </c>
      <c r="P173" s="3" t="inlineStr">
        <is>
          <t>0 nháy</t>
        </is>
      </c>
      <c r="Q173" s="3" t="inlineStr">
        <is>
          <t>11 nháy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6" t="inlineStr">
        <is>
          <t>TRÚNG</t>
        </is>
      </c>
      <c r="M174" s="7" t="inlineStr">
        <is>
          <t>KHÔNG</t>
        </is>
      </c>
      <c r="N174" s="7" t="inlineStr">
        <is>
          <t>KHÔNG</t>
        </is>
      </c>
      <c r="O174" s="3" t="inlineStr">
        <is>
          <t>98 - 89</t>
        </is>
      </c>
      <c r="P174" s="3" t="inlineStr">
        <is>
          <t>0 nháy</t>
        </is>
      </c>
      <c r="Q174" s="3" t="inlineStr">
        <is>
          <t>11 nháy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6" t="inlineStr">
        <is>
          <t>TRÚNG</t>
        </is>
      </c>
      <c r="M175" s="7" t="inlineStr">
        <is>
          <t>KHÔNG</t>
        </is>
      </c>
      <c r="N175" s="6" t="inlineStr">
        <is>
          <t>TRÚNG</t>
        </is>
      </c>
      <c r="O175" s="3" t="inlineStr">
        <is>
          <t>93 - 39</t>
        </is>
      </c>
      <c r="P175" s="3" t="inlineStr">
        <is>
          <t>0 nháy</t>
        </is>
      </c>
      <c r="Q175" s="3" t="inlineStr">
        <is>
          <t>17 nháy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6" t="inlineStr">
        <is>
          <t>TRÚNG</t>
        </is>
      </c>
      <c r="M176" s="7" t="inlineStr">
        <is>
          <t>KHÔNG</t>
        </is>
      </c>
      <c r="N176" s="6" t="inlineStr">
        <is>
          <t>TRÚNG</t>
        </is>
      </c>
      <c r="O176" s="3" t="inlineStr">
        <is>
          <t>97 - 79</t>
        </is>
      </c>
      <c r="P176" s="3" t="inlineStr">
        <is>
          <t>2 nháy 🎯</t>
        </is>
      </c>
      <c r="Q176" s="3" t="inlineStr">
        <is>
          <t>15 nháy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7" t="inlineStr">
        <is>
          <t>KHÔNG</t>
        </is>
      </c>
      <c r="M177" s="7" t="inlineStr">
        <is>
          <t>KHÔNG</t>
        </is>
      </c>
      <c r="N177" s="7" t="inlineStr">
        <is>
          <t>KHÔNG</t>
        </is>
      </c>
      <c r="O177" s="3" t="inlineStr">
        <is>
          <t>32 - 23</t>
        </is>
      </c>
      <c r="P177" s="3" t="inlineStr">
        <is>
          <t>0 nháy</t>
        </is>
      </c>
      <c r="Q177" s="3" t="inlineStr">
        <is>
          <t>13 nháy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6" t="inlineStr">
        <is>
          <t>TRÚNG</t>
        </is>
      </c>
      <c r="M178" s="7" t="inlineStr">
        <is>
          <t>KHÔNG</t>
        </is>
      </c>
      <c r="N178" s="6" t="inlineStr">
        <is>
          <t>TRÚNG</t>
        </is>
      </c>
      <c r="O178" s="3" t="inlineStr">
        <is>
          <t>91 - 19</t>
        </is>
      </c>
      <c r="P178" s="3" t="inlineStr">
        <is>
          <t>0 nháy</t>
        </is>
      </c>
      <c r="Q178" s="3" t="inlineStr">
        <is>
          <t>14 nháy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6" t="inlineStr">
        <is>
          <t>TRÚNG</t>
        </is>
      </c>
      <c r="M179" s="7" t="inlineStr">
        <is>
          <t>KHÔNG</t>
        </is>
      </c>
      <c r="N179" s="6" t="inlineStr">
        <is>
          <t>TRÚNG</t>
        </is>
      </c>
      <c r="O179" s="3" t="inlineStr">
        <is>
          <t>30 - 03</t>
        </is>
      </c>
      <c r="P179" s="3" t="inlineStr">
        <is>
          <t>0 nháy</t>
        </is>
      </c>
      <c r="Q179" s="3" t="inlineStr">
        <is>
          <t>13 nháy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6" t="inlineStr">
        <is>
          <t>TRÚNG</t>
        </is>
      </c>
      <c r="M180" s="7" t="inlineStr">
        <is>
          <t>KHÔNG</t>
        </is>
      </c>
      <c r="N180" s="7" t="inlineStr">
        <is>
          <t>KHÔNG</t>
        </is>
      </c>
      <c r="O180" s="3" t="inlineStr">
        <is>
          <t>37 - 73</t>
        </is>
      </c>
      <c r="P180" s="3" t="inlineStr">
        <is>
          <t>0 nháy</t>
        </is>
      </c>
      <c r="Q180" s="3" t="inlineStr">
        <is>
          <t>7 nháy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6" t="inlineStr">
        <is>
          <t>TRÚNG</t>
        </is>
      </c>
      <c r="M181" s="6" t="inlineStr">
        <is>
          <t>TRÚNG</t>
        </is>
      </c>
      <c r="N181" s="6" t="inlineStr">
        <is>
          <t>TRÚNG</t>
        </is>
      </c>
      <c r="O181" s="3" t="inlineStr">
        <is>
          <t>98 - 89</t>
        </is>
      </c>
      <c r="P181" s="3" t="inlineStr">
        <is>
          <t>1 nháy 🎯</t>
        </is>
      </c>
      <c r="Q181" s="3" t="inlineStr">
        <is>
          <t>15 nháy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6" t="inlineStr">
        <is>
          <t>TRÚNG</t>
        </is>
      </c>
      <c r="M182" s="7" t="inlineStr">
        <is>
          <t>KHÔNG</t>
        </is>
      </c>
      <c r="N182" s="7" t="inlineStr">
        <is>
          <t>KHÔNG</t>
        </is>
      </c>
      <c r="O182" s="3" t="inlineStr">
        <is>
          <t>86 - 68</t>
        </is>
      </c>
      <c r="P182" s="3" t="inlineStr">
        <is>
          <t>0 nháy</t>
        </is>
      </c>
      <c r="Q182" s="3" t="inlineStr">
        <is>
          <t>10 nháy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6" t="inlineStr">
        <is>
          <t>TRÚNG</t>
        </is>
      </c>
      <c r="M183" s="6" t="inlineStr">
        <is>
          <t>TRÚNG</t>
        </is>
      </c>
      <c r="N183" s="7" t="inlineStr">
        <is>
          <t>KHÔNG</t>
        </is>
      </c>
      <c r="O183" s="3" t="inlineStr">
        <is>
          <t>90 - 09</t>
        </is>
      </c>
      <c r="P183" s="3" t="inlineStr">
        <is>
          <t>1 nháy 🎯</t>
        </is>
      </c>
      <c r="Q183" s="3" t="inlineStr">
        <is>
          <t>4 nháy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7" t="inlineStr">
        <is>
          <t>KHÔNG</t>
        </is>
      </c>
      <c r="M184" s="7" t="inlineStr">
        <is>
          <t>KHÔNG</t>
        </is>
      </c>
      <c r="N184" s="7" t="inlineStr">
        <is>
          <t>KHÔNG</t>
        </is>
      </c>
      <c r="O184" s="3" t="inlineStr">
        <is>
          <t>32 - 23</t>
        </is>
      </c>
      <c r="P184" s="3" t="inlineStr">
        <is>
          <t>1 nháy 🎯</t>
        </is>
      </c>
      <c r="Q184" s="3" t="inlineStr">
        <is>
          <t>13 nháy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6" t="inlineStr">
        <is>
          <t>TRÚNG</t>
        </is>
      </c>
      <c r="M185" s="7" t="inlineStr">
        <is>
          <t>KHÔNG</t>
        </is>
      </c>
      <c r="N185" s="6" t="inlineStr">
        <is>
          <t>TRÚNG</t>
        </is>
      </c>
      <c r="O185" s="3" t="inlineStr">
        <is>
          <t>90 - 09</t>
        </is>
      </c>
      <c r="P185" s="3" t="inlineStr">
        <is>
          <t>0 nháy</t>
        </is>
      </c>
      <c r="Q185" s="3" t="inlineStr">
        <is>
          <t>15 nháy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6" t="inlineStr">
        <is>
          <t>TRÚNG</t>
        </is>
      </c>
      <c r="M186" s="7" t="inlineStr">
        <is>
          <t>KHÔNG</t>
        </is>
      </c>
      <c r="N186" s="6" t="inlineStr">
        <is>
          <t>TRÚNG</t>
        </is>
      </c>
      <c r="O186" s="3" t="inlineStr">
        <is>
          <t>50 - 05</t>
        </is>
      </c>
      <c r="P186" s="3" t="inlineStr">
        <is>
          <t>0 nháy</t>
        </is>
      </c>
      <c r="Q186" s="3" t="inlineStr">
        <is>
          <t>20 nháy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6" t="inlineStr">
        <is>
          <t>TRÚNG</t>
        </is>
      </c>
      <c r="M187" s="7" t="inlineStr">
        <is>
          <t>KHÔNG</t>
        </is>
      </c>
      <c r="N187" s="7" t="inlineStr">
        <is>
          <t>KHÔNG</t>
        </is>
      </c>
      <c r="O187" s="3" t="inlineStr">
        <is>
          <t>93 - 39</t>
        </is>
      </c>
      <c r="P187" s="3" t="inlineStr">
        <is>
          <t>0 nháy</t>
        </is>
      </c>
      <c r="Q187" s="3" t="inlineStr">
        <is>
          <t>9 nháy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6" t="inlineStr">
        <is>
          <t>TRÚNG</t>
        </is>
      </c>
      <c r="M188" s="6" t="inlineStr">
        <is>
          <t>TRÚNG</t>
        </is>
      </c>
      <c r="N188" s="7" t="inlineStr">
        <is>
          <t>KHÔNG</t>
        </is>
      </c>
      <c r="O188" s="3" t="inlineStr">
        <is>
          <t>71 - 17</t>
        </is>
      </c>
      <c r="P188" s="3" t="inlineStr">
        <is>
          <t>2 nháy 🎯</t>
        </is>
      </c>
      <c r="Q188" s="3" t="inlineStr">
        <is>
          <t>14 nháy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6" t="inlineStr">
        <is>
          <t>TRÚNG</t>
        </is>
      </c>
      <c r="M189" s="7" t="inlineStr">
        <is>
          <t>KHÔNG</t>
        </is>
      </c>
      <c r="N189" s="7" t="inlineStr">
        <is>
          <t>KHÔNG</t>
        </is>
      </c>
      <c r="O189" s="3" t="inlineStr">
        <is>
          <t>96 - 69</t>
        </is>
      </c>
      <c r="P189" s="3" t="inlineStr">
        <is>
          <t>0 nháy</t>
        </is>
      </c>
      <c r="Q189" s="3" t="inlineStr">
        <is>
          <t>7 nháy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6" t="inlineStr">
        <is>
          <t>TRÚNG</t>
        </is>
      </c>
      <c r="M190" s="7" t="inlineStr">
        <is>
          <t>KHÔNG</t>
        </is>
      </c>
      <c r="N190" s="7" t="inlineStr">
        <is>
          <t>KHÔNG</t>
        </is>
      </c>
      <c r="O190" s="3" t="inlineStr">
        <is>
          <t>30 - 03</t>
        </is>
      </c>
      <c r="P190" s="3" t="inlineStr">
        <is>
          <t>0 nháy</t>
        </is>
      </c>
      <c r="Q190" s="3" t="inlineStr">
        <is>
          <t>10 nháy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6" t="inlineStr">
        <is>
          <t>TRÚNG</t>
        </is>
      </c>
      <c r="M191" s="7" t="inlineStr">
        <is>
          <t>KHÔNG</t>
        </is>
      </c>
      <c r="N191" s="7" t="inlineStr">
        <is>
          <t>KHÔNG</t>
        </is>
      </c>
      <c r="O191" s="3" t="inlineStr">
        <is>
          <t>81 - 18</t>
        </is>
      </c>
      <c r="P191" s="3" t="inlineStr">
        <is>
          <t>1 nháy 🎯</t>
        </is>
      </c>
      <c r="Q191" s="3" t="inlineStr">
        <is>
          <t>9 nháy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6" t="inlineStr">
        <is>
          <t>TRÚNG</t>
        </is>
      </c>
      <c r="M192" s="7" t="inlineStr">
        <is>
          <t>KHÔNG</t>
        </is>
      </c>
      <c r="N192" s="7" t="inlineStr">
        <is>
          <t>KHÔNG</t>
        </is>
      </c>
      <c r="O192" s="3" t="inlineStr">
        <is>
          <t>29 - 92</t>
        </is>
      </c>
      <c r="P192" s="3" t="inlineStr">
        <is>
          <t>1 nháy 🎯</t>
        </is>
      </c>
      <c r="Q192" s="3" t="inlineStr">
        <is>
          <t>18 nháy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6" t="inlineStr">
        <is>
          <t>TRÚNG</t>
        </is>
      </c>
      <c r="M193" s="7" t="inlineStr">
        <is>
          <t>KHÔNG</t>
        </is>
      </c>
      <c r="N193" s="7" t="inlineStr">
        <is>
          <t>KHÔNG</t>
        </is>
      </c>
      <c r="O193" s="3" t="inlineStr">
        <is>
          <t>16 - 61</t>
        </is>
      </c>
      <c r="P193" s="3" t="inlineStr">
        <is>
          <t>2 nháy 🎯</t>
        </is>
      </c>
      <c r="Q193" s="3" t="inlineStr">
        <is>
          <t>12 nháy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6" t="inlineStr">
        <is>
          <t>TRÚNG</t>
        </is>
      </c>
      <c r="M194" s="7" t="inlineStr">
        <is>
          <t>KHÔNG</t>
        </is>
      </c>
      <c r="N194" s="7" t="inlineStr">
        <is>
          <t>KHÔNG</t>
        </is>
      </c>
      <c r="O194" s="3" t="inlineStr">
        <is>
          <t>93 - 39</t>
        </is>
      </c>
      <c r="P194" s="3" t="inlineStr">
        <is>
          <t>0 nháy</t>
        </is>
      </c>
      <c r="Q194" s="3" t="inlineStr">
        <is>
          <t>19 nháy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7" t="inlineStr">
        <is>
          <t>KHÔNG</t>
        </is>
      </c>
      <c r="M195" s="7" t="inlineStr">
        <is>
          <t>KHÔNG</t>
        </is>
      </c>
      <c r="N195" s="7" t="inlineStr">
        <is>
          <t>KHÔNG</t>
        </is>
      </c>
      <c r="O195" s="3" t="inlineStr">
        <is>
          <t>02 - 20</t>
        </is>
      </c>
      <c r="P195" s="3" t="inlineStr">
        <is>
          <t>1 nháy 🎯</t>
        </is>
      </c>
      <c r="Q195" s="3" t="inlineStr">
        <is>
          <t>19 nháy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6" t="inlineStr">
        <is>
          <t>TRÚNG</t>
        </is>
      </c>
      <c r="M196" s="7" t="inlineStr">
        <is>
          <t>KHÔNG</t>
        </is>
      </c>
      <c r="N196" s="6" t="inlineStr">
        <is>
          <t>TRÚNG</t>
        </is>
      </c>
      <c r="O196" s="3" t="inlineStr">
        <is>
          <t>52 - 25</t>
        </is>
      </c>
      <c r="P196" s="3" t="inlineStr">
        <is>
          <t>0 nháy</t>
        </is>
      </c>
      <c r="Q196" s="3" t="inlineStr">
        <is>
          <t>19 nháy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6" t="inlineStr">
        <is>
          <t>TRÚNG</t>
        </is>
      </c>
      <c r="M197" s="7" t="inlineStr">
        <is>
          <t>KHÔNG</t>
        </is>
      </c>
      <c r="N197" s="6" t="inlineStr">
        <is>
          <t>TRÚNG</t>
        </is>
      </c>
      <c r="O197" s="3" t="inlineStr">
        <is>
          <t>95 - 59</t>
        </is>
      </c>
      <c r="P197" s="3" t="inlineStr">
        <is>
          <t>0 nháy</t>
        </is>
      </c>
      <c r="Q197" s="3" t="inlineStr">
        <is>
          <t>19 nháy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6" t="inlineStr">
        <is>
          <t>TRÚNG</t>
        </is>
      </c>
      <c r="M198" s="7" t="inlineStr">
        <is>
          <t>KHÔNG</t>
        </is>
      </c>
      <c r="N198" s="6" t="inlineStr">
        <is>
          <t>TRÚNG</t>
        </is>
      </c>
      <c r="O198" s="3" t="inlineStr">
        <is>
          <t>65 - 56</t>
        </is>
      </c>
      <c r="P198" s="3" t="inlineStr">
        <is>
          <t>0 nháy</t>
        </is>
      </c>
      <c r="Q198" s="3" t="inlineStr">
        <is>
          <t>12 nháy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6" t="inlineStr">
        <is>
          <t>TRÚNG</t>
        </is>
      </c>
      <c r="M199" s="6" t="inlineStr">
        <is>
          <t>TRÚNG</t>
        </is>
      </c>
      <c r="N199" s="6" t="inlineStr">
        <is>
          <t>TRÚNG</t>
        </is>
      </c>
      <c r="O199" s="3" t="inlineStr">
        <is>
          <t>72 - 27</t>
        </is>
      </c>
      <c r="P199" s="3" t="inlineStr">
        <is>
          <t>0 nháy</t>
        </is>
      </c>
      <c r="Q199" s="3" t="inlineStr">
        <is>
          <t>21 nháy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6" t="inlineStr">
        <is>
          <t>TRÚNG</t>
        </is>
      </c>
      <c r="M200" s="6" t="inlineStr">
        <is>
          <t>TRÚNG</t>
        </is>
      </c>
      <c r="N200" s="6" t="inlineStr">
        <is>
          <t>TRÚNG</t>
        </is>
      </c>
      <c r="O200" s="3" t="inlineStr">
        <is>
          <t>61 - 16</t>
        </is>
      </c>
      <c r="P200" s="3" t="inlineStr">
        <is>
          <t>0 nháy</t>
        </is>
      </c>
      <c r="Q200" s="3" t="inlineStr">
        <is>
          <t>12 nháy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6" t="inlineStr">
        <is>
          <t>TRÚNG</t>
        </is>
      </c>
      <c r="M201" s="7" t="inlineStr">
        <is>
          <t>KHÔNG</t>
        </is>
      </c>
      <c r="N201" s="6" t="inlineStr">
        <is>
          <t>TRÚNG</t>
        </is>
      </c>
      <c r="O201" s="3" t="inlineStr">
        <is>
          <t>17 - 71</t>
        </is>
      </c>
      <c r="P201" s="3" t="inlineStr">
        <is>
          <t>1 nháy 🎯</t>
        </is>
      </c>
      <c r="Q201" s="3" t="inlineStr">
        <is>
          <t>15 nháy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6" t="inlineStr">
        <is>
          <t>TRÚNG</t>
        </is>
      </c>
      <c r="M202" s="7" t="inlineStr">
        <is>
          <t>KHÔNG</t>
        </is>
      </c>
      <c r="N202" s="7" t="inlineStr">
        <is>
          <t>KHÔNG</t>
        </is>
      </c>
      <c r="O202" s="3" t="inlineStr">
        <is>
          <t>08 - 80</t>
        </is>
      </c>
      <c r="P202" s="3" t="inlineStr">
        <is>
          <t>0 nháy</t>
        </is>
      </c>
      <c r="Q202" s="3" t="inlineStr">
        <is>
          <t>15 nháy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6" t="inlineStr">
        <is>
          <t>TRÚNG</t>
        </is>
      </c>
      <c r="M203" s="6" t="inlineStr">
        <is>
          <t>TRÚNG</t>
        </is>
      </c>
      <c r="N203" s="6" t="inlineStr">
        <is>
          <t>TRÚNG</t>
        </is>
      </c>
      <c r="O203" s="3" t="inlineStr">
        <is>
          <t>87 - 78</t>
        </is>
      </c>
      <c r="P203" s="3" t="inlineStr">
        <is>
          <t>0 nháy</t>
        </is>
      </c>
      <c r="Q203" s="3" t="inlineStr">
        <is>
          <t>15 nháy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6" t="inlineStr">
        <is>
          <t>TRÚNG</t>
        </is>
      </c>
      <c r="M204" s="7" t="inlineStr">
        <is>
          <t>KHÔNG</t>
        </is>
      </c>
      <c r="N204" s="6" t="inlineStr">
        <is>
          <t>TRÚNG</t>
        </is>
      </c>
      <c r="O204" s="3" t="inlineStr">
        <is>
          <t>03 - 30</t>
        </is>
      </c>
      <c r="P204" s="3" t="inlineStr">
        <is>
          <t>0 nháy</t>
        </is>
      </c>
      <c r="Q204" s="3" t="inlineStr">
        <is>
          <t>25 nháy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6" t="inlineStr">
        <is>
          <t>TRÚNG</t>
        </is>
      </c>
      <c r="M205" s="7" t="inlineStr">
        <is>
          <t>KHÔNG</t>
        </is>
      </c>
      <c r="N205" s="6" t="inlineStr">
        <is>
          <t>TRÚNG</t>
        </is>
      </c>
      <c r="O205" s="3" t="inlineStr">
        <is>
          <t>99</t>
        </is>
      </c>
      <c r="P205" s="3" t="inlineStr">
        <is>
          <t>0 nháy</t>
        </is>
      </c>
      <c r="Q205" s="3" t="inlineStr">
        <is>
          <t>17 nháy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6" t="inlineStr">
        <is>
          <t>TRÚNG</t>
        </is>
      </c>
      <c r="M206" s="7" t="inlineStr">
        <is>
          <t>KHÔNG</t>
        </is>
      </c>
      <c r="N206" s="6" t="inlineStr">
        <is>
          <t>TRÚNG</t>
        </is>
      </c>
      <c r="O206" s="3" t="inlineStr">
        <is>
          <t>11</t>
        </is>
      </c>
      <c r="P206" s="3" t="inlineStr">
        <is>
          <t>0 nháy</t>
        </is>
      </c>
      <c r="Q206" s="3" t="inlineStr">
        <is>
          <t>13 nháy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6" t="inlineStr">
        <is>
          <t>TRÚNG</t>
        </is>
      </c>
      <c r="M207" s="7" t="inlineStr">
        <is>
          <t>KHÔNG</t>
        </is>
      </c>
      <c r="N207" s="7" t="inlineStr">
        <is>
          <t>KHÔNG</t>
        </is>
      </c>
      <c r="O207" s="3" t="inlineStr">
        <is>
          <t>69 - 96</t>
        </is>
      </c>
      <c r="P207" s="3" t="inlineStr">
        <is>
          <t>0 nháy</t>
        </is>
      </c>
      <c r="Q207" s="3" t="inlineStr">
        <is>
          <t>13 nháy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6" t="inlineStr">
        <is>
          <t>TRÚNG</t>
        </is>
      </c>
      <c r="M208" s="7" t="inlineStr">
        <is>
          <t>KHÔNG</t>
        </is>
      </c>
      <c r="N208" s="6" t="inlineStr">
        <is>
          <t>TRÚNG</t>
        </is>
      </c>
      <c r="O208" s="3" t="inlineStr">
        <is>
          <t>20 - 02</t>
        </is>
      </c>
      <c r="P208" s="3" t="inlineStr">
        <is>
          <t>1 nháy 🎯</t>
        </is>
      </c>
      <c r="Q208" s="3" t="inlineStr">
        <is>
          <t>18 nháy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6" t="inlineStr">
        <is>
          <t>TRÚNG</t>
        </is>
      </c>
      <c r="M209" s="7" t="inlineStr">
        <is>
          <t>KHÔNG</t>
        </is>
      </c>
      <c r="N209" s="6" t="inlineStr">
        <is>
          <t>TRÚNG</t>
        </is>
      </c>
      <c r="O209" s="3" t="inlineStr">
        <is>
          <t>32 - 23</t>
        </is>
      </c>
      <c r="P209" s="3" t="inlineStr">
        <is>
          <t>1 nháy 🎯</t>
        </is>
      </c>
      <c r="Q209" s="3" t="inlineStr">
        <is>
          <t>18 nháy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6" t="inlineStr">
        <is>
          <t>TRÚNG</t>
        </is>
      </c>
      <c r="M210" s="7" t="inlineStr">
        <is>
          <t>KHÔNG</t>
        </is>
      </c>
      <c r="N210" s="6" t="inlineStr">
        <is>
          <t>TRÚNG</t>
        </is>
      </c>
      <c r="O210" s="3" t="inlineStr">
        <is>
          <t>30 - 03</t>
        </is>
      </c>
      <c r="P210" s="3" t="inlineStr">
        <is>
          <t>1 nháy 🎯</t>
        </is>
      </c>
      <c r="Q210" s="3" t="inlineStr">
        <is>
          <t>22 nháy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7" t="inlineStr">
        <is>
          <t>KHÔNG</t>
        </is>
      </c>
      <c r="M211" s="6" t="inlineStr">
        <is>
          <t>TRÚNG</t>
        </is>
      </c>
      <c r="N211" s="7" t="inlineStr">
        <is>
          <t>KHÔNG</t>
        </is>
      </c>
      <c r="O211" s="3" t="inlineStr">
        <is>
          <t>82 - 28</t>
        </is>
      </c>
      <c r="P211" s="3" t="inlineStr">
        <is>
          <t>0 nháy</t>
        </is>
      </c>
      <c r="Q211" s="3" t="inlineStr">
        <is>
          <t>11 nháy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6" t="inlineStr">
        <is>
          <t>TRÚNG</t>
        </is>
      </c>
      <c r="M212" s="6" t="inlineStr">
        <is>
          <t>TRÚNG</t>
        </is>
      </c>
      <c r="N212" s="6" t="inlineStr">
        <is>
          <t>TRÚNG</t>
        </is>
      </c>
      <c r="O212" s="3" t="inlineStr">
        <is>
          <t>06 - 60</t>
        </is>
      </c>
      <c r="P212" s="3" t="inlineStr">
        <is>
          <t>0 nháy</t>
        </is>
      </c>
      <c r="Q212" s="3" t="inlineStr">
        <is>
          <t>16 nháy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6" t="inlineStr">
        <is>
          <t>TRÚNG</t>
        </is>
      </c>
      <c r="M213" s="7" t="inlineStr">
        <is>
          <t>KHÔNG</t>
        </is>
      </c>
      <c r="N213" s="6" t="inlineStr">
        <is>
          <t>TRÚNG</t>
        </is>
      </c>
      <c r="O213" s="3" t="inlineStr">
        <is>
          <t>71 - 17</t>
        </is>
      </c>
      <c r="P213" s="3" t="inlineStr">
        <is>
          <t>0 nháy</t>
        </is>
      </c>
      <c r="Q213" s="3" t="inlineStr">
        <is>
          <t>9 nháy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6" t="inlineStr">
        <is>
          <t>TRÚNG</t>
        </is>
      </c>
      <c r="M214" s="7" t="inlineStr">
        <is>
          <t>KHÔNG</t>
        </is>
      </c>
      <c r="N214" s="6" t="inlineStr">
        <is>
          <t>TRÚNG</t>
        </is>
      </c>
      <c r="O214" s="3" t="inlineStr">
        <is>
          <t>00</t>
        </is>
      </c>
      <c r="P214" s="3" t="inlineStr">
        <is>
          <t>0 nháy</t>
        </is>
      </c>
      <c r="Q214" s="3" t="inlineStr">
        <is>
          <t>13 nháy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6" t="inlineStr">
        <is>
          <t>TRÚNG</t>
        </is>
      </c>
      <c r="M215" s="7" t="inlineStr">
        <is>
          <t>KHÔNG</t>
        </is>
      </c>
      <c r="N215" s="7" t="inlineStr">
        <is>
          <t>KHÔNG</t>
        </is>
      </c>
      <c r="O215" s="3" t="inlineStr">
        <is>
          <t>13 - 31</t>
        </is>
      </c>
      <c r="P215" s="3" t="inlineStr">
        <is>
          <t>0 nháy</t>
        </is>
      </c>
      <c r="Q215" s="3" t="inlineStr">
        <is>
          <t>11 nháy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6" t="inlineStr">
        <is>
          <t>TRÚNG</t>
        </is>
      </c>
      <c r="M216" s="7" t="inlineStr">
        <is>
          <t>KHÔNG</t>
        </is>
      </c>
      <c r="N216" s="6" t="inlineStr">
        <is>
          <t>TRÚNG</t>
        </is>
      </c>
      <c r="O216" s="3" t="inlineStr">
        <is>
          <t>50 - 05</t>
        </is>
      </c>
      <c r="P216" s="3" t="inlineStr">
        <is>
          <t>0 nháy</t>
        </is>
      </c>
      <c r="Q216" s="3" t="inlineStr">
        <is>
          <t>18 nháy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6" t="inlineStr">
        <is>
          <t>TRÚNG</t>
        </is>
      </c>
      <c r="M217" s="7" t="inlineStr">
        <is>
          <t>KHÔNG</t>
        </is>
      </c>
      <c r="N217" s="7" t="inlineStr">
        <is>
          <t>KHÔNG</t>
        </is>
      </c>
      <c r="O217" s="3" t="inlineStr">
        <is>
          <t>54 - 45</t>
        </is>
      </c>
      <c r="P217" s="3" t="inlineStr">
        <is>
          <t>0 nháy</t>
        </is>
      </c>
      <c r="Q217" s="3" t="inlineStr">
        <is>
          <t>18 nháy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6" t="inlineStr">
        <is>
          <t>TRÚNG</t>
        </is>
      </c>
      <c r="M218" s="7" t="inlineStr">
        <is>
          <t>KHÔNG</t>
        </is>
      </c>
      <c r="N218" s="7" t="inlineStr">
        <is>
          <t>KHÔNG</t>
        </is>
      </c>
      <c r="O218" s="3" t="inlineStr">
        <is>
          <t>06 - 60</t>
        </is>
      </c>
      <c r="P218" s="3" t="inlineStr">
        <is>
          <t>0 nháy</t>
        </is>
      </c>
      <c r="Q218" s="3" t="inlineStr">
        <is>
          <t>12 nháy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7" t="inlineStr">
        <is>
          <t>KHÔNG</t>
        </is>
      </c>
      <c r="M219" s="7" t="inlineStr">
        <is>
          <t>KHÔNG</t>
        </is>
      </c>
      <c r="N219" s="7" t="inlineStr">
        <is>
          <t>KHÔNG</t>
        </is>
      </c>
      <c r="O219" s="3" t="inlineStr">
        <is>
          <t>72 - 27</t>
        </is>
      </c>
      <c r="P219" s="3" t="inlineStr">
        <is>
          <t>0 nháy</t>
        </is>
      </c>
      <c r="Q219" s="3" t="inlineStr">
        <is>
          <t>7 nháy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6" t="inlineStr">
        <is>
          <t>TRÚNG</t>
        </is>
      </c>
      <c r="M220" s="7" t="inlineStr">
        <is>
          <t>KHÔNG</t>
        </is>
      </c>
      <c r="N220" s="7" t="inlineStr">
        <is>
          <t>KHÔNG</t>
        </is>
      </c>
      <c r="O220" s="3" t="inlineStr">
        <is>
          <t>73 - 37</t>
        </is>
      </c>
      <c r="P220" s="3" t="inlineStr">
        <is>
          <t>0 nháy</t>
        </is>
      </c>
      <c r="Q220" s="3" t="inlineStr">
        <is>
          <t>11 nháy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6" t="inlineStr">
        <is>
          <t>TRÚNG</t>
        </is>
      </c>
      <c r="M221" s="7" t="inlineStr">
        <is>
          <t>KHÔNG</t>
        </is>
      </c>
      <c r="N221" s="7" t="inlineStr">
        <is>
          <t>KHÔNG</t>
        </is>
      </c>
      <c r="O221" s="3" t="inlineStr">
        <is>
          <t>39 - 93</t>
        </is>
      </c>
      <c r="P221" s="3" t="inlineStr">
        <is>
          <t>0 nháy</t>
        </is>
      </c>
      <c r="Q221" s="3" t="inlineStr">
        <is>
          <t>14 nháy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7" t="inlineStr">
        <is>
          <t>KHÔNG</t>
        </is>
      </c>
      <c r="M222" s="6" t="inlineStr">
        <is>
          <t>TRÚNG</t>
        </is>
      </c>
      <c r="N222" s="7" t="inlineStr">
        <is>
          <t>KHÔNG</t>
        </is>
      </c>
      <c r="O222" s="3" t="inlineStr">
        <is>
          <t>40 - 04</t>
        </is>
      </c>
      <c r="P222" s="3" t="inlineStr">
        <is>
          <t>0 nháy</t>
        </is>
      </c>
      <c r="Q222" s="3" t="inlineStr">
        <is>
          <t>10 nháy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7" t="inlineStr">
        <is>
          <t>KHÔNG</t>
        </is>
      </c>
      <c r="M223" s="7" t="inlineStr">
        <is>
          <t>KHÔNG</t>
        </is>
      </c>
      <c r="N223" s="7" t="inlineStr">
        <is>
          <t>KHÔNG</t>
        </is>
      </c>
      <c r="O223" s="3" t="inlineStr">
        <is>
          <t>95 - 59</t>
        </is>
      </c>
      <c r="P223" s="3" t="inlineStr">
        <is>
          <t>0 nháy</t>
        </is>
      </c>
      <c r="Q223" s="3" t="inlineStr">
        <is>
          <t>11 nháy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6" t="inlineStr">
        <is>
          <t>TRÚNG</t>
        </is>
      </c>
      <c r="M224" s="7" t="inlineStr">
        <is>
          <t>KHÔNG</t>
        </is>
      </c>
      <c r="N224" s="7" t="inlineStr">
        <is>
          <t>KHÔNG</t>
        </is>
      </c>
      <c r="O224" s="3" t="inlineStr">
        <is>
          <t>27 - 72</t>
        </is>
      </c>
      <c r="P224" s="3" t="inlineStr">
        <is>
          <t>0 nháy</t>
        </is>
      </c>
      <c r="Q224" s="3" t="inlineStr">
        <is>
          <t>8 nháy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6" t="inlineStr">
        <is>
          <t>TRÚNG</t>
        </is>
      </c>
      <c r="M225" s="6" t="inlineStr">
        <is>
          <t>TRÚNG</t>
        </is>
      </c>
      <c r="N225" s="7" t="inlineStr">
        <is>
          <t>KHÔNG</t>
        </is>
      </c>
      <c r="O225" s="3" t="inlineStr">
        <is>
          <t>96 - 69</t>
        </is>
      </c>
      <c r="P225" s="3" t="inlineStr">
        <is>
          <t>3 nháy 🎯</t>
        </is>
      </c>
      <c r="Q225" s="3" t="inlineStr">
        <is>
          <t>14 nháy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6" t="inlineStr">
        <is>
          <t>TRÚNG</t>
        </is>
      </c>
      <c r="M226" s="7" t="inlineStr">
        <is>
          <t>KHÔNG</t>
        </is>
      </c>
      <c r="N226" s="7" t="inlineStr">
        <is>
          <t>KHÔNG</t>
        </is>
      </c>
      <c r="O226" s="3" t="inlineStr">
        <is>
          <t>20 - 02</t>
        </is>
      </c>
      <c r="P226" s="3" t="inlineStr">
        <is>
          <t>1 nháy 🎯</t>
        </is>
      </c>
      <c r="Q226" s="3" t="inlineStr">
        <is>
          <t>13 nháy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6" t="inlineStr">
        <is>
          <t>TRÚNG</t>
        </is>
      </c>
      <c r="M227" s="7" t="inlineStr">
        <is>
          <t>KHÔNG</t>
        </is>
      </c>
      <c r="N227" s="6" t="inlineStr">
        <is>
          <t>TRÚNG</t>
        </is>
      </c>
      <c r="O227" s="3" t="inlineStr">
        <is>
          <t>20 - 02</t>
        </is>
      </c>
      <c r="P227" s="3" t="inlineStr">
        <is>
          <t>2 nháy 🎯</t>
        </is>
      </c>
      <c r="Q227" s="3" t="inlineStr">
        <is>
          <t>17 nháy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6" t="inlineStr">
        <is>
          <t>TRÚNG</t>
        </is>
      </c>
      <c r="M228" s="7" t="inlineStr">
        <is>
          <t>KHÔNG</t>
        </is>
      </c>
      <c r="N228" s="7" t="inlineStr">
        <is>
          <t>KHÔNG</t>
        </is>
      </c>
      <c r="O228" s="3" t="inlineStr">
        <is>
          <t>14 - 41</t>
        </is>
      </c>
      <c r="P228" s="3" t="inlineStr">
        <is>
          <t>0 nháy</t>
        </is>
      </c>
      <c r="Q228" s="3" t="inlineStr">
        <is>
          <t>10 nháy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7" t="inlineStr">
        <is>
          <t>KHÔNG</t>
        </is>
      </c>
      <c r="M229" s="7" t="inlineStr">
        <is>
          <t>KHÔNG</t>
        </is>
      </c>
      <c r="N229" s="7" t="inlineStr">
        <is>
          <t>KHÔNG</t>
        </is>
      </c>
      <c r="O229" s="3" t="inlineStr">
        <is>
          <t>44</t>
        </is>
      </c>
      <c r="P229" s="3" t="inlineStr">
        <is>
          <t>0 nháy</t>
        </is>
      </c>
      <c r="Q229" s="3" t="inlineStr">
        <is>
          <t>9 nháy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6" t="inlineStr">
        <is>
          <t>TRÚNG</t>
        </is>
      </c>
      <c r="M230" s="7" t="inlineStr">
        <is>
          <t>KHÔNG</t>
        </is>
      </c>
      <c r="N230" s="7" t="inlineStr">
        <is>
          <t>KHÔNG</t>
        </is>
      </c>
      <c r="O230" s="3" t="inlineStr">
        <is>
          <t>34 - 43</t>
        </is>
      </c>
      <c r="P230" s="3" t="inlineStr">
        <is>
          <t>0 nháy</t>
        </is>
      </c>
      <c r="Q230" s="3" t="inlineStr">
        <is>
          <t>16 nháy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6" t="inlineStr">
        <is>
          <t>TRÚNG</t>
        </is>
      </c>
      <c r="M231" s="7" t="inlineStr">
        <is>
          <t>KHÔNG</t>
        </is>
      </c>
      <c r="N231" s="6" t="inlineStr">
        <is>
          <t>TRÚNG</t>
        </is>
      </c>
      <c r="O231" s="3" t="inlineStr">
        <is>
          <t>74 - 47</t>
        </is>
      </c>
      <c r="P231" s="3" t="inlineStr">
        <is>
          <t>1 nháy 🎯</t>
        </is>
      </c>
      <c r="Q231" s="3" t="inlineStr">
        <is>
          <t>13 nháy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6" t="inlineStr">
        <is>
          <t>TRÚNG</t>
        </is>
      </c>
      <c r="M232" s="7" t="inlineStr">
        <is>
          <t>KHÔNG</t>
        </is>
      </c>
      <c r="N232" s="7" t="inlineStr">
        <is>
          <t>KHÔNG</t>
        </is>
      </c>
      <c r="O232" s="3" t="inlineStr">
        <is>
          <t>81 - 18</t>
        </is>
      </c>
      <c r="P232" s="3" t="inlineStr">
        <is>
          <t>0 nháy</t>
        </is>
      </c>
      <c r="Q232" s="3" t="inlineStr">
        <is>
          <t>7 nháy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6" t="inlineStr">
        <is>
          <t>TRÚNG</t>
        </is>
      </c>
      <c r="M233" s="7" t="inlineStr">
        <is>
          <t>KHÔNG</t>
        </is>
      </c>
      <c r="N233" s="7" t="inlineStr">
        <is>
          <t>KHÔNG</t>
        </is>
      </c>
      <c r="O233" s="3" t="inlineStr">
        <is>
          <t>53 - 35</t>
        </is>
      </c>
      <c r="P233" s="3" t="inlineStr">
        <is>
          <t>1 nháy 🎯</t>
        </is>
      </c>
      <c r="Q233" s="3" t="inlineStr">
        <is>
          <t>9 nháy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6" t="inlineStr">
        <is>
          <t>TRÚNG</t>
        </is>
      </c>
      <c r="M234" s="6" t="inlineStr">
        <is>
          <t>TRÚNG</t>
        </is>
      </c>
      <c r="N234" s="6" t="inlineStr">
        <is>
          <t>TRÚNG</t>
        </is>
      </c>
      <c r="O234" s="3" t="inlineStr">
        <is>
          <t>14 - 41</t>
        </is>
      </c>
      <c r="P234" s="3" t="inlineStr">
        <is>
          <t>0 nháy</t>
        </is>
      </c>
      <c r="Q234" s="3" t="inlineStr">
        <is>
          <t>15 nháy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6" t="inlineStr">
        <is>
          <t>TRÚNG</t>
        </is>
      </c>
      <c r="M235" s="7" t="inlineStr">
        <is>
          <t>KHÔNG</t>
        </is>
      </c>
      <c r="N235" s="6" t="inlineStr">
        <is>
          <t>TRÚNG</t>
        </is>
      </c>
      <c r="O235" s="3" t="inlineStr">
        <is>
          <t>80 - 08</t>
        </is>
      </c>
      <c r="P235" s="3" t="inlineStr">
        <is>
          <t>1 nháy 🎯</t>
        </is>
      </c>
      <c r="Q235" s="3" t="inlineStr">
        <is>
          <t>9 nháy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6" t="inlineStr">
        <is>
          <t>TRÚNG</t>
        </is>
      </c>
      <c r="M236" s="7" t="inlineStr">
        <is>
          <t>KHÔNG</t>
        </is>
      </c>
      <c r="N236" s="6" t="inlineStr">
        <is>
          <t>TRÚNG</t>
        </is>
      </c>
      <c r="O236" s="3" t="inlineStr">
        <is>
          <t>97 - 79</t>
        </is>
      </c>
      <c r="P236" s="3" t="inlineStr">
        <is>
          <t>0 nháy</t>
        </is>
      </c>
      <c r="Q236" s="3" t="inlineStr">
        <is>
          <t>12 nháy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7" t="inlineStr">
        <is>
          <t>KHÔNG</t>
        </is>
      </c>
      <c r="M237" s="6" t="inlineStr">
        <is>
          <t>TRÚNG</t>
        </is>
      </c>
      <c r="N237" s="7" t="inlineStr">
        <is>
          <t>KHÔNG</t>
        </is>
      </c>
      <c r="O237" s="3" t="inlineStr">
        <is>
          <t>24 - 42</t>
        </is>
      </c>
      <c r="P237" s="3" t="inlineStr">
        <is>
          <t>2 nháy 🎯</t>
        </is>
      </c>
      <c r="Q237" s="3" t="inlineStr">
        <is>
          <t>15 nháy</t>
        </is>
      </c>
    </row>
    <row r="238">
      <c r="A238" s="2" t="n">
        <v>231</v>
      </c>
      <c r="B238" s="2" t="inlineStr">
        <is>
          <t>Chủ nhật ngày 23-08-2026 (Chủ Nhật)</t>
        </is>
      </c>
      <c r="C238" s="3" t="inlineStr">
        <is>
          <t>68</t>
        </is>
      </c>
      <c r="D238" s="3" t="inlineStr">
        <is>
          <t>87</t>
        </is>
      </c>
      <c r="E238" s="3" t="inlineStr">
        <is>
          <t>38</t>
        </is>
      </c>
      <c r="F238" s="3" t="inlineStr">
        <is>
          <t>99</t>
        </is>
      </c>
      <c r="G238" s="3" t="inlineStr">
        <is>
          <t>36789</t>
        </is>
      </c>
      <c r="H238" s="3" t="inlineStr">
        <is>
          <t>T0, T1, T3, T4, T5, T6, T8, T9</t>
        </is>
      </c>
      <c r="I238" s="3" t="inlineStr">
        <is>
          <t>T5-B0</t>
        </is>
      </c>
      <c r="J238" s="3" t="inlineStr">
        <is>
          <t>60 con</t>
        </is>
      </c>
      <c r="K238" s="3" t="inlineStr">
        <is>
          <t>17</t>
        </is>
      </c>
      <c r="L238" s="6" t="inlineStr">
        <is>
          <t>TRÚNG</t>
        </is>
      </c>
      <c r="M238" s="7" t="inlineStr">
        <is>
          <t>KHÔNG</t>
        </is>
      </c>
      <c r="N238" s="6" t="inlineStr">
        <is>
          <t>TRÚNG</t>
        </is>
      </c>
      <c r="O238" s="3" t="inlineStr">
        <is>
          <t>69 - 96</t>
        </is>
      </c>
      <c r="P238" s="3" t="inlineStr">
        <is>
          <t>0 nháy</t>
        </is>
      </c>
      <c r="Q238" s="3" t="inlineStr">
        <is>
          <t>19 nháy</t>
        </is>
      </c>
    </row>
    <row r="239">
      <c r="A239" s="2" t="n">
        <v>232</v>
      </c>
      <c r="B239" s="2" t="inlineStr">
        <is>
          <t>Thứ hai ngày 24-08-2026 (Thứ Hai)</t>
        </is>
      </c>
      <c r="C239" s="3" t="inlineStr">
        <is>
          <t>19</t>
        </is>
      </c>
      <c r="D239" s="3" t="inlineStr">
        <is>
          <t>85</t>
        </is>
      </c>
      <c r="E239" s="3" t="inlineStr">
        <is>
          <t>40</t>
        </is>
      </c>
      <c r="F239" s="3" t="inlineStr">
        <is>
          <t>71</t>
        </is>
      </c>
      <c r="G239" s="3" t="inlineStr">
        <is>
          <t>0145789</t>
        </is>
      </c>
      <c r="H239" s="3" t="inlineStr">
        <is>
          <t>T0, T3, T4, T5, T8, T9</t>
        </is>
      </c>
      <c r="I239" s="3" t="inlineStr">
        <is>
          <t>T2-B7</t>
        </is>
      </c>
      <c r="J239" s="3" t="inlineStr">
        <is>
          <t>53 con</t>
        </is>
      </c>
      <c r="K239" s="3" t="inlineStr">
        <is>
          <t>80</t>
        </is>
      </c>
      <c r="L239" s="6" t="inlineStr">
        <is>
          <t>TRÚNG</t>
        </is>
      </c>
      <c r="M239" s="7" t="inlineStr">
        <is>
          <t>KHÔNG</t>
        </is>
      </c>
      <c r="N239" s="6" t="inlineStr">
        <is>
          <t>TRÚNG</t>
        </is>
      </c>
      <c r="O239" s="3" t="inlineStr">
        <is>
          <t>11</t>
        </is>
      </c>
      <c r="P239" s="3" t="inlineStr">
        <is>
          <t>0 nháy</t>
        </is>
      </c>
      <c r="Q239" s="3" t="inlineStr">
        <is>
          <t>14 nháy</t>
        </is>
      </c>
    </row>
    <row r="240">
      <c r="A240" s="2" t="n">
        <v>233</v>
      </c>
      <c r="B240" s="2" t="inlineStr">
        <is>
          <t>Thứ ba ngày 25-08-2026 (Thứ Ba)</t>
        </is>
      </c>
      <c r="C240" s="3" t="inlineStr">
        <is>
          <t>91</t>
        </is>
      </c>
      <c r="D240" s="3" t="inlineStr">
        <is>
          <t>09</t>
        </is>
      </c>
      <c r="E240" s="3" t="inlineStr">
        <is>
          <t>45</t>
        </is>
      </c>
      <c r="F240" s="3" t="inlineStr">
        <is>
          <t>84</t>
        </is>
      </c>
      <c r="G240" s="3" t="inlineStr">
        <is>
          <t>014589</t>
        </is>
      </c>
      <c r="H240" s="3" t="inlineStr">
        <is>
          <t>T0, T2, T4, T5, T7, T9</t>
        </is>
      </c>
      <c r="I240" s="3" t="inlineStr">
        <is>
          <t>T3-B8</t>
        </is>
      </c>
      <c r="J240" s="3" t="inlineStr">
        <is>
          <t>49 con</t>
        </is>
      </c>
      <c r="K240" s="3" t="inlineStr">
        <is>
          <t>61</t>
        </is>
      </c>
      <c r="L240" s="6" t="inlineStr">
        <is>
          <t>TRÚNG</t>
        </is>
      </c>
      <c r="M240" s="7" t="inlineStr">
        <is>
          <t>KHÔNG</t>
        </is>
      </c>
      <c r="N240" s="6" t="inlineStr">
        <is>
          <t>TRÚNG</t>
        </is>
      </c>
      <c r="O240" s="3" t="inlineStr">
        <is>
          <t>94 - 49</t>
        </is>
      </c>
      <c r="P240" s="3" t="inlineStr">
        <is>
          <t>0 nháy</t>
        </is>
      </c>
      <c r="Q240" s="3" t="inlineStr">
        <is>
          <t>15 nháy</t>
        </is>
      </c>
    </row>
    <row r="241">
      <c r="A241" s="2" t="n">
        <v>234</v>
      </c>
      <c r="B241" s="2" t="inlineStr">
        <is>
          <t>Thứ tư ngày 26-08-2026 (Thứ Tư)</t>
        </is>
      </c>
      <c r="C241" s="3" t="inlineStr">
        <is>
          <t>23</t>
        </is>
      </c>
      <c r="D241" s="3" t="inlineStr">
        <is>
          <t>68</t>
        </is>
      </c>
      <c r="E241" s="3" t="inlineStr">
        <is>
          <t>96</t>
        </is>
      </c>
      <c r="F241" s="3" t="inlineStr">
        <is>
          <t>69</t>
        </is>
      </c>
      <c r="G241" s="3" t="inlineStr">
        <is>
          <t>23689</t>
        </is>
      </c>
      <c r="H241" s="3" t="inlineStr">
        <is>
          <t>T0, T4, T5, T9</t>
        </is>
      </c>
      <c r="I241" s="3" t="inlineStr">
        <is>
          <t>T1-B6</t>
        </is>
      </c>
      <c r="J241" s="3" t="inlineStr">
        <is>
          <t>29 con</t>
        </is>
      </c>
      <c r="K241" s="3" t="inlineStr">
        <is>
          <t>45</t>
        </is>
      </c>
      <c r="L241" s="7" t="inlineStr">
        <is>
          <t>KHÔNG</t>
        </is>
      </c>
      <c r="M241" s="7" t="inlineStr">
        <is>
          <t>KHÔNG</t>
        </is>
      </c>
      <c r="N241" s="7" t="inlineStr">
        <is>
          <t>KHÔNG</t>
        </is>
      </c>
      <c r="O241" s="3" t="inlineStr">
        <is>
          <t>29 - 92</t>
        </is>
      </c>
      <c r="P241" s="3" t="inlineStr">
        <is>
          <t>0 nháy</t>
        </is>
      </c>
      <c r="Q241" s="3" t="inlineStr">
        <is>
          <t>9 nháy</t>
        </is>
      </c>
    </row>
    <row r="242">
      <c r="A242" s="2" t="n">
        <v>235</v>
      </c>
      <c r="B242" s="2" t="inlineStr">
        <is>
          <t>Thứ năm ngày 27-08-2026 (Thứ Năm)</t>
        </is>
      </c>
      <c r="C242" s="3" t="inlineStr">
        <is>
          <t>03</t>
        </is>
      </c>
      <c r="D242" s="3" t="inlineStr">
        <is>
          <t>86</t>
        </is>
      </c>
      <c r="E242" s="3" t="inlineStr">
        <is>
          <t>61</t>
        </is>
      </c>
      <c r="F242" s="3" t="inlineStr">
        <is>
          <t>71</t>
        </is>
      </c>
      <c r="G242" s="3" t="inlineStr">
        <is>
          <t>013678</t>
        </is>
      </c>
      <c r="H242" s="3" t="inlineStr">
        <is>
          <t>T2, T3, T4, T7, T8, T9</t>
        </is>
      </c>
      <c r="I242" s="3" t="inlineStr">
        <is>
          <t>T1-B6</t>
        </is>
      </c>
      <c r="J242" s="3" t="inlineStr">
        <is>
          <t>49 con</t>
        </is>
      </c>
      <c r="K242" s="3" t="inlineStr">
        <is>
          <t>68</t>
        </is>
      </c>
      <c r="L242" s="6" t="inlineStr">
        <is>
          <t>TRÚNG</t>
        </is>
      </c>
      <c r="M242" s="7" t="inlineStr">
        <is>
          <t>KHÔNG</t>
        </is>
      </c>
      <c r="N242" s="6" t="inlineStr">
        <is>
          <t>TRÚNG</t>
        </is>
      </c>
      <c r="O242" s="3" t="inlineStr">
        <is>
          <t>01 - 10</t>
        </is>
      </c>
      <c r="P242" s="3" t="inlineStr">
        <is>
          <t>0 nháy</t>
        </is>
      </c>
      <c r="Q242" s="3" t="inlineStr">
        <is>
          <t>12 nháy</t>
        </is>
      </c>
    </row>
    <row r="243">
      <c r="A243" s="2" t="n">
        <v>236</v>
      </c>
      <c r="B243" s="2" t="inlineStr">
        <is>
          <t>Thứ sáu ngày 28-08-2026 (Thứ Sáu)</t>
        </is>
      </c>
      <c r="C243" s="3" t="inlineStr">
        <is>
          <t>96</t>
        </is>
      </c>
      <c r="D243" s="3" t="inlineStr">
        <is>
          <t>59</t>
        </is>
      </c>
      <c r="E243" s="3" t="inlineStr">
        <is>
          <t>82</t>
        </is>
      </c>
      <c r="F243" s="3" t="inlineStr">
        <is>
          <t>07</t>
        </is>
      </c>
      <c r="G243" s="3" t="inlineStr">
        <is>
          <t>0256789</t>
        </is>
      </c>
      <c r="H243" s="3" t="inlineStr">
        <is>
          <t>T0, T2, T4, T5, T7, T9</t>
        </is>
      </c>
      <c r="I243" s="3" t="inlineStr">
        <is>
          <t>T6-B1</t>
        </is>
      </c>
      <c r="J243" s="3" t="inlineStr">
        <is>
          <t>53 con</t>
        </is>
      </c>
      <c r="K243" s="3" t="inlineStr">
        <is>
          <t>37</t>
        </is>
      </c>
      <c r="L243" s="6" t="inlineStr">
        <is>
          <t>TRÚNG</t>
        </is>
      </c>
      <c r="M243" s="7" t="inlineStr">
        <is>
          <t>KHÔNG</t>
        </is>
      </c>
      <c r="N243" s="6" t="inlineStr">
        <is>
          <t>TRÚNG</t>
        </is>
      </c>
      <c r="O243" s="3" t="inlineStr">
        <is>
          <t>97 - 79</t>
        </is>
      </c>
      <c r="P243" s="3" t="inlineStr">
        <is>
          <t>0 nháy</t>
        </is>
      </c>
      <c r="Q243" s="3" t="inlineStr">
        <is>
          <t>11 nháy</t>
        </is>
      </c>
    </row>
    <row r="244">
      <c r="A244" s="2" t="n">
        <v>237</v>
      </c>
      <c r="B244" s="2" t="inlineStr">
        <is>
          <t>Thứ bảy ngày 29-08-2026 (Thứ Bảy)</t>
        </is>
      </c>
      <c r="C244" s="3" t="inlineStr">
        <is>
          <t>62</t>
        </is>
      </c>
      <c r="D244" s="3" t="inlineStr">
        <is>
          <t>43</t>
        </is>
      </c>
      <c r="E244" s="3" t="inlineStr">
        <is>
          <t>34</t>
        </is>
      </c>
      <c r="F244" s="3" t="inlineStr">
        <is>
          <t>01</t>
        </is>
      </c>
      <c r="G244" s="3" t="inlineStr">
        <is>
          <t>012346</t>
        </is>
      </c>
      <c r="H244" s="3" t="inlineStr">
        <is>
          <t>T1, T2, T3, T6, T7, T8</t>
        </is>
      </c>
      <c r="I244" s="3" t="inlineStr">
        <is>
          <t>T7-B2</t>
        </is>
      </c>
      <c r="J244" s="3" t="inlineStr">
        <is>
          <t>50 con</t>
        </is>
      </c>
      <c r="K244" s="3" t="inlineStr">
        <is>
          <t>72</t>
        </is>
      </c>
      <c r="L244" s="6" t="inlineStr">
        <is>
          <t>TRÚNG</t>
        </is>
      </c>
      <c r="M244" s="7" t="inlineStr">
        <is>
          <t>KHÔNG</t>
        </is>
      </c>
      <c r="N244" s="7" t="inlineStr">
        <is>
          <t>KHÔNG</t>
        </is>
      </c>
      <c r="O244" s="3" t="inlineStr">
        <is>
          <t>61 - 16</t>
        </is>
      </c>
      <c r="P244" s="3" t="inlineStr">
        <is>
          <t>0 nháy</t>
        </is>
      </c>
      <c r="Q244" s="3" t="inlineStr">
        <is>
          <t>16 nháy</t>
        </is>
      </c>
    </row>
    <row r="245">
      <c r="A245" s="2" t="n">
        <v>238</v>
      </c>
      <c r="B245" s="2" t="inlineStr">
        <is>
          <t>Chủ nhật ngày 30-08-2026 (Chủ Nhật)</t>
        </is>
      </c>
      <c r="C245" s="3" t="inlineStr">
        <is>
          <t>66</t>
        </is>
      </c>
      <c r="D245" s="3" t="inlineStr">
        <is>
          <t>21</t>
        </is>
      </c>
      <c r="E245" s="3" t="inlineStr">
        <is>
          <t>34</t>
        </is>
      </c>
      <c r="F245" s="3" t="inlineStr">
        <is>
          <t>78</t>
        </is>
      </c>
      <c r="G245" s="3" t="inlineStr">
        <is>
          <t>1234678</t>
        </is>
      </c>
      <c r="H245" s="3" t="inlineStr">
        <is>
          <t>T0, T2, T3, T5, T7, T8</t>
        </is>
      </c>
      <c r="I245" s="3" t="inlineStr">
        <is>
          <t>T4-B9</t>
        </is>
      </c>
      <c r="J245" s="3" t="inlineStr">
        <is>
          <t>55 con</t>
        </is>
      </c>
      <c r="K245" s="3" t="inlineStr">
        <is>
          <t>44</t>
        </is>
      </c>
      <c r="L245" s="6" t="inlineStr">
        <is>
          <t>TRÚNG</t>
        </is>
      </c>
      <c r="M245" s="7" t="inlineStr">
        <is>
          <t>KHÔNG</t>
        </is>
      </c>
      <c r="N245" s="6" t="inlineStr">
        <is>
          <t>TRÚNG</t>
        </is>
      </c>
      <c r="O245" s="3" t="inlineStr">
        <is>
          <t>68 - 86</t>
        </is>
      </c>
      <c r="P245" s="3" t="inlineStr">
        <is>
          <t>0 nháy</t>
        </is>
      </c>
      <c r="Q245" s="3" t="inlineStr">
        <is>
          <t>20 nháy</t>
        </is>
      </c>
    </row>
    <row r="246">
      <c r="A246" s="2" t="n">
        <v>239</v>
      </c>
      <c r="B246" s="2" t="inlineStr">
        <is>
          <t>Thứ hai ngày 31-08-2026 (Thứ Hai)</t>
        </is>
      </c>
      <c r="C246" s="3" t="inlineStr">
        <is>
          <t>77</t>
        </is>
      </c>
      <c r="D246" s="3" t="inlineStr">
        <is>
          <t>34</t>
        </is>
      </c>
      <c r="E246" s="3" t="inlineStr">
        <is>
          <t>70</t>
        </is>
      </c>
      <c r="F246" s="3" t="inlineStr">
        <is>
          <t>20</t>
        </is>
      </c>
      <c r="G246" s="3" t="inlineStr">
        <is>
          <t>02347</t>
        </is>
      </c>
      <c r="H246" s="3" t="inlineStr">
        <is>
          <t>T2, T4, T7, T9</t>
        </is>
      </c>
      <c r="I246" s="3" t="inlineStr">
        <is>
          <t>T7-B2</t>
        </is>
      </c>
      <c r="J246" s="3" t="inlineStr">
        <is>
          <t>28 con</t>
        </is>
      </c>
      <c r="K246" s="3" t="inlineStr">
        <is>
          <t>21</t>
        </is>
      </c>
      <c r="L246" s="6" t="inlineStr">
        <is>
          <t>TRÚNG</t>
        </is>
      </c>
      <c r="M246" s="7" t="inlineStr">
        <is>
          <t>KHÔNG</t>
        </is>
      </c>
      <c r="N246" s="7" t="inlineStr">
        <is>
          <t>KHÔNG</t>
        </is>
      </c>
      <c r="O246" s="3" t="inlineStr">
        <is>
          <t>70 - 07</t>
        </is>
      </c>
      <c r="P246" s="3" t="inlineStr">
        <is>
          <t>1 nháy 🎯</t>
        </is>
      </c>
      <c r="Q246" s="3" t="inlineStr">
        <is>
          <t>9 nháy</t>
        </is>
      </c>
    </row>
    <row r="247">
      <c r="A247" s="2" t="n">
        <v>240</v>
      </c>
      <c r="B247" s="2" t="inlineStr">
        <is>
          <t>Thứ ba ngày 01-09-2026 (Thứ Ba)</t>
        </is>
      </c>
      <c r="C247" s="3" t="inlineStr">
        <is>
          <t>63</t>
        </is>
      </c>
      <c r="D247" s="3" t="inlineStr">
        <is>
          <t>93</t>
        </is>
      </c>
      <c r="E247" s="3" t="inlineStr">
        <is>
          <t>51</t>
        </is>
      </c>
      <c r="F247" s="3" t="inlineStr">
        <is>
          <t>68</t>
        </is>
      </c>
      <c r="G247" s="3" t="inlineStr">
        <is>
          <t>135689</t>
        </is>
      </c>
      <c r="H247" s="3" t="inlineStr">
        <is>
          <t>T1, T2, T4, T6, T7, T9</t>
        </is>
      </c>
      <c r="I247" s="3" t="inlineStr">
        <is>
          <t>T4-B9</t>
        </is>
      </c>
      <c r="J247" s="3" t="inlineStr">
        <is>
          <t>46 con</t>
        </is>
      </c>
      <c r="K247" s="3" t="inlineStr">
        <is>
          <t>42</t>
        </is>
      </c>
      <c r="L247" s="7" t="inlineStr">
        <is>
          <t>KHÔNG</t>
        </is>
      </c>
      <c r="M247" s="7" t="inlineStr">
        <is>
          <t>KHÔNG</t>
        </is>
      </c>
      <c r="N247" s="7" t="inlineStr">
        <is>
          <t>KHÔNG</t>
        </is>
      </c>
      <c r="O247" s="3" t="inlineStr">
        <is>
          <t>68 - 86</t>
        </is>
      </c>
      <c r="P247" s="3" t="inlineStr">
        <is>
          <t>0 nháy</t>
        </is>
      </c>
      <c r="Q247" s="3" t="inlineStr">
        <is>
          <t>6 nháy</t>
        </is>
      </c>
    </row>
    <row r="248">
      <c r="A248" s="2" t="n">
        <v>241</v>
      </c>
      <c r="B248" s="2" t="inlineStr">
        <is>
          <t>Thứ tư ngày 02-09-2026 (Thứ Tư)</t>
        </is>
      </c>
      <c r="C248" s="3" t="inlineStr">
        <is>
          <t>15</t>
        </is>
      </c>
      <c r="D248" s="3" t="inlineStr">
        <is>
          <t>64</t>
        </is>
      </c>
      <c r="E248" s="3" t="inlineStr">
        <is>
          <t>32</t>
        </is>
      </c>
      <c r="F248" s="3" t="inlineStr">
        <is>
          <t>10</t>
        </is>
      </c>
      <c r="G248" s="3" t="inlineStr">
        <is>
          <t>0123456</t>
        </is>
      </c>
      <c r="H248" s="3" t="inlineStr">
        <is>
          <t>T0, T1, T5, T6</t>
        </is>
      </c>
      <c r="I248" s="3" t="inlineStr">
        <is>
          <t>T1-B6</t>
        </is>
      </c>
      <c r="J248" s="3" t="inlineStr">
        <is>
          <t>35 con</t>
        </is>
      </c>
      <c r="K248" s="3" t="inlineStr">
        <is>
          <t>11</t>
        </is>
      </c>
      <c r="L248" s="6" t="inlineStr">
        <is>
          <t>TRÚNG</t>
        </is>
      </c>
      <c r="M248" s="7" t="inlineStr">
        <is>
          <t>KHÔNG</t>
        </is>
      </c>
      <c r="N248" s="7" t="inlineStr">
        <is>
          <t>KHÔNG</t>
        </is>
      </c>
      <c r="O248" s="3" t="inlineStr">
        <is>
          <t>10 - 01</t>
        </is>
      </c>
      <c r="P248" s="3" t="inlineStr">
        <is>
          <t>1 nháy 🎯</t>
        </is>
      </c>
      <c r="Q248" s="3" t="inlineStr">
        <is>
          <t>10 nháy</t>
        </is>
      </c>
    </row>
    <row r="249">
      <c r="A249" s="2" t="n">
        <v>242</v>
      </c>
      <c r="B249" s="2" t="inlineStr">
        <is>
          <t>Thứ năm ngày 03-09-2026 (Thứ Năm)</t>
        </is>
      </c>
      <c r="C249" s="3" t="inlineStr">
        <is>
          <t>08</t>
        </is>
      </c>
      <c r="D249" s="3" t="inlineStr">
        <is>
          <t>44</t>
        </is>
      </c>
      <c r="E249" s="3" t="inlineStr">
        <is>
          <t>73</t>
        </is>
      </c>
      <c r="F249" s="3" t="inlineStr">
        <is>
          <t>71</t>
        </is>
      </c>
      <c r="G249" s="3" t="inlineStr">
        <is>
          <t>013478</t>
        </is>
      </c>
      <c r="H249" s="3" t="inlineStr">
        <is>
          <t>T0, T3, T5, T8</t>
        </is>
      </c>
      <c r="I249" s="3" t="inlineStr">
        <is>
          <t>T1-B6</t>
        </is>
      </c>
      <c r="J249" s="3" t="inlineStr">
        <is>
          <t>34 con</t>
        </is>
      </c>
      <c r="K249" s="3" t="inlineStr">
        <is>
          <t>66</t>
        </is>
      </c>
      <c r="L249" s="7" t="inlineStr">
        <is>
          <t>KHÔNG</t>
        </is>
      </c>
      <c r="M249" s="7" t="inlineStr">
        <is>
          <t>KHÔNG</t>
        </is>
      </c>
      <c r="N249" s="7" t="inlineStr">
        <is>
          <t>KHÔNG</t>
        </is>
      </c>
      <c r="O249" s="3" t="inlineStr">
        <is>
          <t>01 - 10</t>
        </is>
      </c>
      <c r="P249" s="3" t="inlineStr">
        <is>
          <t>0 nháy</t>
        </is>
      </c>
      <c r="Q249" s="3" t="inlineStr">
        <is>
          <t>10 nháy</t>
        </is>
      </c>
    </row>
    <row r="250">
      <c r="A250" s="2" t="n">
        <v>243</v>
      </c>
      <c r="B250" s="2" t="inlineStr">
        <is>
          <t>Thứ sáu ngày 04-09-2026 (Thứ Sáu)</t>
        </is>
      </c>
      <c r="C250" s="3" t="inlineStr">
        <is>
          <t>06</t>
        </is>
      </c>
      <c r="D250" s="3" t="inlineStr">
        <is>
          <t>14</t>
        </is>
      </c>
      <c r="E250" s="3" t="inlineStr">
        <is>
          <t>74</t>
        </is>
      </c>
      <c r="F250" s="3" t="inlineStr">
        <is>
          <t>88</t>
        </is>
      </c>
      <c r="G250" s="3" t="inlineStr">
        <is>
          <t>014678</t>
        </is>
      </c>
      <c r="H250" s="3" t="inlineStr">
        <is>
          <t>T0, T1, T5, T6</t>
        </is>
      </c>
      <c r="I250" s="3" t="inlineStr">
        <is>
          <t>T8-B3</t>
        </is>
      </c>
      <c r="J250" s="3" t="inlineStr">
        <is>
          <t>34 con</t>
        </is>
      </c>
      <c r="K250" s="3" t="inlineStr">
        <is>
          <t>37</t>
        </is>
      </c>
      <c r="L250" s="6" t="inlineStr">
        <is>
          <t>TRÚNG</t>
        </is>
      </c>
      <c r="M250" s="7" t="inlineStr">
        <is>
          <t>KHÔNG</t>
        </is>
      </c>
      <c r="N250" s="6" t="inlineStr">
        <is>
          <t>TRÚNG</t>
        </is>
      </c>
      <c r="O250" s="3" t="inlineStr">
        <is>
          <t>08 - 80</t>
        </is>
      </c>
      <c r="P250" s="3" t="inlineStr">
        <is>
          <t>0 nháy</t>
        </is>
      </c>
      <c r="Q250" s="3" t="inlineStr">
        <is>
          <t>7 nháy</t>
        </is>
      </c>
    </row>
    <row r="251">
      <c r="A251" s="2" t="n">
        <v>244</v>
      </c>
      <c r="B251" s="2" t="inlineStr">
        <is>
          <t>Thứ bảy ngày 05-09-2026 (Thứ Bảy)</t>
        </is>
      </c>
      <c r="C251" s="3" t="inlineStr">
        <is>
          <t>88</t>
        </is>
      </c>
      <c r="D251" s="3" t="inlineStr">
        <is>
          <t>59</t>
        </is>
      </c>
      <c r="E251" s="3" t="inlineStr">
        <is>
          <t>31</t>
        </is>
      </c>
      <c r="F251" s="3" t="inlineStr">
        <is>
          <t>21</t>
        </is>
      </c>
      <c r="G251" s="3" t="inlineStr">
        <is>
          <t>123589</t>
        </is>
      </c>
      <c r="H251" s="3" t="inlineStr">
        <is>
          <t>T1, T3, T4, T6, T8, T9</t>
        </is>
      </c>
      <c r="I251" s="3" t="inlineStr">
        <is>
          <t>T9-B4</t>
        </is>
      </c>
      <c r="J251" s="3" t="inlineStr">
        <is>
          <t>50 con</t>
        </is>
      </c>
      <c r="K251" s="3" t="inlineStr">
        <is>
          <t>35</t>
        </is>
      </c>
      <c r="L251" s="6" t="inlineStr">
        <is>
          <t>TRÚNG</t>
        </is>
      </c>
      <c r="M251" s="7" t="inlineStr">
        <is>
          <t>KHÔNG</t>
        </is>
      </c>
      <c r="N251" s="6" t="inlineStr">
        <is>
          <t>TRÚNG</t>
        </is>
      </c>
      <c r="O251" s="3" t="inlineStr">
        <is>
          <t>81 - 18</t>
        </is>
      </c>
      <c r="P251" s="3" t="inlineStr">
        <is>
          <t>0 nháy</t>
        </is>
      </c>
      <c r="Q251" s="3" t="inlineStr">
        <is>
          <t>15 nháy</t>
        </is>
      </c>
    </row>
    <row r="252">
      <c r="A252" s="2" t="n">
        <v>245</v>
      </c>
      <c r="B252" s="2" t="inlineStr">
        <is>
          <t>Chủ nhật ngày 06-09-2026 (Chủ Nhật)</t>
        </is>
      </c>
      <c r="C252" s="3" t="inlineStr">
        <is>
          <t>58</t>
        </is>
      </c>
      <c r="D252" s="3" t="inlineStr">
        <is>
          <t>64</t>
        </is>
      </c>
      <c r="E252" s="3" t="inlineStr">
        <is>
          <t>38</t>
        </is>
      </c>
      <c r="F252" s="3" t="inlineStr">
        <is>
          <t>33</t>
        </is>
      </c>
      <c r="G252" s="3" t="inlineStr">
        <is>
          <t>34568</t>
        </is>
      </c>
      <c r="H252" s="3" t="inlineStr">
        <is>
          <t>T0, T1, T3, T5, T6, T8</t>
        </is>
      </c>
      <c r="I252" s="3" t="inlineStr">
        <is>
          <t>T8-B3</t>
        </is>
      </c>
      <c r="J252" s="3" t="inlineStr">
        <is>
          <t>46 con</t>
        </is>
      </c>
      <c r="K252" s="3" t="inlineStr">
        <is>
          <t>90</t>
        </is>
      </c>
      <c r="L252" s="7" t="inlineStr">
        <is>
          <t>KHÔNG</t>
        </is>
      </c>
      <c r="M252" s="7" t="inlineStr">
        <is>
          <t>KHÔNG</t>
        </is>
      </c>
      <c r="N252" s="7" t="inlineStr">
        <is>
          <t>KHÔNG</t>
        </is>
      </c>
      <c r="O252" s="3" t="inlineStr">
        <is>
          <t>53 - 35</t>
        </is>
      </c>
      <c r="P252" s="3" t="inlineStr">
        <is>
          <t>0 nháy</t>
        </is>
      </c>
      <c r="Q252" s="3" t="inlineStr">
        <is>
          <t>10 nháy</t>
        </is>
      </c>
    </row>
    <row r="253">
      <c r="A253" s="2" t="n">
        <v>246</v>
      </c>
      <c r="B253" s="2" t="inlineStr">
        <is>
          <t>Thứ hai ngày 07-09-2026 (Thứ Hai)</t>
        </is>
      </c>
      <c r="C253" s="3" t="inlineStr">
        <is>
          <t>48</t>
        </is>
      </c>
      <c r="D253" s="3" t="inlineStr">
        <is>
          <t>16</t>
        </is>
      </c>
      <c r="E253" s="3" t="inlineStr">
        <is>
          <t>50</t>
        </is>
      </c>
      <c r="F253" s="3" t="inlineStr">
        <is>
          <t>19</t>
        </is>
      </c>
      <c r="G253" s="3" t="inlineStr">
        <is>
          <t>0145689</t>
        </is>
      </c>
      <c r="H253" s="3" t="inlineStr">
        <is>
          <t>T0, T2, T5, T7</t>
        </is>
      </c>
      <c r="I253" s="3" t="inlineStr">
        <is>
          <t>T3-B8</t>
        </is>
      </c>
      <c r="J253" s="3" t="inlineStr">
        <is>
          <t>36 con</t>
        </is>
      </c>
      <c r="K253" s="3" t="inlineStr">
        <is>
          <t>87</t>
        </is>
      </c>
      <c r="L253" s="6" t="inlineStr">
        <is>
          <t>TRÚNG</t>
        </is>
      </c>
      <c r="M253" s="7" t="inlineStr">
        <is>
          <t>KHÔNG</t>
        </is>
      </c>
      <c r="N253" s="6" t="inlineStr">
        <is>
          <t>TRÚNG</t>
        </is>
      </c>
      <c r="O253" s="3" t="inlineStr">
        <is>
          <t>49 - 94</t>
        </is>
      </c>
      <c r="P253" s="3" t="inlineStr">
        <is>
          <t>0 nháy</t>
        </is>
      </c>
      <c r="Q253" s="3" t="inlineStr">
        <is>
          <t>10 nháy</t>
        </is>
      </c>
    </row>
    <row r="254">
      <c r="A254" s="2" t="n">
        <v>247</v>
      </c>
      <c r="B254" s="2" t="inlineStr">
        <is>
          <t>Thứ ba ngày 08-09-2026 (Thứ Ba)</t>
        </is>
      </c>
      <c r="C254" s="3" t="inlineStr">
        <is>
          <t>08</t>
        </is>
      </c>
      <c r="D254" s="3" t="inlineStr">
        <is>
          <t>38</t>
        </is>
      </c>
      <c r="E254" s="3" t="inlineStr">
        <is>
          <t>60</t>
        </is>
      </c>
      <c r="F254" s="3" t="inlineStr">
        <is>
          <t>07</t>
        </is>
      </c>
      <c r="G254" s="3" t="inlineStr">
        <is>
          <t>03678</t>
        </is>
      </c>
      <c r="H254" s="3" t="inlineStr">
        <is>
          <t>T1, T2, T3, T6, T7, T8</t>
        </is>
      </c>
      <c r="I254" s="3" t="inlineStr">
        <is>
          <t>T7-B2</t>
        </is>
      </c>
      <c r="J254" s="3" t="inlineStr">
        <is>
          <t>45 con</t>
        </is>
      </c>
      <c r="K254" s="3" t="inlineStr">
        <is>
          <t>04</t>
        </is>
      </c>
      <c r="L254" s="6" t="inlineStr">
        <is>
          <t>TRÚNG</t>
        </is>
      </c>
      <c r="M254" s="7" t="inlineStr">
        <is>
          <t>KHÔNG</t>
        </is>
      </c>
      <c r="N254" s="7" t="inlineStr">
        <is>
          <t>KHÔNG</t>
        </is>
      </c>
      <c r="O254" s="3" t="inlineStr">
        <is>
          <t>07 - 70</t>
        </is>
      </c>
      <c r="P254" s="3" t="inlineStr">
        <is>
          <t>3 nháy 🎯</t>
        </is>
      </c>
      <c r="Q254" s="3" t="inlineStr">
        <is>
          <t>14 nháy</t>
        </is>
      </c>
    </row>
    <row r="255">
      <c r="A255" s="2" t="n">
        <v>248</v>
      </c>
      <c r="B255" s="2" t="inlineStr">
        <is>
          <t>Thứ tư ngày 09-09-2026 (Thứ Tư)</t>
        </is>
      </c>
      <c r="C255" s="3" t="inlineStr">
        <is>
          <t>18</t>
        </is>
      </c>
      <c r="D255" s="3" t="inlineStr">
        <is>
          <t>20</t>
        </is>
      </c>
      <c r="E255" s="3" t="inlineStr">
        <is>
          <t>87</t>
        </is>
      </c>
      <c r="F255" s="3" t="inlineStr">
        <is>
          <t>62</t>
        </is>
      </c>
      <c r="G255" s="3" t="inlineStr">
        <is>
          <t>012678</t>
        </is>
      </c>
      <c r="H255" s="3" t="inlineStr">
        <is>
          <t>T0, T2, T3, T4, T5, T7, T8, T9</t>
        </is>
      </c>
      <c r="I255" s="3" t="inlineStr">
        <is>
          <t>T3-B8</t>
        </is>
      </c>
      <c r="J255" s="3" t="inlineStr">
        <is>
          <t>65 con</t>
        </is>
      </c>
      <c r="K255" s="3" t="inlineStr">
        <is>
          <t>81</t>
        </is>
      </c>
      <c r="L255" s="6" t="inlineStr">
        <is>
          <t>TRÚNG</t>
        </is>
      </c>
      <c r="M255" s="7" t="inlineStr">
        <is>
          <t>KHÔNG</t>
        </is>
      </c>
      <c r="N255" s="6" t="inlineStr">
        <is>
          <t>TRÚNG</t>
        </is>
      </c>
      <c r="O255" s="3" t="inlineStr">
        <is>
          <t>12 - 21</t>
        </is>
      </c>
      <c r="P255" s="3" t="inlineStr">
        <is>
          <t>0 nháy</t>
        </is>
      </c>
      <c r="Q255" s="3" t="inlineStr">
        <is>
          <t>13 nháy</t>
        </is>
      </c>
    </row>
    <row r="256">
      <c r="A256" s="2" t="n">
        <v>249</v>
      </c>
      <c r="B256" s="2" t="inlineStr">
        <is>
          <t>Thứ năm ngày 10-09-2026 (Thứ Năm)</t>
        </is>
      </c>
      <c r="C256" s="3" t="inlineStr">
        <is>
          <t>53</t>
        </is>
      </c>
      <c r="D256" s="3" t="inlineStr">
        <is>
          <t>94</t>
        </is>
      </c>
      <c r="E256" s="3" t="inlineStr">
        <is>
          <t>14</t>
        </is>
      </c>
      <c r="F256" s="3" t="inlineStr">
        <is>
          <t>47</t>
        </is>
      </c>
      <c r="G256" s="3" t="inlineStr">
        <is>
          <t>134579</t>
        </is>
      </c>
      <c r="H256" s="3" t="inlineStr">
        <is>
          <t>T0, T1, T3, T5, T6, T8</t>
        </is>
      </c>
      <c r="I256" s="3" t="inlineStr">
        <is>
          <t>T2-B7</t>
        </is>
      </c>
      <c r="J256" s="3" t="inlineStr">
        <is>
          <t>50 con</t>
        </is>
      </c>
      <c r="K256" s="3" t="inlineStr">
        <is>
          <t>52</t>
        </is>
      </c>
      <c r="L256" s="6" t="inlineStr">
        <is>
          <t>TRÚNG</t>
        </is>
      </c>
      <c r="M256" s="6" t="inlineStr">
        <is>
          <t>TRÚNG</t>
        </is>
      </c>
      <c r="N256" s="7" t="inlineStr">
        <is>
          <t>KHÔNG</t>
        </is>
      </c>
      <c r="O256" s="3" t="inlineStr">
        <is>
          <t>57 - 75</t>
        </is>
      </c>
      <c r="P256" s="3" t="inlineStr">
        <is>
          <t>1 nháy 🎯</t>
        </is>
      </c>
      <c r="Q256" s="3" t="inlineStr">
        <is>
          <t>15 nháy</t>
        </is>
      </c>
    </row>
    <row r="257">
      <c r="A257" s="2" t="n">
        <v>250</v>
      </c>
      <c r="B257" s="2" t="inlineStr">
        <is>
          <t>Thứ sáu ngày 11-09-2026 (Thứ Sáu)</t>
        </is>
      </c>
      <c r="C257" s="3" t="inlineStr">
        <is>
          <t>00</t>
        </is>
      </c>
      <c r="D257" s="3" t="inlineStr">
        <is>
          <t>41</t>
        </is>
      </c>
      <c r="E257" s="3" t="inlineStr">
        <is>
          <t>89</t>
        </is>
      </c>
      <c r="F257" s="3" t="inlineStr">
        <is>
          <t>12</t>
        </is>
      </c>
      <c r="G257" s="3" t="inlineStr">
        <is>
          <t>012489</t>
        </is>
      </c>
      <c r="H257" s="3" t="inlineStr">
        <is>
          <t>T0, T2, T3, T5, T7, T8</t>
        </is>
      </c>
      <c r="I257" s="3" t="inlineStr">
        <is>
          <t>T2-B7</t>
        </is>
      </c>
      <c r="J257" s="3" t="inlineStr">
        <is>
          <t>50 con</t>
        </is>
      </c>
      <c r="K257" s="3" t="inlineStr">
        <is>
          <t>51</t>
        </is>
      </c>
      <c r="L257" s="6" t="inlineStr">
        <is>
          <t>TRÚNG</t>
        </is>
      </c>
      <c r="M257" s="7" t="inlineStr">
        <is>
          <t>KHÔNG</t>
        </is>
      </c>
      <c r="N257" s="7" t="inlineStr">
        <is>
          <t>KHÔNG</t>
        </is>
      </c>
      <c r="O257" s="3" t="inlineStr">
        <is>
          <t>02 - 20</t>
        </is>
      </c>
      <c r="P257" s="3" t="inlineStr">
        <is>
          <t>1 nháy 🎯</t>
        </is>
      </c>
      <c r="Q257" s="3" t="inlineStr">
        <is>
          <t>18 nháy</t>
        </is>
      </c>
    </row>
    <row r="258">
      <c r="A258" s="2" t="n">
        <v>251</v>
      </c>
      <c r="B258" s="2" t="inlineStr">
        <is>
          <t>Thứ bảy ngày 12-09-2026 (Thứ Bảy)</t>
        </is>
      </c>
      <c r="C258" s="3" t="inlineStr">
        <is>
          <t>01</t>
        </is>
      </c>
      <c r="D258" s="3" t="inlineStr">
        <is>
          <t>39</t>
        </is>
      </c>
      <c r="E258" s="3" t="inlineStr">
        <is>
          <t>43</t>
        </is>
      </c>
      <c r="F258" s="3" t="inlineStr">
        <is>
          <t>23</t>
        </is>
      </c>
      <c r="G258" s="3" t="inlineStr">
        <is>
          <t>012349</t>
        </is>
      </c>
      <c r="H258" s="3" t="inlineStr">
        <is>
          <t>T0, T1, T2, T5, T6, T7</t>
        </is>
      </c>
      <c r="I258" s="3" t="inlineStr">
        <is>
          <t>T3-B8</t>
        </is>
      </c>
      <c r="J258" s="3" t="inlineStr">
        <is>
          <t>51 con</t>
        </is>
      </c>
      <c r="K258" s="3" t="inlineStr">
        <is>
          <t>99</t>
        </is>
      </c>
      <c r="L258" s="6" t="inlineStr">
        <is>
          <t>TRÚNG</t>
        </is>
      </c>
      <c r="M258" s="6" t="inlineStr">
        <is>
          <t>TRÚNG</t>
        </is>
      </c>
      <c r="N258" s="7" t="inlineStr">
        <is>
          <t>KHÔNG</t>
        </is>
      </c>
      <c r="O258" s="3" t="inlineStr">
        <is>
          <t>03 - 30</t>
        </is>
      </c>
      <c r="P258" s="3" t="inlineStr">
        <is>
          <t>2 nháy 🎯</t>
        </is>
      </c>
      <c r="Q258" s="3" t="inlineStr">
        <is>
          <t>9 nháy</t>
        </is>
      </c>
    </row>
    <row r="259">
      <c r="A259" s="2" t="n">
        <v>252</v>
      </c>
      <c r="B259" s="2" t="inlineStr">
        <is>
          <t>Chủ nhật ngày 13-09-2026 (Chủ Nhật)</t>
        </is>
      </c>
      <c r="C259" s="3" t="inlineStr">
        <is>
          <t>21</t>
        </is>
      </c>
      <c r="D259" s="3" t="inlineStr">
        <is>
          <t>88</t>
        </is>
      </c>
      <c r="E259" s="3" t="inlineStr">
        <is>
          <t>40</t>
        </is>
      </c>
      <c r="F259" s="3" t="inlineStr">
        <is>
          <t>27</t>
        </is>
      </c>
      <c r="G259" s="3" t="inlineStr">
        <is>
          <t>012478</t>
        </is>
      </c>
      <c r="H259" s="3" t="inlineStr">
        <is>
          <t>T1, T3, T4, T6, T8, T9</t>
        </is>
      </c>
      <c r="I259" s="3" t="inlineStr">
        <is>
          <t>T9-B4</t>
        </is>
      </c>
      <c r="J259" s="3" t="inlineStr">
        <is>
          <t>50 con</t>
        </is>
      </c>
      <c r="K259" s="3" t="inlineStr">
        <is>
          <t>22</t>
        </is>
      </c>
      <c r="L259" s="6" t="inlineStr">
        <is>
          <t>TRÚNG</t>
        </is>
      </c>
      <c r="M259" s="6" t="inlineStr">
        <is>
          <t>TRÚNG</t>
        </is>
      </c>
      <c r="N259" s="6" t="inlineStr">
        <is>
          <t>TRÚNG</t>
        </is>
      </c>
      <c r="O259" s="3" t="inlineStr">
        <is>
          <t>27 - 72</t>
        </is>
      </c>
      <c r="P259" s="3" t="inlineStr">
        <is>
          <t>1 nháy 🎯</t>
        </is>
      </c>
      <c r="Q259" s="3" t="inlineStr">
        <is>
          <t>16 nháy</t>
        </is>
      </c>
    </row>
    <row r="260">
      <c r="A260" s="2" t="n">
        <v>253</v>
      </c>
      <c r="B260" s="2" t="inlineStr">
        <is>
          <t>Thứ hai ngày 14-09-2026 (Thứ Hai)</t>
        </is>
      </c>
      <c r="C260" s="3" t="inlineStr">
        <is>
          <t>75</t>
        </is>
      </c>
      <c r="D260" s="3" t="inlineStr">
        <is>
          <t>94</t>
        </is>
      </c>
      <c r="E260" s="3" t="inlineStr">
        <is>
          <t>24</t>
        </is>
      </c>
      <c r="F260" s="3" t="inlineStr">
        <is>
          <t>31</t>
        </is>
      </c>
      <c r="G260" s="3" t="inlineStr">
        <is>
          <t>1234579</t>
        </is>
      </c>
      <c r="H260" s="3" t="inlineStr">
        <is>
          <t>T1, T2, T3, T4, T6, T7, T8, T9</t>
        </is>
      </c>
      <c r="I260" s="3" t="inlineStr">
        <is>
          <t>T8-B3</t>
        </is>
      </c>
      <c r="J260" s="3" t="inlineStr">
        <is>
          <t>72 con</t>
        </is>
      </c>
      <c r="K260" s="3" t="inlineStr">
        <is>
          <t>29</t>
        </is>
      </c>
      <c r="L260" s="6" t="inlineStr">
        <is>
          <t>TRÚNG</t>
        </is>
      </c>
      <c r="M260" s="7" t="inlineStr">
        <is>
          <t>KHÔNG</t>
        </is>
      </c>
      <c r="N260" s="6" t="inlineStr">
        <is>
          <t>TRÚNG</t>
        </is>
      </c>
      <c r="O260" s="3" t="inlineStr">
        <is>
          <t>71 - 17</t>
        </is>
      </c>
      <c r="P260" s="3" t="inlineStr">
        <is>
          <t>0 nháy</t>
        </is>
      </c>
      <c r="Q260" s="3" t="inlineStr">
        <is>
          <t>18 nháy</t>
        </is>
      </c>
    </row>
    <row r="261">
      <c r="A261" s="2" t="n">
        <v>254</v>
      </c>
      <c r="B261" s="2" t="inlineStr">
        <is>
          <t>Thứ ba ngày 15-09-2026 (Thứ Ba)</t>
        </is>
      </c>
      <c r="C261" s="3" t="inlineStr">
        <is>
          <t>27</t>
        </is>
      </c>
      <c r="D261" s="3" t="inlineStr">
        <is>
          <t>15</t>
        </is>
      </c>
      <c r="E261" s="3" t="inlineStr">
        <is>
          <t>44</t>
        </is>
      </c>
      <c r="F261" s="3" t="inlineStr">
        <is>
          <t>13</t>
        </is>
      </c>
      <c r="G261" s="3" t="inlineStr">
        <is>
          <t>123457</t>
        </is>
      </c>
      <c r="H261" s="3" t="inlineStr">
        <is>
          <t>T1, T3, T4, T6, T8, T9</t>
        </is>
      </c>
      <c r="I261" s="3" t="inlineStr">
        <is>
          <t>T5-B0</t>
        </is>
      </c>
      <c r="J261" s="3" t="inlineStr">
        <is>
          <t>50 con</t>
        </is>
      </c>
      <c r="K261" s="3" t="inlineStr">
        <is>
          <t>44</t>
        </is>
      </c>
      <c r="L261" s="6" t="inlineStr">
        <is>
          <t>TRÚNG</t>
        </is>
      </c>
      <c r="M261" s="7" t="inlineStr">
        <is>
          <t>KHÔNG</t>
        </is>
      </c>
      <c r="N261" s="6" t="inlineStr">
        <is>
          <t>TRÚNG</t>
        </is>
      </c>
      <c r="O261" s="3" t="inlineStr">
        <is>
          <t>23 - 32</t>
        </is>
      </c>
      <c r="P261" s="3" t="inlineStr">
        <is>
          <t>0 nháy</t>
        </is>
      </c>
      <c r="Q261" s="3" t="inlineStr">
        <is>
          <t>15 nháy</t>
        </is>
      </c>
    </row>
    <row r="262">
      <c r="A262" s="2" t="n">
        <v>255</v>
      </c>
      <c r="B262" s="2" t="inlineStr">
        <is>
          <t>Thứ tư ngày 16-09-2026 (Thứ Tư)</t>
        </is>
      </c>
      <c r="C262" s="3" t="inlineStr">
        <is>
          <t>24</t>
        </is>
      </c>
      <c r="D262" s="3" t="inlineStr">
        <is>
          <t>21</t>
        </is>
      </c>
      <c r="E262" s="3" t="inlineStr">
        <is>
          <t>46</t>
        </is>
      </c>
      <c r="F262" s="3" t="inlineStr">
        <is>
          <t>31</t>
        </is>
      </c>
      <c r="G262" s="3" t="inlineStr">
        <is>
          <t>12346</t>
        </is>
      </c>
      <c r="H262" s="3" t="inlineStr">
        <is>
          <t>T0, T1, T3, T4, T5, T6, T8, T9</t>
        </is>
      </c>
      <c r="I262" s="3" t="inlineStr">
        <is>
          <t>T3-B8</t>
        </is>
      </c>
      <c r="J262" s="3" t="inlineStr">
        <is>
          <t>61 con</t>
        </is>
      </c>
      <c r="K262" s="3" t="inlineStr">
        <is>
          <t>60</t>
        </is>
      </c>
      <c r="L262" s="6" t="inlineStr">
        <is>
          <t>TRÚNG</t>
        </is>
      </c>
      <c r="M262" s="7" t="inlineStr">
        <is>
          <t>KHÔNG</t>
        </is>
      </c>
      <c r="N262" s="6" t="inlineStr">
        <is>
          <t>TRÚNG</t>
        </is>
      </c>
      <c r="O262" s="3" t="inlineStr">
        <is>
          <t>21 - 12</t>
        </is>
      </c>
      <c r="P262" s="3" t="inlineStr">
        <is>
          <t>1 nháy 🎯</t>
        </is>
      </c>
      <c r="Q262" s="3" t="inlineStr">
        <is>
          <t>12 nháy</t>
        </is>
      </c>
    </row>
    <row r="263">
      <c r="A263" s="2" t="n">
        <v>256</v>
      </c>
      <c r="B263" s="2" t="inlineStr">
        <is>
          <t>Thứ năm ngày 17-09-2026 (Thứ Năm)</t>
        </is>
      </c>
      <c r="C263" s="3" t="inlineStr">
        <is>
          <t>66</t>
        </is>
      </c>
      <c r="D263" s="3" t="inlineStr">
        <is>
          <t>92</t>
        </is>
      </c>
      <c r="E263" s="3" t="inlineStr">
        <is>
          <t>36</t>
        </is>
      </c>
      <c r="F263" s="3" t="inlineStr">
        <is>
          <t>12</t>
        </is>
      </c>
      <c r="G263" s="3" t="inlineStr">
        <is>
          <t>12369</t>
        </is>
      </c>
      <c r="H263" s="3" t="inlineStr">
        <is>
          <t>T1, T2, T3, T4, T6, T7, T8, T9</t>
        </is>
      </c>
      <c r="I263" s="3" t="inlineStr">
        <is>
          <t>T8-B3</t>
        </is>
      </c>
      <c r="J263" s="3" t="inlineStr">
        <is>
          <t>61 con</t>
        </is>
      </c>
      <c r="K263" s="3" t="inlineStr">
        <is>
          <t>67</t>
        </is>
      </c>
      <c r="L263" s="6" t="inlineStr">
        <is>
          <t>TRÚNG</t>
        </is>
      </c>
      <c r="M263" s="6" t="inlineStr">
        <is>
          <t>TRÚNG</t>
        </is>
      </c>
      <c r="N263" s="6" t="inlineStr">
        <is>
          <t>TRÚNG</t>
        </is>
      </c>
      <c r="O263" s="3" t="inlineStr">
        <is>
          <t>62 - 26</t>
        </is>
      </c>
      <c r="P263" s="3" t="inlineStr">
        <is>
          <t>0 nháy</t>
        </is>
      </c>
      <c r="Q263" s="3" t="inlineStr">
        <is>
          <t>13 nháy</t>
        </is>
      </c>
    </row>
    <row r="264">
      <c r="A264" s="2" t="n">
        <v>257</v>
      </c>
      <c r="B264" s="2" t="inlineStr">
        <is>
          <t>Thứ sáu ngày 18-09-2026 (Thứ Sáu)</t>
        </is>
      </c>
      <c r="C264" s="3" t="inlineStr">
        <is>
          <t>40</t>
        </is>
      </c>
      <c r="D264" s="3" t="inlineStr">
        <is>
          <t>93</t>
        </is>
      </c>
      <c r="E264" s="3" t="inlineStr">
        <is>
          <t>79</t>
        </is>
      </c>
      <c r="F264" s="3" t="inlineStr">
        <is>
          <t>82</t>
        </is>
      </c>
      <c r="G264" s="3" t="inlineStr">
        <is>
          <t>0234789</t>
        </is>
      </c>
      <c r="H264" s="3" t="inlineStr">
        <is>
          <t>T0, T1, T2, T4, T5, T6, T7, T9</t>
        </is>
      </c>
      <c r="I264" s="3" t="inlineStr">
        <is>
          <t>T6-B1</t>
        </is>
      </c>
      <c r="J264" s="3" t="inlineStr">
        <is>
          <t>71 con</t>
        </is>
      </c>
      <c r="K264" s="3" t="inlineStr">
        <is>
          <t>12</t>
        </is>
      </c>
      <c r="L264" s="6" t="inlineStr">
        <is>
          <t>TRÚNG</t>
        </is>
      </c>
      <c r="M264" s="7" t="inlineStr">
        <is>
          <t>KHÔNG</t>
        </is>
      </c>
      <c r="N264" s="7" t="inlineStr">
        <is>
          <t>KHÔNG</t>
        </is>
      </c>
      <c r="O264" s="3" t="inlineStr">
        <is>
          <t>42 - 24</t>
        </is>
      </c>
      <c r="P264" s="3" t="inlineStr">
        <is>
          <t>1 nháy 🎯</t>
        </is>
      </c>
      <c r="Q264" s="3" t="inlineStr">
        <is>
          <t>22 nháy</t>
        </is>
      </c>
    </row>
    <row r="265">
      <c r="A265" s="2" t="n">
        <v>258</v>
      </c>
      <c r="B265" s="2" t="inlineStr">
        <is>
          <t>Thứ bảy ngày 19-09-2026 (Thứ Bảy)</t>
        </is>
      </c>
      <c r="C265" s="3" t="inlineStr">
        <is>
          <t>73</t>
        </is>
      </c>
      <c r="D265" s="3" t="inlineStr">
        <is>
          <t>55</t>
        </is>
      </c>
      <c r="E265" s="3" t="inlineStr">
        <is>
          <t>76</t>
        </is>
      </c>
      <c r="F265" s="3" t="inlineStr">
        <is>
          <t>64</t>
        </is>
      </c>
      <c r="G265" s="3" t="inlineStr">
        <is>
          <t>34567</t>
        </is>
      </c>
      <c r="H265" s="3" t="inlineStr">
        <is>
          <t>T0, T3, T5, T8</t>
        </is>
      </c>
      <c r="I265" s="3" t="inlineStr">
        <is>
          <t>T1-B6</t>
        </is>
      </c>
      <c r="J265" s="3" t="inlineStr">
        <is>
          <t>30 con</t>
        </is>
      </c>
      <c r="K265" s="3" t="inlineStr">
        <is>
          <t>38</t>
        </is>
      </c>
      <c r="L265" s="6" t="inlineStr">
        <is>
          <t>TRÚNG</t>
        </is>
      </c>
      <c r="M265" s="6" t="inlineStr">
        <is>
          <t>TRÚNG</t>
        </is>
      </c>
      <c r="N265" s="7" t="inlineStr">
        <is>
          <t>KHÔNG</t>
        </is>
      </c>
      <c r="O265" s="3" t="inlineStr">
        <is>
          <t>74 - 47</t>
        </is>
      </c>
      <c r="P265" s="3" t="inlineStr">
        <is>
          <t>1 nháy 🎯</t>
        </is>
      </c>
      <c r="Q265" s="3" t="inlineStr">
        <is>
          <t>12 nháy</t>
        </is>
      </c>
    </row>
    <row r="266">
      <c r="A266" s="2" t="n">
        <v>259</v>
      </c>
      <c r="B266" s="2" t="inlineStr">
        <is>
          <t>Chủ nhật ngày 20-09-2026 (Chủ Nhật)</t>
        </is>
      </c>
      <c r="C266" s="3" t="inlineStr">
        <is>
          <t>50</t>
        </is>
      </c>
      <c r="D266" s="3" t="inlineStr">
        <is>
          <t>28</t>
        </is>
      </c>
      <c r="E266" s="3" t="inlineStr">
        <is>
          <t>71</t>
        </is>
      </c>
      <c r="F266" s="3" t="inlineStr">
        <is>
          <t>35</t>
        </is>
      </c>
      <c r="G266" s="3" t="inlineStr">
        <is>
          <t>0123578</t>
        </is>
      </c>
      <c r="H266" s="3" t="inlineStr">
        <is>
          <t>T0, T3, T5, T8</t>
        </is>
      </c>
      <c r="I266" s="3" t="inlineStr">
        <is>
          <t>T0-B5</t>
        </is>
      </c>
      <c r="J266" s="3" t="inlineStr">
        <is>
          <t>32 con</t>
        </is>
      </c>
      <c r="K266" s="3" t="inlineStr">
        <is>
          <t>32</t>
        </is>
      </c>
      <c r="L266" s="6" t="inlineStr">
        <is>
          <t>TRÚNG</t>
        </is>
      </c>
      <c r="M266" s="6" t="inlineStr">
        <is>
          <t>TRÚNG</t>
        </is>
      </c>
      <c r="N266" s="6" t="inlineStr">
        <is>
          <t>TRÚNG</t>
        </is>
      </c>
      <c r="O266" s="3" t="inlineStr">
        <is>
          <t>55</t>
        </is>
      </c>
      <c r="P266" s="3" t="inlineStr">
        <is>
          <t>0 nháy</t>
        </is>
      </c>
      <c r="Q266" s="3" t="inlineStr">
        <is>
          <t>9 nháy</t>
        </is>
      </c>
    </row>
    <row r="267">
      <c r="A267" s="2" t="n">
        <v>260</v>
      </c>
      <c r="B267" s="2" t="inlineStr">
        <is>
          <t>Thứ hai ngày 21-09-2026 (Thứ Hai)</t>
        </is>
      </c>
      <c r="C267" s="3" t="inlineStr">
        <is>
          <t>56</t>
        </is>
      </c>
      <c r="D267" s="3" t="inlineStr">
        <is>
          <t>78</t>
        </is>
      </c>
      <c r="E267" s="3" t="inlineStr">
        <is>
          <t>32</t>
        </is>
      </c>
      <c r="F267" s="3" t="inlineStr">
        <is>
          <t>75</t>
        </is>
      </c>
      <c r="G267" s="3" t="inlineStr">
        <is>
          <t>235678</t>
        </is>
      </c>
      <c r="H267" s="3" t="inlineStr">
        <is>
          <t>T0, T1, T2, T5, T6, T7</t>
        </is>
      </c>
      <c r="I267" s="3" t="inlineStr">
        <is>
          <t>T0-B5</t>
        </is>
      </c>
      <c r="J267" s="3" t="inlineStr">
        <is>
          <t>52 con</t>
        </is>
      </c>
      <c r="K267" s="3" t="inlineStr">
        <is>
          <t>22</t>
        </is>
      </c>
      <c r="L267" s="6" t="inlineStr">
        <is>
          <t>TRÚNG</t>
        </is>
      </c>
      <c r="M267" s="7" t="inlineStr">
        <is>
          <t>KHÔNG</t>
        </is>
      </c>
      <c r="N267" s="7" t="inlineStr">
        <is>
          <t>KHÔNG</t>
        </is>
      </c>
      <c r="O267" s="3" t="inlineStr">
        <is>
          <t>55</t>
        </is>
      </c>
      <c r="P267" s="3" t="inlineStr">
        <is>
          <t>0 nháy</t>
        </is>
      </c>
      <c r="Q267" s="3" t="inlineStr">
        <is>
          <t>16 nháy</t>
        </is>
      </c>
    </row>
    <row r="268">
      <c r="A268" s="2" t="n">
        <v>261</v>
      </c>
      <c r="B268" s="2" t="inlineStr">
        <is>
          <t>Thứ ba ngày 22-09-2026 (Thứ Ba)</t>
        </is>
      </c>
      <c r="C268" s="3" t="inlineStr">
        <is>
          <t>92</t>
        </is>
      </c>
      <c r="D268" s="3" t="inlineStr">
        <is>
          <t>07</t>
        </is>
      </c>
      <c r="E268" s="3" t="inlineStr">
        <is>
          <t>35</t>
        </is>
      </c>
      <c r="F268" s="3" t="inlineStr">
        <is>
          <t>44</t>
        </is>
      </c>
      <c r="G268" s="3" t="inlineStr">
        <is>
          <t>0234579</t>
        </is>
      </c>
      <c r="H268" s="3" t="inlineStr">
        <is>
          <t>T1, T2, T3, T6, T7, T8</t>
        </is>
      </c>
      <c r="I268" s="3" t="inlineStr">
        <is>
          <t>T3-B8</t>
        </is>
      </c>
      <c r="J268" s="3" t="inlineStr">
        <is>
          <t>55 con</t>
        </is>
      </c>
      <c r="K268" s="3" t="inlineStr">
        <is>
          <t>06</t>
        </is>
      </c>
      <c r="L268" s="6" t="inlineStr">
        <is>
          <t>TRÚNG</t>
        </is>
      </c>
      <c r="M268" s="7" t="inlineStr">
        <is>
          <t>KHÔNG</t>
        </is>
      </c>
      <c r="N268" s="6" t="inlineStr">
        <is>
          <t>TRÚNG</t>
        </is>
      </c>
      <c r="O268" s="3" t="inlineStr">
        <is>
          <t>94 - 49</t>
        </is>
      </c>
      <c r="P268" s="3" t="inlineStr">
        <is>
          <t>1 nháy 🎯</t>
        </is>
      </c>
      <c r="Q268" s="3" t="inlineStr">
        <is>
          <t>18 nháy</t>
        </is>
      </c>
    </row>
    <row r="269">
      <c r="A269" s="2" t="n">
        <v>262</v>
      </c>
      <c r="B269" s="2" t="inlineStr">
        <is>
          <t>Thứ tư ngày 23-09-2026 (Thứ Tư)</t>
        </is>
      </c>
      <c r="C269" s="3" t="inlineStr">
        <is>
          <t>34</t>
        </is>
      </c>
      <c r="D269" s="3" t="inlineStr">
        <is>
          <t>21</t>
        </is>
      </c>
      <c r="E269" s="3" t="inlineStr">
        <is>
          <t>60</t>
        </is>
      </c>
      <c r="F269" s="3" t="inlineStr">
        <is>
          <t>89</t>
        </is>
      </c>
      <c r="G269" s="3" t="inlineStr">
        <is>
          <t>01234689</t>
        </is>
      </c>
      <c r="H269" s="3" t="inlineStr">
        <is>
          <t>T1, T2, T3, T6, T7, T8</t>
        </is>
      </c>
      <c r="I269" s="3" t="inlineStr">
        <is>
          <t>T2-B7</t>
        </is>
      </c>
      <c r="J269" s="3" t="inlineStr">
        <is>
          <t>58 con</t>
        </is>
      </c>
      <c r="K269" s="3" t="inlineStr">
        <is>
          <t>96</t>
        </is>
      </c>
      <c r="L269" s="6" t="inlineStr">
        <is>
          <t>TRÚNG</t>
        </is>
      </c>
      <c r="M269" s="7" t="inlineStr">
        <is>
          <t>KHÔNG</t>
        </is>
      </c>
      <c r="N269" s="7" t="inlineStr">
        <is>
          <t>KHÔNG</t>
        </is>
      </c>
      <c r="O269" s="3" t="inlineStr">
        <is>
          <t>39 - 93</t>
        </is>
      </c>
      <c r="P269" s="3" t="inlineStr">
        <is>
          <t>1 nháy 🎯</t>
        </is>
      </c>
      <c r="Q269" s="3" t="inlineStr">
        <is>
          <t>18 nháy</t>
        </is>
      </c>
    </row>
    <row r="270">
      <c r="A270" s="2" t="n">
        <v>263</v>
      </c>
      <c r="B270" s="2" t="inlineStr">
        <is>
          <t>Thứ năm ngày 24-09-2026 (Thứ Năm)</t>
        </is>
      </c>
      <c r="C270" s="3" t="inlineStr">
        <is>
          <t>40</t>
        </is>
      </c>
      <c r="D270" s="3" t="inlineStr">
        <is>
          <t>28</t>
        </is>
      </c>
      <c r="E270" s="3" t="inlineStr">
        <is>
          <t>16</t>
        </is>
      </c>
      <c r="F270" s="3" t="inlineStr">
        <is>
          <t>11</t>
        </is>
      </c>
      <c r="G270" s="3" t="inlineStr">
        <is>
          <t>012468</t>
        </is>
      </c>
      <c r="H270" s="3" t="inlineStr">
        <is>
          <t>T0, T2, T4, T5, T7, T9</t>
        </is>
      </c>
      <c r="I270" s="3" t="inlineStr">
        <is>
          <t>T5-B0</t>
        </is>
      </c>
      <c r="J270" s="3" t="inlineStr">
        <is>
          <t>50 con</t>
        </is>
      </c>
      <c r="K270" s="3" t="inlineStr">
        <is>
          <t>65</t>
        </is>
      </c>
      <c r="L270" s="6" t="inlineStr">
        <is>
          <t>TRÚNG</t>
        </is>
      </c>
      <c r="M270" s="7" t="inlineStr">
        <is>
          <t>KHÔNG</t>
        </is>
      </c>
      <c r="N270" s="7" t="inlineStr">
        <is>
          <t>KHÔNG</t>
        </is>
      </c>
      <c r="O270" s="3" t="inlineStr">
        <is>
          <t>41 - 14</t>
        </is>
      </c>
      <c r="P270" s="3" t="inlineStr">
        <is>
          <t>0 nháy</t>
        </is>
      </c>
      <c r="Q270" s="3" t="inlineStr">
        <is>
          <t>14 nháy</t>
        </is>
      </c>
    </row>
    <row r="271">
      <c r="A271" s="2" t="n">
        <v>264</v>
      </c>
      <c r="B271" s="2" t="inlineStr">
        <is>
          <t>Thứ sáu ngày 25-09-2026 (Thứ Sáu)</t>
        </is>
      </c>
      <c r="C271" s="3" t="inlineStr">
        <is>
          <t>74</t>
        </is>
      </c>
      <c r="D271" s="3" t="inlineStr">
        <is>
          <t>64</t>
        </is>
      </c>
      <c r="E271" s="3" t="inlineStr">
        <is>
          <t>48</t>
        </is>
      </c>
      <c r="F271" s="3" t="inlineStr">
        <is>
          <t>50</t>
        </is>
      </c>
      <c r="G271" s="3" t="inlineStr">
        <is>
          <t>045678</t>
        </is>
      </c>
      <c r="H271" s="3" t="inlineStr">
        <is>
          <t>T0, T1, T2, T5, T6, T7</t>
        </is>
      </c>
      <c r="I271" s="3" t="inlineStr">
        <is>
          <t>T7-B2</t>
        </is>
      </c>
      <c r="J271" s="3" t="inlineStr">
        <is>
          <t>50 con</t>
        </is>
      </c>
      <c r="K271" s="3" t="inlineStr">
        <is>
          <t>32</t>
        </is>
      </c>
      <c r="L271" s="7" t="inlineStr">
        <is>
          <t>KHÔNG</t>
        </is>
      </c>
      <c r="M271" s="7" t="inlineStr">
        <is>
          <t>KHÔNG</t>
        </is>
      </c>
      <c r="N271" s="7" t="inlineStr">
        <is>
          <t>KHÔNG</t>
        </is>
      </c>
      <c r="O271" s="3" t="inlineStr">
        <is>
          <t>70 - 07</t>
        </is>
      </c>
      <c r="P271" s="3" t="inlineStr">
        <is>
          <t>0 nháy</t>
        </is>
      </c>
      <c r="Q271" s="3" t="inlineStr">
        <is>
          <t>15 nháy</t>
        </is>
      </c>
    </row>
    <row r="272">
      <c r="A272" s="2" t="n">
        <v>265</v>
      </c>
      <c r="B272" s="2" t="inlineStr">
        <is>
          <t>Thứ bảy ngày 26-09-2026 (Thứ Bảy)</t>
        </is>
      </c>
      <c r="C272" s="3" t="inlineStr">
        <is>
          <t>66</t>
        </is>
      </c>
      <c r="D272" s="3" t="inlineStr">
        <is>
          <t>49</t>
        </is>
      </c>
      <c r="E272" s="3" t="inlineStr">
        <is>
          <t>22</t>
        </is>
      </c>
      <c r="F272" s="3" t="inlineStr">
        <is>
          <t>45</t>
        </is>
      </c>
      <c r="G272" s="3" t="inlineStr">
        <is>
          <t>24569</t>
        </is>
      </c>
      <c r="H272" s="3" t="inlineStr">
        <is>
          <t>T2, T3, T4, T7, T8, T9</t>
        </is>
      </c>
      <c r="I272" s="3" t="inlineStr">
        <is>
          <t>T1-B6</t>
        </is>
      </c>
      <c r="J272" s="3" t="inlineStr">
        <is>
          <t>46 con</t>
        </is>
      </c>
      <c r="K272" s="3" t="inlineStr">
        <is>
          <t>73</t>
        </is>
      </c>
      <c r="L272" s="7" t="inlineStr">
        <is>
          <t>KHÔNG</t>
        </is>
      </c>
      <c r="M272" s="7" t="inlineStr">
        <is>
          <t>KHÔNG</t>
        </is>
      </c>
      <c r="N272" s="7" t="inlineStr">
        <is>
          <t>KHÔNG</t>
        </is>
      </c>
      <c r="O272" s="3" t="inlineStr">
        <is>
          <t>65 - 56</t>
        </is>
      </c>
      <c r="P272" s="3" t="inlineStr">
        <is>
          <t>0 nháy</t>
        </is>
      </c>
      <c r="Q272" s="3" t="inlineStr">
        <is>
          <t>12 nháy</t>
        </is>
      </c>
    </row>
    <row r="273">
      <c r="A273" s="2" t="n">
        <v>266</v>
      </c>
      <c r="B273" s="2" t="inlineStr">
        <is>
          <t>Chủ nhật ngày 27-09-2026 (Chủ Nhật)</t>
        </is>
      </c>
      <c r="C273" s="3" t="inlineStr">
        <is>
          <t>70</t>
        </is>
      </c>
      <c r="D273" s="3" t="inlineStr">
        <is>
          <t>34</t>
        </is>
      </c>
      <c r="E273" s="3" t="inlineStr">
        <is>
          <t>24</t>
        </is>
      </c>
      <c r="F273" s="3" t="inlineStr">
        <is>
          <t>41</t>
        </is>
      </c>
      <c r="G273" s="3" t="inlineStr">
        <is>
          <t>012347</t>
        </is>
      </c>
      <c r="H273" s="3" t="inlineStr">
        <is>
          <t>T0, T1, T2, T5, T6, T7</t>
        </is>
      </c>
      <c r="I273" s="3" t="inlineStr">
        <is>
          <t>T8-B3</t>
        </is>
      </c>
      <c r="J273" s="3" t="inlineStr">
        <is>
          <t>51 con</t>
        </is>
      </c>
      <c r="K273" s="3" t="inlineStr">
        <is>
          <t>15</t>
        </is>
      </c>
      <c r="L273" s="6" t="inlineStr">
        <is>
          <t>TRÚNG</t>
        </is>
      </c>
      <c r="M273" s="7" t="inlineStr">
        <is>
          <t>KHÔNG</t>
        </is>
      </c>
      <c r="N273" s="6" t="inlineStr">
        <is>
          <t>TRÚNG</t>
        </is>
      </c>
      <c r="O273" s="3" t="inlineStr">
        <is>
          <t>71 - 17</t>
        </is>
      </c>
      <c r="P273" s="3" t="inlineStr">
        <is>
          <t>0 nháy</t>
        </is>
      </c>
      <c r="Q273" s="3" t="inlineStr">
        <is>
          <t>19 nháy</t>
        </is>
      </c>
    </row>
    <row r="274">
      <c r="A274" s="2" t="n">
        <v>267</v>
      </c>
      <c r="B274" s="2" t="inlineStr">
        <is>
          <t>Thứ Hai ngày 28-09-2026 (Thứ Hai)</t>
        </is>
      </c>
      <c r="C274" s="3" t="inlineStr">
        <is>
          <t>87</t>
        </is>
      </c>
      <c r="D274" s="3" t="inlineStr">
        <is>
          <t>97</t>
        </is>
      </c>
      <c r="E274" s="3" t="inlineStr">
        <is>
          <t>75</t>
        </is>
      </c>
      <c r="F274" s="3" t="inlineStr">
        <is>
          <t>22</t>
        </is>
      </c>
      <c r="G274" s="3" t="inlineStr">
        <is>
          <t>25789</t>
        </is>
      </c>
      <c r="H274" s="3" t="inlineStr">
        <is>
          <t>T0, T1, T2, T4, T5, T6, T7, T9</t>
        </is>
      </c>
      <c r="I274" s="3" t="inlineStr">
        <is>
          <t>T0-B5</t>
        </is>
      </c>
      <c r="J274" s="3" t="inlineStr">
        <is>
          <t>58 con</t>
        </is>
      </c>
      <c r="K274" s="3" t="inlineStr">
        <is>
          <t>51</t>
        </is>
      </c>
      <c r="L274" s="6" t="inlineStr">
        <is>
          <t>TRÚNG</t>
        </is>
      </c>
      <c r="M274" s="7" t="inlineStr">
        <is>
          <t>KHÔNG</t>
        </is>
      </c>
      <c r="N274" s="6" t="inlineStr">
        <is>
          <t>TRÚNG</t>
        </is>
      </c>
      <c r="O274" s="3" t="inlineStr">
        <is>
          <t>82 - 28</t>
        </is>
      </c>
      <c r="P274" s="3" t="inlineStr">
        <is>
          <t>0 nháy</t>
        </is>
      </c>
      <c r="Q274" s="3" t="inlineStr">
        <is>
          <t>17 nháy</t>
        </is>
      </c>
    </row>
    <row r="275">
      <c r="A275" s="2" t="n">
        <v>268</v>
      </c>
      <c r="B275" s="2" t="inlineStr">
        <is>
          <t>Thứ Ba ngày 29-09-2026 (Thứ Ba)</t>
        </is>
      </c>
      <c r="C275" s="3" t="inlineStr">
        <is>
          <t>63</t>
        </is>
      </c>
      <c r="D275" s="3" t="inlineStr">
        <is>
          <t>19</t>
        </is>
      </c>
      <c r="E275" s="3" t="inlineStr">
        <is>
          <t>26</t>
        </is>
      </c>
      <c r="F275" s="3" t="inlineStr">
        <is>
          <t>67</t>
        </is>
      </c>
      <c r="G275" s="3" t="inlineStr">
        <is>
          <t>123679</t>
        </is>
      </c>
      <c r="H275" s="3" t="inlineStr">
        <is>
          <t>T0, T3, T4, T5, T8, T9</t>
        </is>
      </c>
      <c r="I275" s="3" t="inlineStr">
        <is>
          <t>T3-B8</t>
        </is>
      </c>
      <c r="J275" s="3" t="inlineStr">
        <is>
          <t>47 con</t>
        </is>
      </c>
      <c r="K275" s="3" t="inlineStr">
        <is>
          <t>42</t>
        </is>
      </c>
      <c r="L275" s="6" t="inlineStr">
        <is>
          <t>TRÚNG</t>
        </is>
      </c>
      <c r="M275" s="7" t="inlineStr">
        <is>
          <t>KHÔNG</t>
        </is>
      </c>
      <c r="N275" s="7" t="inlineStr">
        <is>
          <t>KHÔNG</t>
        </is>
      </c>
      <c r="O275" s="3" t="inlineStr">
        <is>
          <t>67 - 76</t>
        </is>
      </c>
      <c r="P275" s="3" t="inlineStr">
        <is>
          <t>0 nháy</t>
        </is>
      </c>
      <c r="Q275" s="3" t="inlineStr">
        <is>
          <t>11 nháy</t>
        </is>
      </c>
    </row>
    <row r="276">
      <c r="A276" s="2" t="n">
        <v>269</v>
      </c>
      <c r="B276" s="2" t="inlineStr">
        <is>
          <t>Thứ Tư ngày 30-09-2026 (Thứ Tư)</t>
        </is>
      </c>
      <c r="C276" s="3" t="inlineStr">
        <is>
          <t>17</t>
        </is>
      </c>
      <c r="D276" s="3" t="inlineStr">
        <is>
          <t>63</t>
        </is>
      </c>
      <c r="E276" s="3" t="inlineStr">
        <is>
          <t>60</t>
        </is>
      </c>
      <c r="F276" s="3" t="inlineStr">
        <is>
          <t>90</t>
        </is>
      </c>
      <c r="G276" s="3" t="inlineStr">
        <is>
          <t>013679</t>
        </is>
      </c>
      <c r="H276" s="3" t="inlineStr">
        <is>
          <t>T1, T3, T4, T6, T8, T9</t>
        </is>
      </c>
      <c r="I276" s="3" t="inlineStr">
        <is>
          <t>T1-B6</t>
        </is>
      </c>
      <c r="J276" s="3" t="inlineStr">
        <is>
          <t>51 con</t>
        </is>
      </c>
      <c r="K276" s="3" t="inlineStr">
        <is>
          <t>08</t>
        </is>
      </c>
      <c r="L276" s="6" t="inlineStr">
        <is>
          <t>TRÚNG</t>
        </is>
      </c>
      <c r="M276" s="7" t="inlineStr">
        <is>
          <t>KHÔNG</t>
        </is>
      </c>
      <c r="N276" s="6" t="inlineStr">
        <is>
          <t>TRÚNG</t>
        </is>
      </c>
      <c r="O276" s="3" t="inlineStr">
        <is>
          <t>10 - 01</t>
        </is>
      </c>
      <c r="P276" s="3" t="inlineStr">
        <is>
          <t>0 nháy</t>
        </is>
      </c>
      <c r="Q276" s="3" t="inlineStr">
        <is>
          <t>17 nháy</t>
        </is>
      </c>
    </row>
    <row r="277">
      <c r="A277" s="2" t="n">
        <v>270</v>
      </c>
      <c r="B277" s="2" t="inlineStr">
        <is>
          <t>Thứ Năm ngày 01-10-2026 (Thứ Năm)</t>
        </is>
      </c>
      <c r="C277" s="3" t="inlineStr">
        <is>
          <t>50</t>
        </is>
      </c>
      <c r="D277" s="3" t="inlineStr">
        <is>
          <t>15</t>
        </is>
      </c>
      <c r="E277" s="3" t="inlineStr">
        <is>
          <t>07</t>
        </is>
      </c>
      <c r="F277" s="3" t="inlineStr">
        <is>
          <t>04</t>
        </is>
      </c>
      <c r="G277" s="3" t="inlineStr">
        <is>
          <t>01457</t>
        </is>
      </c>
      <c r="H277" s="3" t="inlineStr">
        <is>
          <t>T0, T1, T2, T4, T5, T6, T7, T9</t>
        </is>
      </c>
      <c r="I277" s="3" t="inlineStr">
        <is>
          <t>T9-B4</t>
        </is>
      </c>
      <c r="J277" s="3" t="inlineStr">
        <is>
          <t>58 con</t>
        </is>
      </c>
      <c r="K277" s="3" t="inlineStr">
        <is>
          <t>83</t>
        </is>
      </c>
      <c r="L277" s="7" t="inlineStr">
        <is>
          <t>KHÔNG</t>
        </is>
      </c>
      <c r="M277" s="7" t="inlineStr">
        <is>
          <t>KHÔNG</t>
        </is>
      </c>
      <c r="N277" s="7" t="inlineStr">
        <is>
          <t>KHÔNG</t>
        </is>
      </c>
      <c r="O277" s="3" t="inlineStr">
        <is>
          <t>54 - 45</t>
        </is>
      </c>
      <c r="P277" s="3" t="inlineStr">
        <is>
          <t>2 nháy 🎯</t>
        </is>
      </c>
      <c r="Q277" s="3" t="inlineStr">
        <is>
          <t>19 nháy</t>
        </is>
      </c>
    </row>
    <row r="278">
      <c r="A278" s="2" t="n">
        <v>271</v>
      </c>
      <c r="B278" s="2" t="inlineStr">
        <is>
          <t>Thứ Sáu ngày 02-10-2026 (Thứ Sáu)</t>
        </is>
      </c>
      <c r="C278" s="3" t="inlineStr">
        <is>
          <t>84</t>
        </is>
      </c>
      <c r="D278" s="3" t="inlineStr">
        <is>
          <t>65</t>
        </is>
      </c>
      <c r="E278" s="3" t="inlineStr">
        <is>
          <t>87</t>
        </is>
      </c>
      <c r="F278" s="3" t="inlineStr">
        <is>
          <t>63</t>
        </is>
      </c>
      <c r="G278" s="3" t="inlineStr">
        <is>
          <t>345678</t>
        </is>
      </c>
      <c r="H278" s="3" t="inlineStr">
        <is>
          <t>T0, T1, T2, T4, T5, T6, T7, T9</t>
        </is>
      </c>
      <c r="I278" s="3" t="inlineStr">
        <is>
          <t>T1-B6</t>
        </is>
      </c>
      <c r="J278" s="3" t="inlineStr">
        <is>
          <t>67 con</t>
        </is>
      </c>
      <c r="K278" s="3" t="inlineStr">
        <is>
          <t>61</t>
        </is>
      </c>
      <c r="L278" s="6" t="inlineStr">
        <is>
          <t>TRÚNG</t>
        </is>
      </c>
      <c r="M278" s="7" t="inlineStr">
        <is>
          <t>KHÔNG</t>
        </is>
      </c>
      <c r="N278" s="6" t="inlineStr">
        <is>
          <t>TRÚNG</t>
        </is>
      </c>
      <c r="O278" s="3" t="inlineStr">
        <is>
          <t>83 - 38</t>
        </is>
      </c>
      <c r="P278" s="3" t="inlineStr">
        <is>
          <t>1 nháy 🎯</t>
        </is>
      </c>
      <c r="Q278" s="3" t="inlineStr">
        <is>
          <t>24 nháy</t>
        </is>
      </c>
    </row>
    <row r="279">
      <c r="A279" s="2" t="n">
        <v>272</v>
      </c>
      <c r="B279" s="2" t="inlineStr">
        <is>
          <t>Thứ Bảy ngày 03-10-2026 (Thứ Bảy)</t>
        </is>
      </c>
      <c r="C279" s="3" t="inlineStr">
        <is>
          <t>38</t>
        </is>
      </c>
      <c r="D279" s="3" t="inlineStr">
        <is>
          <t>43</t>
        </is>
      </c>
      <c r="E279" s="3" t="inlineStr">
        <is>
          <t>37</t>
        </is>
      </c>
      <c r="F279" s="3" t="inlineStr">
        <is>
          <t>27</t>
        </is>
      </c>
      <c r="G279" s="3" t="inlineStr">
        <is>
          <t>23478</t>
        </is>
      </c>
      <c r="H279" s="3" t="inlineStr">
        <is>
          <t>T0, T1, T2, T4, T5, T6, T7, T9</t>
        </is>
      </c>
      <c r="I279" s="3" t="inlineStr">
        <is>
          <t>T0-B5</t>
        </is>
      </c>
      <c r="J279" s="3" t="inlineStr">
        <is>
          <t>56 con</t>
        </is>
      </c>
      <c r="K279" s="3" t="inlineStr">
        <is>
          <t>51</t>
        </is>
      </c>
      <c r="L279" s="7" t="inlineStr">
        <is>
          <t>KHÔNG</t>
        </is>
      </c>
      <c r="M279" s="7" t="inlineStr">
        <is>
          <t>KHÔNG</t>
        </is>
      </c>
      <c r="N279" s="7" t="inlineStr">
        <is>
          <t>KHÔNG</t>
        </is>
      </c>
      <c r="O279" s="3" t="inlineStr">
        <is>
          <t>37 - 73</t>
        </is>
      </c>
      <c r="P279" s="3" t="inlineStr">
        <is>
          <t>1 nháy 🎯</t>
        </is>
      </c>
      <c r="Q279" s="3" t="inlineStr">
        <is>
          <t>15 nháy</t>
        </is>
      </c>
    </row>
    <row r="280">
      <c r="A280" s="2" t="n">
        <v>273</v>
      </c>
      <c r="B280" s="2" t="inlineStr">
        <is>
          <t>Chủ Nhật ngày 04-10-2026 (Chủ Nhật)</t>
        </is>
      </c>
      <c r="C280" s="3" t="inlineStr">
        <is>
          <t>90</t>
        </is>
      </c>
      <c r="D280" s="3" t="inlineStr">
        <is>
          <t>89</t>
        </is>
      </c>
      <c r="E280" s="3" t="inlineStr">
        <is>
          <t>26</t>
        </is>
      </c>
      <c r="F280" s="3" t="inlineStr">
        <is>
          <t>59</t>
        </is>
      </c>
      <c r="G280" s="3" t="inlineStr">
        <is>
          <t>025689</t>
        </is>
      </c>
      <c r="H280" s="3" t="inlineStr">
        <is>
          <t>T2, T3, T4, T7, T8, T9</t>
        </is>
      </c>
      <c r="I280" s="3" t="inlineStr">
        <is>
          <t>T8-B3</t>
        </is>
      </c>
      <c r="J280" s="3" t="inlineStr">
        <is>
          <t>51 con</t>
        </is>
      </c>
      <c r="K280" s="3" t="inlineStr">
        <is>
          <t>54</t>
        </is>
      </c>
      <c r="L280" s="6" t="inlineStr">
        <is>
          <t>TRÚNG</t>
        </is>
      </c>
      <c r="M280" s="7" t="inlineStr">
        <is>
          <t>KHÔNG</t>
        </is>
      </c>
      <c r="N280" s="6" t="inlineStr">
        <is>
          <t>TRÚNG</t>
        </is>
      </c>
      <c r="O280" s="3" t="inlineStr">
        <is>
          <t>99</t>
        </is>
      </c>
      <c r="P280" s="3" t="inlineStr">
        <is>
          <t>0 nháy</t>
        </is>
      </c>
      <c r="Q280" s="3" t="inlineStr">
        <is>
          <t>18 nháy</t>
        </is>
      </c>
    </row>
    <row r="281">
      <c r="A281" s="2" t="n">
        <v>274</v>
      </c>
      <c r="B281" s="2" t="inlineStr">
        <is>
          <t>Thứ Hai ngày 05-10-2026 (Thứ Hai)</t>
        </is>
      </c>
      <c r="C281" s="3" t="inlineStr">
        <is>
          <t>44</t>
        </is>
      </c>
      <c r="D281" s="3" t="inlineStr">
        <is>
          <t>70</t>
        </is>
      </c>
      <c r="E281" s="3" t="inlineStr">
        <is>
          <t>72</t>
        </is>
      </c>
      <c r="F281" s="3" t="inlineStr">
        <is>
          <t>15</t>
        </is>
      </c>
      <c r="G281" s="3" t="inlineStr">
        <is>
          <t>012457</t>
        </is>
      </c>
      <c r="H281" s="3" t="inlineStr">
        <is>
          <t>T1, T2, T3, T4, T6, T7, T8, T9</t>
        </is>
      </c>
      <c r="I281" s="3" t="inlineStr">
        <is>
          <t>T9-B4</t>
        </is>
      </c>
      <c r="J281" s="3" t="inlineStr">
        <is>
          <t>66 con</t>
        </is>
      </c>
      <c r="K281" s="3" t="inlineStr">
        <is>
          <t>54</t>
        </is>
      </c>
      <c r="L281" s="6" t="inlineStr">
        <is>
          <t>TRÚNG</t>
        </is>
      </c>
      <c r="M281" s="6" t="inlineStr">
        <is>
          <t>TRÚNG</t>
        </is>
      </c>
      <c r="N281" s="6" t="inlineStr">
        <is>
          <t>TRÚNG</t>
        </is>
      </c>
      <c r="O281" s="3" t="inlineStr">
        <is>
          <t>45 - 54</t>
        </is>
      </c>
      <c r="P281" s="3" t="inlineStr">
        <is>
          <t>3 nháy 🎯</t>
        </is>
      </c>
      <c r="Q281" s="3" t="inlineStr">
        <is>
          <t>19 nháy</t>
        </is>
      </c>
    </row>
    <row r="282">
      <c r="A282" s="2" t="n">
        <v>275</v>
      </c>
      <c r="B282" s="2" t="inlineStr">
        <is>
          <t>Thứ Ba ngày 06-10-2026 (Thứ Ba)</t>
        </is>
      </c>
      <c r="C282" s="3" t="inlineStr">
        <is>
          <t>49</t>
        </is>
      </c>
      <c r="D282" s="3" t="inlineStr">
        <is>
          <t>97</t>
        </is>
      </c>
      <c r="E282" s="3" t="inlineStr">
        <is>
          <t>79</t>
        </is>
      </c>
      <c r="F282" s="3" t="inlineStr">
        <is>
          <t>70</t>
        </is>
      </c>
      <c r="G282" s="3" t="inlineStr">
        <is>
          <t>0479</t>
        </is>
      </c>
      <c r="H282" s="3" t="inlineStr">
        <is>
          <t>T1, T2, T3, T6, T7, T8</t>
        </is>
      </c>
      <c r="I282" s="3" t="inlineStr">
        <is>
          <t>T4-B9</t>
        </is>
      </c>
      <c r="J282" s="3" t="inlineStr">
        <is>
          <t>38 con</t>
        </is>
      </c>
      <c r="K282" s="3" t="inlineStr">
        <is>
          <t>88</t>
        </is>
      </c>
      <c r="L282" s="7" t="inlineStr">
        <is>
          <t>KHÔNG</t>
        </is>
      </c>
      <c r="M282" s="7" t="inlineStr">
        <is>
          <t>KHÔNG</t>
        </is>
      </c>
      <c r="N282" s="7" t="inlineStr">
        <is>
          <t>KHÔNG</t>
        </is>
      </c>
      <c r="O282" s="3" t="inlineStr">
        <is>
          <t>40 - 04</t>
        </is>
      </c>
      <c r="P282" s="3" t="inlineStr">
        <is>
          <t>0 nháy</t>
        </is>
      </c>
      <c r="Q282" s="3" t="inlineStr">
        <is>
          <t>13 nháy</t>
        </is>
      </c>
    </row>
    <row r="283">
      <c r="A283" s="2" t="n">
        <v>276</v>
      </c>
      <c r="B283" s="2" t="inlineStr">
        <is>
          <t>Thứ Tư ngày 07-10-2026 (Thứ Tư)</t>
        </is>
      </c>
      <c r="C283" s="3" t="inlineStr">
        <is>
          <t>48</t>
        </is>
      </c>
      <c r="D283" s="3" t="inlineStr">
        <is>
          <t>60</t>
        </is>
      </c>
      <c r="E283" s="3" t="inlineStr">
        <is>
          <t>14</t>
        </is>
      </c>
      <c r="F283" s="3" t="inlineStr">
        <is>
          <t>58</t>
        </is>
      </c>
      <c r="G283" s="3" t="inlineStr">
        <is>
          <t>014568</t>
        </is>
      </c>
      <c r="H283" s="3" t="inlineStr">
        <is>
          <t>T0, T1, T2, T3, T5, T6, T7, T8</t>
        </is>
      </c>
      <c r="I283" s="3" t="inlineStr">
        <is>
          <t>T2-B7</t>
        </is>
      </c>
      <c r="J283" s="3" t="inlineStr">
        <is>
          <t>68 con</t>
        </is>
      </c>
      <c r="K283" s="3" t="inlineStr">
        <is>
          <t>39</t>
        </is>
      </c>
      <c r="L283" s="7" t="inlineStr">
        <is>
          <t>KHÔNG</t>
        </is>
      </c>
      <c r="M283" s="6" t="inlineStr">
        <is>
          <t>TRÚNG</t>
        </is>
      </c>
      <c r="N283" s="7" t="inlineStr">
        <is>
          <t>KHÔNG</t>
        </is>
      </c>
      <c r="O283" s="3" t="inlineStr">
        <is>
          <t>48 - 84</t>
        </is>
      </c>
      <c r="P283" s="3" t="inlineStr">
        <is>
          <t>0 nháy</t>
        </is>
      </c>
      <c r="Q283" s="3" t="inlineStr">
        <is>
          <t>23 nháy</t>
        </is>
      </c>
    </row>
    <row r="284">
      <c r="A284" s="2" t="n">
        <v>277</v>
      </c>
      <c r="B284" s="2" t="inlineStr">
        <is>
          <t>Thứ Năm ngày 08-10-2026 (Thứ Năm)</t>
        </is>
      </c>
      <c r="C284" s="3" t="inlineStr">
        <is>
          <t>26</t>
        </is>
      </c>
      <c r="D284" s="3" t="inlineStr">
        <is>
          <t>35</t>
        </is>
      </c>
      <c r="E284" s="3" t="inlineStr">
        <is>
          <t>37</t>
        </is>
      </c>
      <c r="F284" s="3" t="inlineStr">
        <is>
          <t>06</t>
        </is>
      </c>
      <c r="G284" s="3" t="inlineStr">
        <is>
          <t>023567</t>
        </is>
      </c>
      <c r="H284" s="3" t="inlineStr">
        <is>
          <t>T0, T1, T3, T5, T6, T8</t>
        </is>
      </c>
      <c r="I284" s="3" t="inlineStr">
        <is>
          <t>T8-B3</t>
        </is>
      </c>
      <c r="J284" s="3" t="inlineStr">
        <is>
          <t>51 con</t>
        </is>
      </c>
      <c r="K284" s="3" t="inlineStr">
        <is>
          <t>35</t>
        </is>
      </c>
      <c r="L284" s="6" t="inlineStr">
        <is>
          <t>TRÚNG</t>
        </is>
      </c>
      <c r="M284" s="6" t="inlineStr">
        <is>
          <t>TRÚNG</t>
        </is>
      </c>
      <c r="N284" s="6" t="inlineStr">
        <is>
          <t>TRÚNG</t>
        </is>
      </c>
      <c r="O284" s="3" t="inlineStr">
        <is>
          <t>26 - 62</t>
        </is>
      </c>
      <c r="P284" s="3" t="inlineStr">
        <is>
          <t>0 nháy</t>
        </is>
      </c>
      <c r="Q284" s="3" t="inlineStr">
        <is>
          <t>12 nháy</t>
        </is>
      </c>
    </row>
    <row r="285">
      <c r="A285" s="2" t="n">
        <v>278</v>
      </c>
      <c r="B285" s="2" t="inlineStr">
        <is>
          <t>Thứ Sáu ngày 09-10-2026 (Thứ Sáu)</t>
        </is>
      </c>
      <c r="C285" s="3" t="inlineStr">
        <is>
          <t>02</t>
        </is>
      </c>
      <c r="D285" s="3" t="inlineStr">
        <is>
          <t>13</t>
        </is>
      </c>
      <c r="E285" s="3" t="inlineStr">
        <is>
          <t>03</t>
        </is>
      </c>
      <c r="F285" s="3" t="inlineStr">
        <is>
          <t>63</t>
        </is>
      </c>
      <c r="G285" s="3" t="inlineStr">
        <is>
          <t>01236</t>
        </is>
      </c>
      <c r="H285" s="3" t="inlineStr">
        <is>
          <t>T2, T3, T4, T7, T8, T9</t>
        </is>
      </c>
      <c r="I285" s="3" t="inlineStr">
        <is>
          <t>T3-B8</t>
        </is>
      </c>
      <c r="J285" s="3" t="inlineStr">
        <is>
          <t>43 con</t>
        </is>
      </c>
      <c r="K285" s="3" t="inlineStr">
        <is>
          <t>53</t>
        </is>
      </c>
      <c r="L285" s="6" t="inlineStr">
        <is>
          <t>TRÚNG</t>
        </is>
      </c>
      <c r="M285" s="6" t="inlineStr">
        <is>
          <t>TRÚNG</t>
        </is>
      </c>
      <c r="N285" s="6" t="inlineStr">
        <is>
          <t>TRÚNG</t>
        </is>
      </c>
      <c r="O285" s="3" t="inlineStr">
        <is>
          <t>03 - 30</t>
        </is>
      </c>
      <c r="P285" s="3" t="inlineStr">
        <is>
          <t>1 nháy 🎯</t>
        </is>
      </c>
      <c r="Q285" s="3" t="inlineStr">
        <is>
          <t>21 nháy</t>
        </is>
      </c>
    </row>
    <row r="286">
      <c r="A286" s="2" t="n">
        <v>279</v>
      </c>
      <c r="B286" s="2" t="inlineStr">
        <is>
          <t>Thứ Bảy ngày 10-10-2026 (Thứ Bảy)</t>
        </is>
      </c>
      <c r="C286" s="3" t="inlineStr">
        <is>
          <t>30</t>
        </is>
      </c>
      <c r="D286" s="3" t="inlineStr">
        <is>
          <t>71</t>
        </is>
      </c>
      <c r="E286" s="3" t="inlineStr">
        <is>
          <t>18</t>
        </is>
      </c>
      <c r="F286" s="3" t="inlineStr">
        <is>
          <t>43</t>
        </is>
      </c>
      <c r="G286" s="3" t="inlineStr">
        <is>
          <t>013478</t>
        </is>
      </c>
      <c r="H286" s="3" t="inlineStr">
        <is>
          <t>T2, T3, T4, T7, T8, T9</t>
        </is>
      </c>
      <c r="I286" s="3" t="inlineStr">
        <is>
          <t>T6-B1</t>
        </is>
      </c>
      <c r="J286" s="3" t="inlineStr">
        <is>
          <t>51 con</t>
        </is>
      </c>
      <c r="K286" s="3" t="inlineStr">
        <is>
          <t>63</t>
        </is>
      </c>
      <c r="L286" s="6" t="inlineStr">
        <is>
          <t>TRÚNG</t>
        </is>
      </c>
      <c r="M286" s="7" t="inlineStr">
        <is>
          <t>KHÔNG</t>
        </is>
      </c>
      <c r="N286" s="6" t="inlineStr">
        <is>
          <t>TRÚNG</t>
        </is>
      </c>
      <c r="O286" s="3" t="inlineStr">
        <is>
          <t>33</t>
        </is>
      </c>
      <c r="P286" s="3" t="inlineStr">
        <is>
          <t>0 nháy</t>
        </is>
      </c>
      <c r="Q286" s="3" t="inlineStr">
        <is>
          <t>15 nháy</t>
        </is>
      </c>
    </row>
    <row r="287">
      <c r="A287" s="2" t="n">
        <v>280</v>
      </c>
      <c r="B287" s="2" t="inlineStr">
        <is>
          <t>Chủ Nhật ngày 11-10-2026 (Chủ Nhật)</t>
        </is>
      </c>
      <c r="C287" s="3" t="inlineStr">
        <is>
          <t>53</t>
        </is>
      </c>
      <c r="D287" s="3" t="inlineStr">
        <is>
          <t>89</t>
        </is>
      </c>
      <c r="E287" s="3" t="inlineStr">
        <is>
          <t>06</t>
        </is>
      </c>
      <c r="F287" s="3" t="inlineStr">
        <is>
          <t>41</t>
        </is>
      </c>
      <c r="G287" s="3" t="inlineStr">
        <is>
          <t>01345689</t>
        </is>
      </c>
      <c r="H287" s="3" t="inlineStr">
        <is>
          <t>T0, T1, T2, T3, T5, T6, T7, T8</t>
        </is>
      </c>
      <c r="I287" s="3" t="inlineStr">
        <is>
          <t>T6-B1</t>
        </is>
      </c>
      <c r="J287" s="3" t="inlineStr">
        <is>
          <t>80 con</t>
        </is>
      </c>
      <c r="K287" s="3" t="inlineStr">
        <is>
          <t>87</t>
        </is>
      </c>
      <c r="L287" s="6" t="inlineStr">
        <is>
          <t>TRÚNG</t>
        </is>
      </c>
      <c r="M287" s="7" t="inlineStr">
        <is>
          <t>KHÔNG</t>
        </is>
      </c>
      <c r="N287" s="6" t="inlineStr">
        <is>
          <t>TRÚNG</t>
        </is>
      </c>
      <c r="O287" s="3" t="inlineStr">
        <is>
          <t>51 - 15</t>
        </is>
      </c>
      <c r="P287" s="3" t="inlineStr">
        <is>
          <t>0 nháy</t>
        </is>
      </c>
      <c r="Q287" s="3" t="inlineStr">
        <is>
          <t>24 nháy</t>
        </is>
      </c>
    </row>
    <row r="288">
      <c r="A288" s="2" t="n">
        <v>281</v>
      </c>
      <c r="B288" s="2" t="inlineStr">
        <is>
          <t>Thứ Hai ngày 12-10-2026 (Thứ Hai)</t>
        </is>
      </c>
      <c r="C288" s="3" t="inlineStr">
        <is>
          <t>49</t>
        </is>
      </c>
      <c r="D288" s="3" t="inlineStr">
        <is>
          <t>86</t>
        </is>
      </c>
      <c r="E288" s="3" t="inlineStr">
        <is>
          <t>38</t>
        </is>
      </c>
      <c r="F288" s="3" t="inlineStr">
        <is>
          <t>75</t>
        </is>
      </c>
      <c r="G288" s="3" t="inlineStr">
        <is>
          <t>3456789</t>
        </is>
      </c>
      <c r="H288" s="3" t="inlineStr">
        <is>
          <t>T1, T2, T3, T4, T6, T7, T8, T9</t>
        </is>
      </c>
      <c r="I288" s="3" t="inlineStr">
        <is>
          <t>T9-B4</t>
        </is>
      </c>
      <c r="J288" s="3" t="inlineStr">
        <is>
          <t>72 con</t>
        </is>
      </c>
      <c r="K288" s="3" t="inlineStr">
        <is>
          <t>18</t>
        </is>
      </c>
      <c r="L288" s="6" t="inlineStr">
        <is>
          <t>TRÚNG</t>
        </is>
      </c>
      <c r="M288" s="6" t="inlineStr">
        <is>
          <t>TRÚNG</t>
        </is>
      </c>
      <c r="N288" s="6" t="inlineStr">
        <is>
          <t>TRÚNG</t>
        </is>
      </c>
      <c r="O288" s="3" t="inlineStr">
        <is>
          <t>45 - 54</t>
        </is>
      </c>
      <c r="P288" s="3" t="inlineStr">
        <is>
          <t>1 nháy 🎯</t>
        </is>
      </c>
      <c r="Q288" s="3" t="inlineStr">
        <is>
          <t>21 nháy</t>
        </is>
      </c>
    </row>
    <row r="289">
      <c r="A289" s="2" t="n">
        <v>282</v>
      </c>
      <c r="B289" s="2" t="inlineStr">
        <is>
          <t>Thứ Ba ngày 13-10-2026 (Thứ Ba)</t>
        </is>
      </c>
      <c r="C289" s="3" t="inlineStr">
        <is>
          <t>78</t>
        </is>
      </c>
      <c r="D289" s="3" t="inlineStr">
        <is>
          <t>95</t>
        </is>
      </c>
      <c r="E289" s="3" t="inlineStr">
        <is>
          <t>84</t>
        </is>
      </c>
      <c r="F289" s="3" t="inlineStr">
        <is>
          <t>51</t>
        </is>
      </c>
      <c r="G289" s="3" t="inlineStr">
        <is>
          <t>145789</t>
        </is>
      </c>
      <c r="H289" s="3" t="inlineStr">
        <is>
          <t>T0, T1, T2, T4, T5, T6, T7, T9</t>
        </is>
      </c>
      <c r="I289" s="3" t="inlineStr">
        <is>
          <t>T8-B3</t>
        </is>
      </c>
      <c r="J289" s="3" t="inlineStr">
        <is>
          <t>68 con</t>
        </is>
      </c>
      <c r="K289" s="3" t="inlineStr">
        <is>
          <t>59</t>
        </is>
      </c>
      <c r="L289" s="6" t="inlineStr">
        <is>
          <t>TRÚNG</t>
        </is>
      </c>
      <c r="M289" s="7" t="inlineStr">
        <is>
          <t>KHÔNG</t>
        </is>
      </c>
      <c r="N289" s="6" t="inlineStr">
        <is>
          <t>TRÚNG</t>
        </is>
      </c>
      <c r="O289" s="3" t="inlineStr">
        <is>
          <t>71 - 17</t>
        </is>
      </c>
      <c r="P289" s="3" t="inlineStr">
        <is>
          <t>1 nháy 🎯</t>
        </is>
      </c>
      <c r="Q289" s="3" t="inlineStr">
        <is>
          <t>19 nháy</t>
        </is>
      </c>
    </row>
    <row r="290">
      <c r="A290" s="2" t="n">
        <v>283</v>
      </c>
      <c r="B290" s="2" t="inlineStr">
        <is>
          <t>Thứ Tư ngày 14-10-2026 (Thứ Tư)</t>
        </is>
      </c>
      <c r="C290" s="3" t="inlineStr">
        <is>
          <t>04</t>
        </is>
      </c>
      <c r="D290" s="3" t="inlineStr">
        <is>
          <t>86</t>
        </is>
      </c>
      <c r="E290" s="3" t="inlineStr">
        <is>
          <t>69</t>
        </is>
      </c>
      <c r="F290" s="3" t="inlineStr">
        <is>
          <t>45</t>
        </is>
      </c>
      <c r="G290" s="3" t="inlineStr">
        <is>
          <t>045689</t>
        </is>
      </c>
      <c r="H290" s="3" t="inlineStr">
        <is>
          <t>T0, T4, T5, T9</t>
        </is>
      </c>
      <c r="I290" s="3" t="inlineStr">
        <is>
          <t>T5-B0</t>
        </is>
      </c>
      <c r="J290" s="3" t="inlineStr">
        <is>
          <t>30 con</t>
        </is>
      </c>
      <c r="K290" s="3" t="inlineStr">
        <is>
          <t>66</t>
        </is>
      </c>
      <c r="L290" s="6" t="inlineStr">
        <is>
          <t>TRÚNG</t>
        </is>
      </c>
      <c r="M290" s="7" t="inlineStr">
        <is>
          <t>KHÔNG</t>
        </is>
      </c>
      <c r="N290" s="7" t="inlineStr">
        <is>
          <t>KHÔNG</t>
        </is>
      </c>
      <c r="O290" s="3" t="inlineStr">
        <is>
          <t>05 - 50</t>
        </is>
      </c>
      <c r="P290" s="3" t="inlineStr">
        <is>
          <t>1 nháy 🎯</t>
        </is>
      </c>
      <c r="Q290" s="3" t="inlineStr">
        <is>
          <t>13 nháy</t>
        </is>
      </c>
    </row>
    <row r="291">
      <c r="A291" s="2" t="n">
        <v>284</v>
      </c>
      <c r="B291" s="2" t="inlineStr">
        <is>
          <t>Thứ Năm ngày 15-10-2026 (Thứ Năm)</t>
        </is>
      </c>
      <c r="C291" s="3" t="inlineStr">
        <is>
          <t>96</t>
        </is>
      </c>
      <c r="D291" s="3" t="inlineStr">
        <is>
          <t>27</t>
        </is>
      </c>
      <c r="E291" s="3" t="inlineStr">
        <is>
          <t>58</t>
        </is>
      </c>
      <c r="F291" s="3" t="inlineStr">
        <is>
          <t>91</t>
        </is>
      </c>
      <c r="G291" s="3" t="inlineStr">
        <is>
          <t>1256789</t>
        </is>
      </c>
      <c r="H291" s="3" t="inlineStr">
        <is>
          <t>T0, T3, T4, T5, T8, T9</t>
        </is>
      </c>
      <c r="I291" s="3" t="inlineStr">
        <is>
          <t>T0-B5</t>
        </is>
      </c>
      <c r="J291" s="3" t="inlineStr">
        <is>
          <t>54 con</t>
        </is>
      </c>
      <c r="K291" s="3" t="inlineStr">
        <is>
          <t>56</t>
        </is>
      </c>
      <c r="L291" s="6" t="inlineStr">
        <is>
          <t>TRÚNG</t>
        </is>
      </c>
      <c r="M291" s="7" t="inlineStr">
        <is>
          <t>KHÔNG</t>
        </is>
      </c>
      <c r="N291" s="7" t="inlineStr">
        <is>
          <t>KHÔNG</t>
        </is>
      </c>
      <c r="O291" s="3" t="inlineStr">
        <is>
          <t>91 - 19</t>
        </is>
      </c>
      <c r="P291" s="3" t="inlineStr">
        <is>
          <t>1 nháy 🎯</t>
        </is>
      </c>
      <c r="Q291" s="3" t="inlineStr">
        <is>
          <t>15 nháy</t>
        </is>
      </c>
    </row>
    <row r="292">
      <c r="A292" s="2" t="n">
        <v>285</v>
      </c>
      <c r="B292" s="2" t="inlineStr">
        <is>
          <t>Thứ Sáu ngày 16-10-2026 (Thứ Sáu)</t>
        </is>
      </c>
      <c r="C292" s="3" t="inlineStr">
        <is>
          <t>42</t>
        </is>
      </c>
      <c r="D292" s="3" t="inlineStr">
        <is>
          <t>53</t>
        </is>
      </c>
      <c r="E292" s="3" t="inlineStr">
        <is>
          <t>92</t>
        </is>
      </c>
      <c r="F292" s="3" t="inlineStr">
        <is>
          <t>45</t>
        </is>
      </c>
      <c r="G292" s="3" t="inlineStr">
        <is>
          <t>23459</t>
        </is>
      </c>
      <c r="H292" s="3" t="inlineStr">
        <is>
          <t>T1, T3, T4, T6, T8, T9</t>
        </is>
      </c>
      <c r="I292" s="3" t="inlineStr">
        <is>
          <t>T9-B4</t>
        </is>
      </c>
      <c r="J292" s="3" t="inlineStr">
        <is>
          <t>44 con</t>
        </is>
      </c>
      <c r="K292" s="3" t="inlineStr">
        <is>
          <t>38</t>
        </is>
      </c>
      <c r="L292" s="6" t="inlineStr">
        <is>
          <t>TRÚNG</t>
        </is>
      </c>
      <c r="M292" s="7" t="inlineStr">
        <is>
          <t>KHÔNG</t>
        </is>
      </c>
      <c r="N292" s="6" t="inlineStr">
        <is>
          <t>TRÚNG</t>
        </is>
      </c>
      <c r="O292" s="3" t="inlineStr">
        <is>
          <t>45 - 54</t>
        </is>
      </c>
      <c r="P292" s="3" t="inlineStr">
        <is>
          <t>0 nháy</t>
        </is>
      </c>
      <c r="Q292" s="3" t="inlineStr">
        <is>
          <t>12 nháy</t>
        </is>
      </c>
    </row>
    <row r="293">
      <c r="A293" s="2" t="n">
        <v>286</v>
      </c>
      <c r="B293" s="2" t="inlineStr">
        <is>
          <t>Thứ Bảy ngày 17-10-2026 (Thứ Bảy)</t>
        </is>
      </c>
      <c r="C293" s="3" t="inlineStr">
        <is>
          <t>59</t>
        </is>
      </c>
      <c r="D293" s="3" t="inlineStr">
        <is>
          <t>49</t>
        </is>
      </c>
      <c r="E293" s="3" t="inlineStr">
        <is>
          <t>26</t>
        </is>
      </c>
      <c r="F293" s="3" t="inlineStr">
        <is>
          <t>01</t>
        </is>
      </c>
      <c r="G293" s="3" t="inlineStr">
        <is>
          <t>0124569</t>
        </is>
      </c>
      <c r="H293" s="3" t="inlineStr">
        <is>
          <t>T1, T3, T4, T6, T8, T9</t>
        </is>
      </c>
      <c r="I293" s="3" t="inlineStr">
        <is>
          <t>T6-B1</t>
        </is>
      </c>
      <c r="J293" s="3" t="inlineStr">
        <is>
          <t>55 con</t>
        </is>
      </c>
      <c r="K293" s="3" t="inlineStr">
        <is>
          <t>42</t>
        </is>
      </c>
      <c r="L293" s="6" t="inlineStr">
        <is>
          <t>TRÚNG</t>
        </is>
      </c>
      <c r="M293" s="6" t="inlineStr">
        <is>
          <t>TRÚNG</t>
        </is>
      </c>
      <c r="N293" s="6" t="inlineStr">
        <is>
          <t>TRÚNG</t>
        </is>
      </c>
      <c r="O293" s="3" t="inlineStr">
        <is>
          <t>51 - 15</t>
        </is>
      </c>
      <c r="P293" s="3" t="inlineStr">
        <is>
          <t>0 nháy</t>
        </is>
      </c>
      <c r="Q293" s="3" t="inlineStr">
        <is>
          <t>18 nháy</t>
        </is>
      </c>
    </row>
    <row r="294">
      <c r="A294" s="2" t="n">
        <v>287</v>
      </c>
      <c r="B294" s="2" t="inlineStr">
        <is>
          <t>Chủ Nhật ngày 18-10-2026 (Chủ Nhật)</t>
        </is>
      </c>
      <c r="C294" s="3" t="inlineStr">
        <is>
          <t>44</t>
        </is>
      </c>
      <c r="D294" s="3" t="inlineStr">
        <is>
          <t>04</t>
        </is>
      </c>
      <c r="E294" s="3" t="inlineStr">
        <is>
          <t>67</t>
        </is>
      </c>
      <c r="F294" s="3" t="inlineStr">
        <is>
          <t>10</t>
        </is>
      </c>
      <c r="G294" s="3" t="inlineStr">
        <is>
          <t>01467</t>
        </is>
      </c>
      <c r="H294" s="3" t="inlineStr">
        <is>
          <t>T1, T3, T4, T6, T8, T9</t>
        </is>
      </c>
      <c r="I294" s="3" t="inlineStr">
        <is>
          <t>T4-B9</t>
        </is>
      </c>
      <c r="J294" s="3" t="inlineStr">
        <is>
          <t>46 con</t>
        </is>
      </c>
      <c r="K294" s="3" t="inlineStr">
        <is>
          <t>90</t>
        </is>
      </c>
      <c r="L294" s="6" t="inlineStr">
        <is>
          <t>TRÚNG</t>
        </is>
      </c>
      <c r="M294" s="6" t="inlineStr">
        <is>
          <t>TRÚNG</t>
        </is>
      </c>
      <c r="N294" s="6" t="inlineStr">
        <is>
          <t>TRÚNG</t>
        </is>
      </c>
      <c r="O294" s="3" t="inlineStr">
        <is>
          <t>40 - 04</t>
        </is>
      </c>
      <c r="P294" s="3" t="inlineStr">
        <is>
          <t>2 nháy 🎯</t>
        </is>
      </c>
      <c r="Q294" s="3" t="inlineStr">
        <is>
          <t>11 nháy</t>
        </is>
      </c>
    </row>
    <row r="295">
      <c r="A295" s="2" t="n">
        <v>288</v>
      </c>
      <c r="B295" s="2" t="inlineStr">
        <is>
          <t>Thứ Hai ngày 19-10-2026 (Thứ Hai)</t>
        </is>
      </c>
      <c r="C295" s="3" t="inlineStr">
        <is>
          <t>04</t>
        </is>
      </c>
      <c r="D295" s="3" t="inlineStr">
        <is>
          <t>83</t>
        </is>
      </c>
      <c r="E295" s="3" t="inlineStr">
        <is>
          <t>55</t>
        </is>
      </c>
      <c r="F295" s="3" t="inlineStr">
        <is>
          <t>35</t>
        </is>
      </c>
      <c r="G295" s="3" t="inlineStr">
        <is>
          <t>03458</t>
        </is>
      </c>
      <c r="H295" s="3" t="inlineStr">
        <is>
          <t>T0, T1, T3, T4, T5, T6, T8, T9</t>
        </is>
      </c>
      <c r="I295" s="3" t="inlineStr">
        <is>
          <t>T5-B0</t>
        </is>
      </c>
      <c r="J295" s="3" t="inlineStr">
        <is>
          <t>59 con</t>
        </is>
      </c>
      <c r="K295" s="3" t="inlineStr">
        <is>
          <t>09</t>
        </is>
      </c>
      <c r="L295" s="6" t="inlineStr">
        <is>
          <t>TRÚNG</t>
        </is>
      </c>
      <c r="M295" s="7" t="inlineStr">
        <is>
          <t>KHÔNG</t>
        </is>
      </c>
      <c r="N295" s="6" t="inlineStr">
        <is>
          <t>TRÚNG</t>
        </is>
      </c>
      <c r="O295" s="3" t="inlineStr">
        <is>
          <t>05 - 50</t>
        </is>
      </c>
      <c r="P295" s="3" t="inlineStr">
        <is>
          <t>0 nháy</t>
        </is>
      </c>
      <c r="Q295" s="3" t="inlineStr">
        <is>
          <t>16 nháy</t>
        </is>
      </c>
    </row>
    <row r="296">
      <c r="A296" s="2" t="n">
        <v>289</v>
      </c>
      <c r="B296" s="2" t="inlineStr">
        <is>
          <t>Thứ Ba ngày 20-10-2026 (Thứ Ba)</t>
        </is>
      </c>
      <c r="C296" s="3" t="inlineStr">
        <is>
          <t>77</t>
        </is>
      </c>
      <c r="D296" s="3" t="inlineStr">
        <is>
          <t>90</t>
        </is>
      </c>
      <c r="E296" s="3" t="inlineStr">
        <is>
          <t>06</t>
        </is>
      </c>
      <c r="F296" s="3" t="inlineStr">
        <is>
          <t>32</t>
        </is>
      </c>
      <c r="G296" s="3" t="inlineStr">
        <is>
          <t>023679</t>
        </is>
      </c>
      <c r="H296" s="3" t="inlineStr">
        <is>
          <t>T0, T1, T4, T5, T6, T9</t>
        </is>
      </c>
      <c r="I296" s="3" t="inlineStr">
        <is>
          <t>T9-B4</t>
        </is>
      </c>
      <c r="J296" s="3" t="inlineStr">
        <is>
          <t>50 con</t>
        </is>
      </c>
      <c r="K296" s="3" t="inlineStr">
        <is>
          <t>63</t>
        </is>
      </c>
      <c r="L296" s="6" t="inlineStr">
        <is>
          <t>TRÚNG</t>
        </is>
      </c>
      <c r="M296" s="6" t="inlineStr">
        <is>
          <t>TRÚNG</t>
        </is>
      </c>
      <c r="N296" s="6" t="inlineStr">
        <is>
          <t>TRÚNG</t>
        </is>
      </c>
      <c r="O296" s="3" t="inlineStr">
        <is>
          <t>72 - 27</t>
        </is>
      </c>
      <c r="P296" s="3" t="inlineStr">
        <is>
          <t>1 nháy 🎯</t>
        </is>
      </c>
      <c r="Q296" s="3" t="inlineStr">
        <is>
          <t>13 nháy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0" customWidth="1" min="4" max="4"/>
    <col width="30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289 Ngày</t>
        </is>
      </c>
      <c r="C2" s="3" t="inlineStr">
        <is>
          <t>Trúng K1: 138 Ngày (47.75%)</t>
        </is>
      </c>
      <c r="D2" s="3" t="inlineStr">
        <is>
          <t>Trúng K2: 220 Ngày (72.5%)</t>
        </is>
      </c>
      <c r="E2" s="3" t="inlineStr">
        <is>
          <t>Trúng K3: 273 Ngày (87.5%)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00, 02, 05, 07, 11, 14, 16, 19, 20, 23, 25, 28, 32, 34, 37, 39, 41, 43, 46, 48, 50, 52, 55, 57, 61, 64, 66, 69, 70, 73, 75, 78, 82, 84, 87, 89, 91, 93, 96, 98</t>
        </is>
      </c>
      <c r="H3" s="6" t="inlineStr">
        <is>
          <t>TRÚNG 🎯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01, 06, 10, 15, 24, 29, 33, 38, 42, 47, 51, 56, 60, 65, 74, 79, 83, 88, 92, 97</t>
        </is>
      </c>
      <c r="H4" s="7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00, 01, 05, 06, 10, 14, 15, 19, 23, 24, 28, 29, 32, 33, 37, 38, 41, 42, 46, 47, 50, 51, 55, 56, 60, 64, 65, 69, 73, 74, 78, 79, 82, 83, 87, 88, 91, 92, 96, 97</t>
        </is>
      </c>
      <c r="H5" s="6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7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01, 02, 06, 07, 10, 11, 15, 16, 20, 24, 25, 29, 33, 34, 38, 39, 42, 43, 47, 48, 51, 52, 56, 57, 60, 61, 65, 66, 70, 74, 75, 79, 83, 84, 88, 89, 92, 93, 97, 98</t>
        </is>
      </c>
      <c r="H7" s="6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00, 01, 05, 06, 10, 14, 15, 19, 23, 24, 28, 29, 32, 33, 37, 38, 41, 42, 46, 47, 50, 51, 55, 56, 60, 64, 65, 69, 73, 74, 78, 79, 82, 83, 87, 88, 91, 92, 96, 97</t>
        </is>
      </c>
      <c r="H8" s="7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" s="7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" s="6" t="inlineStr">
        <is>
          <t>TRÚNG 🎯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" s="6" t="inlineStr">
        <is>
          <t>TRÚNG 🎯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" s="7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" s="7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02, 04, 07, 09, 11, 13, 16, 18, 20, 22, 25, 27, 31, 34, 36, 39, 40, 43, 45, 48, 52, 54, 57, 59, 61, 63, 66, 68, 70, 72, 75, 77, 81, 84, 86, 89, 90, 93, 95, 98</t>
        </is>
      </c>
      <c r="H14" s="6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" s="7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" s="7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6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01, 03, 06, 08, 10, 12, 15, 17, 21, 24, 26, 29, 30, 33, 35, 38, 42, 44, 47, 49, 51, 53, 56, 58, 60, 62, 65, 67, 71, 74, 76, 79, 80, 83, 85, 88, 92, 94, 97, 99</t>
        </is>
      </c>
      <c r="H18" s="6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9" s="6" t="inlineStr">
        <is>
          <t>TRÚNG 🎯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7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00, 01, 05, 06, 10, 14, 15, 19, 23, 24, 28, 29, 32, 33, 37, 38, 41, 42, 46, 47, 50, 51, 55, 56, 60, 64, 65, 69, 73, 74, 78, 79, 82, 83, 87, 88, 91, 92, 96, 97</t>
        </is>
      </c>
      <c r="H21" s="6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2" s="6" t="inlineStr">
        <is>
          <t>TRÚNG 🎯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" s="7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" s="7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00, 04, 05, 09, 13, 14, 18, 19, 22, 23, 27, 28, 31, 32, 36, 37, 40, 41, 45, 46, 50, 54, 55, 59, 63, 64, 68, 69, 72, 73, 77, 78, 81, 82, 86, 87, 90, 91, 95, 96</t>
        </is>
      </c>
      <c r="H25" s="7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  <c r="H26" s="7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6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01, 03, 06, 08, 10, 12, 15, 17, 21, 24, 26, 29, 30, 33, 35, 38, 42, 44, 47, 49, 51, 53, 56, 58, 60, 62, 65, 67, 71, 74, 76, 79, 80, 83, 85, 88, 92, 94, 97, 99</t>
        </is>
      </c>
      <c r="H28" s="6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7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01, 03, 06, 08, 10, 12, 15, 17, 21, 24, 26, 29, 30, 33, 35, 38, 42, 44, 47, 49, 51, 53, 56, 58, 60, 62, 65, 67, 71, 74, 76, 79, 80, 83, 85, 88, 92, 94, 97, 99</t>
        </is>
      </c>
      <c r="H30" s="7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6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00, 03, 05, 08, 12, 14, 17, 19, 21, 23, 26, 28, 30, 32, 35, 37, 41, 44, 46, 49, 50, 53, 55, 58, 62, 64, 67, 69, 71, 73, 76, 78, 80, 82, 85, 87, 91, 94, 96, 99</t>
        </is>
      </c>
      <c r="H32" s="7" t="inlineStr">
        <is>
          <t>TRƯỢT ❌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3" s="6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01, 03, 06, 08, 10, 12, 15, 17, 21, 24, 26, 29, 30, 33, 35, 38, 42, 44, 47, 49, 51, 53, 56, 58, 60, 62, 65, 67, 71, 74, 76, 79, 80, 83, 85, 88, 92, 94, 97, 99</t>
        </is>
      </c>
      <c r="H34" s="7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35" s="6" t="inlineStr">
        <is>
          <t>TRÚNG 🎯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6" s="6" t="inlineStr">
        <is>
          <t>TRÚNG 🎯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  <c r="H37" s="7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8" s="6" t="inlineStr">
        <is>
          <t>TRÚNG 🎯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7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03, 04, 08, 09, 12, 13, 17, 18, 21, 22, 26, 27, 30, 31, 35, 36, 40, 44, 45, 49, 53, 54, 58, 59, 62, 63, 67, 68, 71, 72, 76, 77, 80, 81, 85, 86, 90, 94, 95, 99</t>
        </is>
      </c>
      <c r="H40" s="6" t="inlineStr">
        <is>
          <t>TRÚNG 🎯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1" s="6" t="inlineStr">
        <is>
          <t>TRÚNG 🎯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7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00, 04, 05, 09, 13, 14, 18, 19, 22, 23, 27, 28, 31, 32, 36, 37, 40, 41, 45, 46, 50, 54, 55, 59, 63, 64, 68, 69, 72, 73, 77, 78, 81, 82, 86, 87, 90, 91, 95, 96</t>
        </is>
      </c>
      <c r="H43" s="7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44" s="6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5" s="6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7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6" t="inlineStr">
        <is>
          <t>TRÚNG 🎯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48" s="7" t="inlineStr">
        <is>
          <t>TRƯỢT ❌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9" s="6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00, 05, 14, 19, 23, 28, 32, 37, 41, 46, 50, 55, 64, 69, 73, 78, 82, 87, 91, 96</t>
        </is>
      </c>
      <c r="H50" s="7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1" s="7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2" s="6" t="inlineStr">
        <is>
          <t>TRÚNG 🎯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00, 04, 05, 09, 13, 14, 18, 19, 22, 23, 27, 28, 31, 32, 36, 37, 40, 41, 45, 46, 50, 54, 55, 59, 63, 64, 68, 69, 72, 73, 77, 78, 81, 82, 86, 87, 90, 91, 95, 96</t>
        </is>
      </c>
      <c r="H53" s="7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54" s="6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00, 01, 05, 06, 10, 14, 15, 19, 23, 24, 28, 29, 32, 33, 37, 38, 41, 42, 46, 47, 50, 51, 55, 56, 60, 64, 65, 69, 73, 74, 78, 79, 82, 83, 87, 88, 91, 92, 96, 97</t>
        </is>
      </c>
      <c r="H55" s="6" t="inlineStr">
        <is>
          <t>TRÚNG 🎯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01, 02, 06, 07, 10, 11, 15, 16, 20, 24, 25, 29, 33, 34, 38, 39, 42, 43, 47, 48, 51, 52, 56, 57, 60, 61, 65, 66, 70, 74, 75, 79, 83, 84, 88, 89, 92, 93, 97, 98</t>
        </is>
      </c>
      <c r="H56" s="7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00, 01, 05, 06, 10, 14, 15, 19, 23, 24, 28, 29, 32, 33, 37, 38, 41, 42, 46, 47, 50, 51, 55, 56, 60, 64, 65, 69, 73, 74, 78, 79, 82, 83, 87, 88, 91, 92, 96, 97</t>
        </is>
      </c>
      <c r="H57" s="7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00, 01, 05, 06, 10, 14, 15, 19, 23, 24, 28, 29, 32, 33, 37, 38, 41, 42, 46, 47, 50, 51, 55, 56, 60, 64, 65, 69, 73, 74, 78, 79, 82, 83, 87, 88, 91, 92, 96, 97</t>
        </is>
      </c>
      <c r="H58" s="7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02, 04, 07, 09, 11, 13, 16, 18, 20, 22, 25, 27, 31, 34, 36, 39, 40, 43, 45, 48, 52, 54, 57, 59, 61, 63, 66, 68, 70, 72, 75, 77, 81, 84, 86, 89, 90, 93, 95, 98</t>
        </is>
      </c>
      <c r="H59" s="7" t="inlineStr">
        <is>
          <t>TRƯỢT ❌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03, 04, 08, 09, 12, 13, 17, 18, 21, 22, 26, 27, 30, 31, 35, 36, 40, 44, 45, 49, 53, 54, 58, 59, 62, 63, 67, 68, 71, 72, 76, 77, 80, 81, 85, 86, 90, 94, 95, 99</t>
        </is>
      </c>
      <c r="H60" s="7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7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2" s="6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00, 03, 05, 08, 12, 14, 17, 19, 21, 23, 26, 28, 30, 32, 35, 37, 41, 44, 46, 49, 50, 53, 55, 58, 62, 64, 67, 69, 71, 73, 76, 78, 80, 82, 85, 87, 91, 94, 96, 99</t>
        </is>
      </c>
      <c r="H63" s="7" t="inlineStr">
        <is>
          <t>TRƯỢT ❌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4" s="7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01, 04, 06, 09, 10, 13, 15, 18, 22, 24, 27, 29, 31, 33, 36, 38, 40, 42, 45, 47, 51, 54, 56, 59, 60, 63, 65, 68, 72, 74, 77, 79, 81, 83, 86, 88, 90, 92, 95, 97</t>
        </is>
      </c>
      <c r="H65" s="7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01, 03, 06, 08, 10, 12, 15, 17, 21, 24, 26, 29, 30, 33, 35, 38, 42, 44, 47, 49, 51, 53, 56, 58, 60, 62, 65, 67, 71, 74, 76, 79, 80, 83, 85, 88, 92, 94, 97, 99</t>
        </is>
      </c>
      <c r="H66" s="6" t="inlineStr">
        <is>
          <t>TRÚNG 🎯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00, 04, 05, 09, 13, 14, 18, 19, 22, 23, 27, 28, 31, 32, 36, 37, 40, 41, 45, 46, 50, 54, 55, 59, 63, 64, 68, 69, 72, 73, 77, 78, 81, 82, 86, 87, 90, 91, 95, 96</t>
        </is>
      </c>
      <c r="H67" s="6" t="inlineStr">
        <is>
          <t>TRÚNG 🎯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8" s="6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9" s="6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  <c r="H70" s="7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1" s="6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2" s="6" t="inlineStr">
        <is>
          <t>TRÚNG 🎯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3" s="6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7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02, 03, 07, 08, 11, 12, 16, 17, 20, 21, 25, 26, 30, 34, 35, 39, 43, 44, 48, 49, 52, 53, 57, 58, 61, 62, 66, 67, 70, 71, 75, 76, 80, 84, 85, 89, 93, 94, 98, 99</t>
        </is>
      </c>
      <c r="H75" s="7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01, 02, 06, 07, 10, 11, 15, 16, 20, 24, 25, 29, 33, 34, 38, 39, 42, 43, 47, 48, 51, 52, 56, 57, 60, 61, 65, 66, 70, 74, 75, 79, 83, 84, 88, 89, 92, 93, 97, 98</t>
        </is>
      </c>
      <c r="H76" s="6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02, 03, 07, 08, 11, 12, 16, 17, 20, 21, 25, 26, 30, 34, 35, 39, 43, 44, 48, 49, 52, 53, 57, 58, 61, 62, 66, 67, 70, 71, 75, 76, 80, 84, 85, 89, 93, 94, 98, 99</t>
        </is>
      </c>
      <c r="H77" s="6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8" s="7" t="inlineStr">
        <is>
          <t>TRƯỢT ❌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7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0" s="6" t="inlineStr">
        <is>
          <t>TRÚNG 🎯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1" s="6" t="inlineStr">
        <is>
          <t>TRÚNG 🎯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00, 01, 05, 06, 10, 14, 15, 19, 23, 24, 28, 29, 32, 33, 37, 38, 41, 42, 46, 47, 50, 51, 55, 56, 60, 64, 65, 69, 73, 74, 78, 79, 82, 83, 87, 88, 91, 92, 96, 97</t>
        </is>
      </c>
      <c r="H82" s="7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3" s="6" t="inlineStr">
        <is>
          <t>TRÚNG 🎯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6" t="inlineStr">
        <is>
          <t>TRÚNG 🎯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5" s="7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  <c r="H86" s="7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02, 07, 11, 16, 20, 25, 34, 39, 43, 48, 52, 57, 61, 66, 70, 75, 84, 89, 93, 98</t>
        </is>
      </c>
      <c r="H87" s="7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8" s="6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7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7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7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02, 04, 07, 09, 11, 13, 16, 18, 20, 22, 25, 27, 31, 34, 36, 39, 40, 43, 45, 48, 52, 54, 57, 59, 61, 63, 66, 68, 70, 72, 75, 77, 81, 84, 86, 89, 90, 93, 95, 98</t>
        </is>
      </c>
      <c r="H92" s="7" t="inlineStr">
        <is>
          <t>TRƯỢT ❌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7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00, 01, 05, 06, 10, 14, 15, 19, 23, 24, 28, 29, 32, 33, 37, 38, 41, 42, 46, 47, 50, 51, 55, 56, 60, 64, 65, 69, 73, 74, 78, 79, 82, 83, 87, 88, 91, 92, 96, 97</t>
        </is>
      </c>
      <c r="H94" s="6" t="inlineStr">
        <is>
          <t>TRÚNG 🎯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5" s="7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6" s="7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00, 04, 05, 09, 13, 14, 18, 19, 22, 23, 27, 28, 31, 32, 36, 37, 40, 41, 45, 46, 50, 54, 55, 59, 63, 64, 68, 69, 72, 73, 77, 78, 81, 82, 86, 87, 90, 91, 95, 96</t>
        </is>
      </c>
      <c r="H97" s="7" t="inlineStr">
        <is>
          <t>TRƯỢT ❌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8" s="7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7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04, 09, 13, 18, 22, 27, 31, 36, 40, 45, 54, 59, 63, 68, 72, 77, 81, 86, 90, 95</t>
        </is>
      </c>
      <c r="H100" s="7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01" s="7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02" s="7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01, 04, 06, 09, 10, 13, 15, 18, 22, 24, 27, 29, 31, 33, 36, 38, 40, 42, 45, 47, 51, 54, 56, 59, 60, 63, 65, 68, 72, 74, 77, 79, 81, 83, 86, 88, 90, 92, 95, 97</t>
        </is>
      </c>
      <c r="H103" s="7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4" s="6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7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01, 04, 06, 09, 10, 13, 15, 18, 22, 24, 27, 29, 31, 33, 36, 38, 40, 42, 45, 47, 51, 54, 56, 59, 60, 63, 65, 68, 72, 74, 77, 79, 81, 83, 86, 88, 90, 92, 95, 97</t>
        </is>
      </c>
      <c r="H106" s="7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00, 03, 05, 08, 12, 14, 17, 19, 21, 23, 26, 28, 30, 32, 35, 37, 41, 44, 46, 49, 50, 53, 55, 58, 62, 64, 67, 69, 71, 73, 76, 78, 80, 82, 85, 87, 91, 94, 96, 99</t>
        </is>
      </c>
      <c r="H107" s="7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7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7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10" s="6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03, 04, 08, 09, 12, 13, 17, 18, 21, 22, 26, 27, 30, 31, 35, 36, 40, 44, 45, 49, 53, 54, 58, 59, 62, 63, 67, 68, 71, 72, 76, 77, 80, 81, 85, 86, 90, 94, 95, 99</t>
        </is>
      </c>
      <c r="H111" s="6" t="inlineStr">
        <is>
          <t>TRÚNG 🎯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7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3" s="7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4" s="6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7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00, 04, 05, 09, 13, 14, 18, 19, 22, 23, 27, 28, 31, 32, 36, 37, 40, 41, 45, 46, 50, 54, 55, 59, 63, 64, 68, 69, 72, 73, 77, 78, 81, 82, 86, 87, 90, 91, 95, 96</t>
        </is>
      </c>
      <c r="H116" s="6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7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8" s="6" t="inlineStr">
        <is>
          <t>TRÚNG 🎯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01, 02, 06, 07, 10, 11, 15, 16, 20, 24, 25, 29, 33, 34, 38, 39, 42, 43, 47, 48, 51, 52, 56, 57, 60, 61, 65, 66, 70, 74, 75, 79, 83, 84, 88, 89, 92, 93, 97, 98</t>
        </is>
      </c>
      <c r="H119" s="7" t="inlineStr">
        <is>
          <t>TRƯỢT ❌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6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6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2" s="7" t="inlineStr">
        <is>
          <t>TRƯỢT ❌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3" s="6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4" s="6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01, 04, 06, 09, 10, 13, 15, 18, 22, 24, 27, 29, 31, 33, 36, 38, 40, 42, 45, 47, 51, 54, 56, 59, 60, 63, 65, 68, 72, 74, 77, 79, 81, 83, 86, 88, 90, 92, 95, 97</t>
        </is>
      </c>
      <c r="H125" s="6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6" s="6" t="inlineStr">
        <is>
          <t>TRÚNG 🎯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6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01, 03, 06, 08, 10, 12, 15, 17, 21, 24, 26, 29, 30, 33, 35, 38, 42, 44, 47, 49, 51, 53, 56, 58, 60, 62, 65, 67, 71, 74, 76, 79, 80, 83, 85, 88, 92, 94, 97, 99</t>
        </is>
      </c>
      <c r="H128" s="6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03, 04, 08, 09, 12, 13, 17, 18, 21, 22, 26, 27, 30, 31, 35, 36, 40, 44, 45, 49, 53, 54, 58, 59, 62, 63, 67, 68, 71, 72, 76, 77, 80, 81, 85, 86, 90, 94, 95, 99</t>
        </is>
      </c>
      <c r="H129" s="7" t="inlineStr">
        <is>
          <t>TRƯỢT ❌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00, 04, 05, 09, 13, 14, 18, 19, 22, 23, 27, 28, 31, 32, 36, 37, 40, 41, 45, 46, 50, 54, 55, 59, 63, 64, 68, 69, 72, 73, 77, 78, 81, 82, 86, 87, 90, 91, 95, 96</t>
        </is>
      </c>
      <c r="H130" s="7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1" s="7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32" s="6" t="inlineStr">
        <is>
          <t>TRÚNG 🎯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3" s="6" t="inlineStr">
        <is>
          <t>TRÚNG 🎯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4" s="6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01, 04, 06, 09, 10, 13, 15, 18, 22, 24, 27, 29, 31, 33, 36, 38, 40, 42, 45, 47, 51, 54, 56, 59, 60, 63, 65, 68, 72, 74, 77, 79, 81, 83, 86, 88, 90, 92, 95, 97</t>
        </is>
      </c>
      <c r="H135" s="7" t="inlineStr">
        <is>
          <t>TRƯỢT ❌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02, 03, 07, 08, 11, 12, 16, 17, 20, 21, 25, 26, 30, 34, 35, 39, 43, 44, 48, 49, 52, 53, 57, 58, 61, 62, 66, 67, 70, 71, 75, 76, 80, 84, 85, 89, 93, 94, 98, 99</t>
        </is>
      </c>
      <c r="H136" s="7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03, 04, 08, 09, 12, 13, 17, 18, 21, 22, 26, 27, 30, 31, 35, 36, 40, 44, 45, 49, 53, 54, 58, 59, 62, 63, 67, 68, 71, 72, 76, 77, 80, 81, 85, 86, 90, 94, 95, 99</t>
        </is>
      </c>
      <c r="H137" s="6" t="inlineStr">
        <is>
          <t>TRÚNG 🎯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38" s="6" t="inlineStr">
        <is>
          <t>TRÚNG 🎯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7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40" s="6" t="inlineStr">
        <is>
          <t>TRÚNG 🎯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1" s="6" t="inlineStr">
        <is>
          <t>TRÚNG 🎯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01, 03, 06, 08, 10, 12, 15, 17, 21, 24, 26, 29, 30, 33, 35, 38, 42, 44, 47, 49, 51, 53, 56, 58, 60, 62, 65, 67, 71, 74, 76, 79, 80, 83, 85, 88, 92, 94, 97, 99</t>
        </is>
      </c>
      <c r="H142" s="7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3" s="6" t="inlineStr">
        <is>
          <t>TRÚNG 🎯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4" s="7" t="inlineStr">
        <is>
          <t>TRƯỢT ❌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02, 04, 07, 09, 11, 13, 16, 18, 20, 22, 25, 27, 31, 34, 36, 39, 40, 43, 45, 48, 52, 54, 57, 59, 61, 63, 66, 68, 70, 72, 75, 77, 81, 84, 86, 89, 90, 93, 95, 98</t>
        </is>
      </c>
      <c r="H145" s="7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6" s="7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02, 03, 07, 08, 11, 12, 16, 17, 20, 21, 25, 26, 30, 34, 35, 39, 43, 44, 48, 49, 52, 53, 57, 58, 61, 62, 66, 67, 70, 71, 75, 76, 80, 84, 85, 89, 93, 94, 98, 99</t>
        </is>
      </c>
      <c r="H147" s="6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00, 01, 05, 06, 10, 14, 15, 19, 23, 24, 28, 29, 32, 33, 37, 38, 41, 42, 46, 47, 50, 51, 55, 56, 60, 64, 65, 69, 73, 74, 78, 79, 82, 83, 87, 88, 91, 92, 96, 97</t>
        </is>
      </c>
      <c r="H148" s="6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9" s="7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7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51" s="6" t="inlineStr">
        <is>
          <t>TRÚNG 🎯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7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3" s="7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02, 03, 07, 08, 11, 12, 16, 17, 20, 21, 25, 26, 30, 34, 35, 39, 43, 44, 48, 49, 52, 53, 57, 58, 61, 62, 66, 67, 70, 71, 75, 76, 80, 84, 85, 89, 93, 94, 98, 99</t>
        </is>
      </c>
      <c r="H154" s="7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00, 03, 05, 08, 12, 14, 17, 19, 21, 23, 26, 28, 30, 32, 35, 37, 41, 44, 46, 49, 50, 53, 55, 58, 62, 64, 67, 69, 71, 73, 76, 78, 80, 82, 85, 87, 91, 94, 96, 99</t>
        </is>
      </c>
      <c r="H155" s="7" t="inlineStr">
        <is>
          <t>TRƯỢT ❌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6" s="6" t="inlineStr">
        <is>
          <t>TRÚNG 🎯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57" s="7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01, 04, 06, 09, 10, 13, 15, 18, 22, 24, 27, 29, 31, 33, 36, 38, 40, 42, 45, 47, 51, 54, 56, 59, 60, 63, 65, 68, 72, 74, 77, 79, 81, 83, 86, 88, 90, 92, 95, 97</t>
        </is>
      </c>
      <c r="H158" s="7" t="inlineStr">
        <is>
          <t>TRƯỢT ❌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9" s="7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0" s="6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02, 03, 07, 08, 11, 12, 16, 17, 20, 21, 25, 26, 30, 34, 35, 39, 43, 44, 48, 49, 52, 53, 57, 58, 61, 62, 66, 67, 70, 71, 75, 76, 80, 84, 85, 89, 93, 94, 98, 99</t>
        </is>
      </c>
      <c r="H161" s="7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2" s="7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3" s="6" t="inlineStr">
        <is>
          <t>TRÚNG 🎯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03, 04, 08, 09, 12, 13, 17, 18, 21, 22, 26, 27, 30, 31, 35, 36, 40, 44, 45, 49, 53, 54, 58, 59, 62, 63, 67, 68, 71, 72, 76, 77, 80, 81, 85, 86, 90, 94, 95, 99</t>
        </is>
      </c>
      <c r="H164" s="7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65" s="7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02, 03, 07, 08, 11, 12, 16, 17, 20, 21, 25, 26, 30, 34, 35, 39, 43, 44, 48, 49, 52, 53, 57, 58, 61, 62, 66, 67, 70, 71, 75, 76, 80, 84, 85, 89, 93, 94, 98, 99</t>
        </is>
      </c>
      <c r="H166" s="7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67" s="6" t="inlineStr">
        <is>
          <t>TRÚNG 🎯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7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00, 03, 05, 08, 12, 14, 17, 19, 21, 23, 26, 28, 30, 32, 35, 37, 41, 44, 46, 49, 50, 53, 55, 58, 62, 64, 67, 69, 71, 73, 76, 78, 80, 82, 85, 87, 91, 94, 96, 99</t>
        </is>
      </c>
      <c r="H169" s="7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0" s="7" t="inlineStr">
        <is>
          <t>TRƯỢT ❌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71" s="6" t="inlineStr">
        <is>
          <t>TRÚNG 🎯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01, 02, 06, 07, 10, 11, 15, 16, 20, 24, 25, 29, 33, 34, 38, 39, 42, 43, 47, 48, 51, 52, 56, 57, 60, 61, 65, 66, 70, 74, 75, 79, 83, 84, 88, 89, 92, 93, 97, 98</t>
        </is>
      </c>
      <c r="H172" s="6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02, 04, 07, 09, 11, 13, 16, 18, 20, 22, 25, 27, 31, 34, 36, 39, 40, 43, 45, 48, 52, 54, 57, 59, 61, 63, 66, 68, 70, 72, 75, 77, 81, 84, 86, 89, 90, 93, 95, 98</t>
        </is>
      </c>
      <c r="H173" s="6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4" s="6" t="inlineStr">
        <is>
          <t>TRÚNG 🎯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7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6" s="6" t="inlineStr">
        <is>
          <t>TRÚNG 🎯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00, 03, 05, 08, 12, 14, 17, 19, 21, 23, 26, 28, 30, 32, 35, 37, 41, 44, 46, 49, 50, 53, 55, 58, 62, 64, 67, 69, 71, 73, 76, 78, 80, 82, 85, 87, 91, 94, 96, 99</t>
        </is>
      </c>
      <c r="H177" s="7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7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01, 04, 06, 09, 10, 13, 15, 18, 22, 24, 27, 29, 31, 33, 36, 38, 40, 42, 45, 47, 51, 54, 56, 59, 60, 63, 65, 68, 72, 74, 77, 79, 81, 83, 86, 88, 90, 92, 95, 97</t>
        </is>
      </c>
      <c r="H179" s="6" t="inlineStr">
        <is>
          <t>TRÚNG 🎯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0" s="6" t="inlineStr">
        <is>
          <t>TRÚNG 🎯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1" s="6" t="inlineStr">
        <is>
          <t>TRÚNG 🎯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7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00, 04, 05, 09, 13, 14, 18, 19, 22, 23, 27, 28, 31, 32, 36, 37, 40, 41, 45, 46, 50, 54, 55, 59, 63, 64, 68, 69, 72, 73, 77, 78, 81, 82, 86, 87, 90, 91, 95, 96</t>
        </is>
      </c>
      <c r="H183" s="7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03, 08, 12, 17, 21, 26, 30, 35, 44, 49, 53, 58, 62, 67, 71, 76, 80, 85, 94, 99</t>
        </is>
      </c>
      <c r="H184" s="7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7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7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7" s="7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7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9" s="7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0" s="6" t="inlineStr">
        <is>
          <t>TRÚNG 🎯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1" s="7" t="inlineStr">
        <is>
          <t>TRƯỢT ❌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2" s="6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3" s="6" t="inlineStr">
        <is>
          <t>TRÚNG 🎯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94" s="6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6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6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00, 04, 05, 09, 13, 14, 18, 19, 22, 23, 27, 28, 31, 32, 36, 37, 40, 41, 45, 46, 50, 54, 55, 59, 63, 64, 68, 69, 72, 73, 77, 78, 81, 82, 86, 87, 90, 91, 95, 96</t>
        </is>
      </c>
      <c r="H197" s="7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98" s="7" t="inlineStr">
        <is>
          <t>TRƯỢT ❌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99" s="6" t="inlineStr">
        <is>
          <t>TRÚNG 🎯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  <c r="H200" s="7" t="inlineStr">
        <is>
          <t>TRƯỢT ❌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1" s="6" t="inlineStr">
        <is>
          <t>TRÚNG 🎯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02" s="7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3" s="7" t="inlineStr">
        <is>
          <t>TRƯỢT ❌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4" s="6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00, 02, 05, 07, 11, 14, 16, 19, 20, 23, 25, 28, 32, 34, 37, 39, 41, 43, 46, 48, 50, 52, 55, 57, 61, 64, 66, 69, 70, 73, 75, 78, 82, 84, 87, 89, 91, 93, 96, 98</t>
        </is>
      </c>
      <c r="H205" s="6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00, 01, 05, 06, 10, 14, 15, 19, 23, 24, 28, 29, 32, 33, 37, 38, 41, 42, 46, 47, 50, 51, 55, 56, 60, 64, 65, 69, 73, 74, 78, 79, 82, 83, 87, 88, 91, 92, 96, 97</t>
        </is>
      </c>
      <c r="H206" s="6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7" s="6" t="inlineStr">
        <is>
          <t>TRÚNG 🎯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02, 07, 11, 16, 20, 25, 34, 39, 43, 48, 52, 57, 61, 66, 70, 75, 84, 89, 93, 98</t>
        </is>
      </c>
      <c r="H208" s="6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9" s="6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7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1" s="7" t="inlineStr">
        <is>
          <t>TRƯỢT ❌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2" s="7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01, 04, 06, 09, 10, 13, 15, 18, 22, 24, 27, 29, 31, 33, 36, 38, 40, 42, 45, 47, 51, 54, 56, 59, 60, 63, 65, 68, 72, 74, 77, 79, 81, 83, 86, 88, 90, 92, 95, 97</t>
        </is>
      </c>
      <c r="H213" s="7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4" s="7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02, 04, 07, 09, 11, 13, 16, 18, 20, 22, 25, 27, 31, 34, 36, 39, 40, 43, 45, 48, 52, 54, 57, 59, 61, 63, 66, 68, 70, 72, 75, 77, 81, 84, 86, 89, 90, 93, 95, 98</t>
        </is>
      </c>
      <c r="H215" s="7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6" s="7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7" s="6" t="inlineStr">
        <is>
          <t>TRÚNG 🎯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8" s="6" t="inlineStr">
        <is>
          <t>TRÚNG 🎯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9" s="7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02, 04, 07, 09, 11, 13, 16, 18, 20, 22, 25, 27, 31, 34, 36, 39, 40, 43, 45, 48, 52, 54, 57, 59, 61, 63, 66, 68, 70, 72, 75, 77, 81, 84, 86, 89, 90, 93, 95, 98</t>
        </is>
      </c>
      <c r="H220" s="7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01, 04, 06, 09, 10, 13, 15, 18, 22, 24, 27, 29, 31, 33, 36, 38, 40, 42, 45, 47, 51, 54, 56, 59, 60, 63, 65, 68, 72, 74, 77, 79, 81, 83, 86, 88, 90, 92, 95, 97</t>
        </is>
      </c>
      <c r="H221" s="7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01, 03, 06, 08, 10, 12, 15, 17, 21, 24, 26, 29, 30, 33, 35, 38, 42, 44, 47, 49, 51, 53, 56, 58, 60, 62, 65, 67, 71, 74, 76, 79, 80, 83, 85, 88, 92, 94, 97, 99</t>
        </is>
      </c>
      <c r="H222" s="6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00, 03, 05, 08, 12, 14, 17, 19, 21, 23, 26, 28, 30, 32, 35, 37, 41, 44, 46, 49, 50, 53, 55, 58, 62, 64, 67, 69, 71, 73, 76, 78, 80, 82, 85, 87, 91, 94, 96, 99</t>
        </is>
      </c>
      <c r="H223" s="7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4" s="6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01, 02, 06, 07, 10, 11, 15, 16, 20, 24, 25, 29, 33, 34, 38, 39, 42, 43, 47, 48, 51, 52, 56, 57, 60, 61, 65, 66, 70, 74, 75, 79, 83, 84, 88, 89, 92, 93, 97, 98</t>
        </is>
      </c>
      <c r="H225" s="7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00, 02, 05, 07, 11, 14, 16, 19, 20, 23, 25, 28, 32, 34, 37, 39, 41, 43, 46, 48, 50, 52, 55, 57, 61, 64, 66, 69, 70, 73, 75, 78, 82, 84, 87, 89, 91, 93, 96, 98</t>
        </is>
      </c>
      <c r="H226" s="6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7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7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00, 02, 05, 07, 11, 14, 16, 19, 20, 23, 25, 28, 32, 34, 37, 39, 41, 43, 46, 48, 50, 52, 55, 57, 61, 64, 66, 69, 70, 73, 75, 78, 82, 84, 87, 89, 91, 93, 96, 98</t>
        </is>
      </c>
      <c r="H229" s="6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01, 02, 06, 07, 10, 11, 15, 16, 20, 24, 25, 29, 33, 34, 38, 39, 42, 43, 47, 48, 51, 52, 56, 57, 60, 61, 65, 66, 70, 74, 75, 79, 83, 84, 88, 89, 92, 93, 97, 98</t>
        </is>
      </c>
      <c r="H230" s="6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6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32" s="6" t="inlineStr">
        <is>
          <t>TRÚNG 🎯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Đầu 1</t>
        </is>
      </c>
      <c r="F233" s="3" t="inlineStr">
        <is>
          <t>Đuôi 7</t>
        </is>
      </c>
      <c r="G23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33" s="7" t="inlineStr">
        <is>
          <t>TRƯỢT ❌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Đầu 8</t>
        </is>
      </c>
      <c r="F234" s="3" t="inlineStr">
        <is>
          <t>Đuôi 0</t>
        </is>
      </c>
      <c r="G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4" s="6" t="inlineStr">
        <is>
          <t>TRÚNG 🎯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Đầu 6</t>
        </is>
      </c>
      <c r="F235" s="3" t="inlineStr">
        <is>
          <t>Đuôi 1</t>
        </is>
      </c>
      <c r="G235" s="3" t="inlineStr">
        <is>
          <t>00, 04, 05, 09, 13, 14, 18, 19, 22, 23, 27, 28, 31, 32, 36, 37, 40, 41, 45, 46, 50, 54, 55, 59, 63, 64, 68, 69, 72, 73, 77, 78, 81, 82, 86, 87, 90, 91, 95, 96</t>
        </is>
      </c>
      <c r="H235" s="7" t="inlineStr">
        <is>
          <t>TRƯỢT ❌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Đầu 4</t>
        </is>
      </c>
      <c r="F236" s="3" t="inlineStr">
        <is>
          <t>Đuôi 5</t>
        </is>
      </c>
      <c r="G236" s="3" t="inlineStr">
        <is>
          <t>00, 04, 05, 09, 13, 14, 18, 19, 22, 23, 27, 28, 31, 32, 36, 37, 40, 41, 45, 46, 50, 54, 55, 59, 63, 64, 68, 69, 72, 73, 77, 78, 81, 82, 86, 87, 90, 91, 95, 96</t>
        </is>
      </c>
      <c r="H236" s="6" t="inlineStr">
        <is>
          <t>TRÚNG 🎯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Đầu 6</t>
        </is>
      </c>
      <c r="F237" s="3" t="inlineStr">
        <is>
          <t>Đuôi 8</t>
        </is>
      </c>
      <c r="G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37" s="6" t="inlineStr">
        <is>
          <t>TRÚNG 🎯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Đầu 3</t>
        </is>
      </c>
      <c r="F238" s="3" t="inlineStr">
        <is>
          <t>Đuôi 7</t>
        </is>
      </c>
      <c r="G238" s="3" t="inlineStr">
        <is>
          <t>00, 04, 05, 09, 13, 14, 18, 19, 22, 23, 27, 28, 31, 32, 36, 37, 40, 41, 45, 46, 50, 54, 55, 59, 63, 64, 68, 69, 72, 73, 77, 78, 81, 82, 86, 87, 90, 91, 95, 96</t>
        </is>
      </c>
      <c r="H238" s="6" t="inlineStr">
        <is>
          <t>TRÚNG 🎯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Đầu 7</t>
        </is>
      </c>
      <c r="F239" s="3" t="inlineStr">
        <is>
          <t>Đuôi 2</t>
        </is>
      </c>
      <c r="G239" s="3" t="inlineStr">
        <is>
          <t>02, 03, 07, 08, 11, 12, 16, 17, 20, 21, 25, 26, 30, 34, 35, 39, 43, 44, 48, 49, 52, 53, 57, 58, 61, 62, 66, 67, 70, 71, 75, 76, 80, 84, 85, 89, 93, 94, 98, 99</t>
        </is>
      </c>
      <c r="H239" s="7" t="inlineStr">
        <is>
          <t>TRƯỢT ❌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Đầu 4</t>
        </is>
      </c>
      <c r="F240" s="3" t="inlineStr">
        <is>
          <t>Đuôi 4</t>
        </is>
      </c>
      <c r="G240" s="3" t="inlineStr">
        <is>
          <t>02, 03, 07, 08, 11, 12, 16, 17, 20, 21, 25, 26, 30, 34, 35, 39, 43, 44, 48, 49, 52, 53, 57, 58, 61, 62, 66, 67, 70, 71, 75, 76, 80, 84, 85, 89, 93, 94, 98, 99</t>
        </is>
      </c>
      <c r="H240" s="6" t="inlineStr">
        <is>
          <t>TRÚNG 🎯</t>
        </is>
      </c>
    </row>
    <row r="241">
      <c r="A241" s="2" t="n">
        <v>239</v>
      </c>
      <c r="B241" s="2" t="inlineStr">
        <is>
          <t>Thứ hai ngày 31-08-2026</t>
        </is>
      </c>
      <c r="C241" s="3" t="inlineStr">
        <is>
          <t>05521</t>
        </is>
      </c>
      <c r="D241" s="3" t="inlineStr">
        <is>
          <t>21</t>
        </is>
      </c>
      <c r="E241" s="3" t="inlineStr">
        <is>
          <t>Đầu 2</t>
        </is>
      </c>
      <c r="F241" s="3" t="inlineStr">
        <is>
          <t>Đuôi 1</t>
        </is>
      </c>
      <c r="G241" s="3" t="inlineStr">
        <is>
          <t>02, 04, 07, 09, 11, 13, 16, 18, 20, 22, 25, 27, 31, 34, 36, 39, 40, 43, 45, 48, 52, 54, 57, 59, 61, 63, 66, 68, 70, 72, 75, 77, 81, 84, 86, 89, 90, 93, 95, 98</t>
        </is>
      </c>
      <c r="H241" s="7" t="inlineStr">
        <is>
          <t>TRƯỢT ❌</t>
        </is>
      </c>
    </row>
    <row r="242">
      <c r="A242" s="2" t="n">
        <v>240</v>
      </c>
      <c r="B242" s="2" t="inlineStr">
        <is>
          <t>Thứ ba ngày 01-09-2026</t>
        </is>
      </c>
      <c r="C242" s="3" t="inlineStr">
        <is>
          <t>44542</t>
        </is>
      </c>
      <c r="D242" s="3" t="inlineStr">
        <is>
          <t>42</t>
        </is>
      </c>
      <c r="E242" s="3" t="inlineStr">
        <is>
          <t>Đầu 4</t>
        </is>
      </c>
      <c r="F242" s="3" t="inlineStr">
        <is>
          <t>Đuôi 2</t>
        </is>
      </c>
      <c r="G24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42" s="6" t="inlineStr">
        <is>
          <t>TRÚNG 🎯</t>
        </is>
      </c>
    </row>
    <row r="243">
      <c r="A243" s="2" t="n">
        <v>241</v>
      </c>
      <c r="B243" s="2" t="inlineStr">
        <is>
          <t>Thứ tư ngày 02-09-2026</t>
        </is>
      </c>
      <c r="C243" s="3" t="inlineStr">
        <is>
          <t>39511</t>
        </is>
      </c>
      <c r="D243" s="3" t="inlineStr">
        <is>
          <t>11</t>
        </is>
      </c>
      <c r="E243" s="3" t="inlineStr">
        <is>
          <t>Đầu 1</t>
        </is>
      </c>
      <c r="F243" s="3" t="inlineStr">
        <is>
          <t>Đuôi 1</t>
        </is>
      </c>
      <c r="G243" s="3" t="inlineStr">
        <is>
          <t>00, 01, 05, 06, 10, 14, 15, 19, 23, 24, 28, 29, 32, 33, 37, 38, 41, 42, 46, 47, 50, 51, 55, 56, 60, 64, 65, 69, 73, 74, 78, 79, 82, 83, 87, 88, 91, 92, 96, 97</t>
        </is>
      </c>
      <c r="H243" s="7" t="inlineStr">
        <is>
          <t>TRƯỢT ❌</t>
        </is>
      </c>
    </row>
    <row r="244">
      <c r="A244" s="2" t="n">
        <v>242</v>
      </c>
      <c r="B244" s="2" t="inlineStr">
        <is>
          <t>Thứ năm ngày 03-09-2026</t>
        </is>
      </c>
      <c r="C244" s="3" t="inlineStr">
        <is>
          <t>50066</t>
        </is>
      </c>
      <c r="D244" s="3" t="inlineStr">
        <is>
          <t>66</t>
        </is>
      </c>
      <c r="E244" s="3" t="inlineStr">
        <is>
          <t>Đầu 6</t>
        </is>
      </c>
      <c r="F244" s="3" t="inlineStr">
        <is>
          <t>Đuôi 6</t>
        </is>
      </c>
      <c r="G244" s="3" t="inlineStr">
        <is>
          <t>00, 03, 05, 08, 12, 14, 17, 19, 21, 23, 26, 28, 30, 32, 35, 37, 41, 44, 46, 49, 50, 53, 55, 58, 62, 64, 67, 69, 71, 73, 76, 78, 80, 82, 85, 87, 91, 94, 96, 99</t>
        </is>
      </c>
      <c r="H244" s="7" t="inlineStr">
        <is>
          <t>TRƯỢT ❌</t>
        </is>
      </c>
    </row>
    <row r="245">
      <c r="A245" s="2" t="n">
        <v>243</v>
      </c>
      <c r="B245" s="2" t="inlineStr">
        <is>
          <t>Thứ sáu ngày 04-09-2026</t>
        </is>
      </c>
      <c r="C245" s="3" t="inlineStr">
        <is>
          <t>24037</t>
        </is>
      </c>
      <c r="D245" s="3" t="inlineStr">
        <is>
          <t>37</t>
        </is>
      </c>
      <c r="E245" s="3" t="inlineStr">
        <is>
          <t>Đầu 3</t>
        </is>
      </c>
      <c r="F245" s="3" t="inlineStr">
        <is>
          <t>Đuôi 7</t>
        </is>
      </c>
      <c r="G245" s="3" t="inlineStr">
        <is>
          <t>00, 01, 05, 06, 10, 14, 15, 19, 23, 24, 28, 29, 32, 33, 37, 38, 41, 42, 46, 47, 50, 51, 55, 56, 60, 64, 65, 69, 73, 74, 78, 79, 82, 83, 87, 88, 91, 92, 96, 97</t>
        </is>
      </c>
      <c r="H245" s="6" t="inlineStr">
        <is>
          <t>TRÚNG 🎯</t>
        </is>
      </c>
    </row>
    <row r="246">
      <c r="A246" s="2" t="n">
        <v>244</v>
      </c>
      <c r="B246" s="2" t="inlineStr">
        <is>
          <t>Thứ bảy ngày 05-09-2026</t>
        </is>
      </c>
      <c r="C246" s="3" t="inlineStr">
        <is>
          <t>61435</t>
        </is>
      </c>
      <c r="D246" s="3" t="inlineStr">
        <is>
          <t>35</t>
        </is>
      </c>
      <c r="E246" s="3" t="inlineStr">
        <is>
          <t>Đầu 3</t>
        </is>
      </c>
      <c r="F246" s="3" t="inlineStr">
        <is>
          <t>Đuôi 5</t>
        </is>
      </c>
      <c r="G246" s="3" t="inlineStr">
        <is>
          <t>01, 04, 06, 09, 10, 13, 15, 18, 22, 24, 27, 29, 31, 33, 36, 38, 40, 42, 45, 47, 51, 54, 56, 59, 60, 63, 65, 68, 72, 74, 77, 79, 81, 83, 86, 88, 90, 92, 95, 97</t>
        </is>
      </c>
      <c r="H246" s="7" t="inlineStr">
        <is>
          <t>TRƯỢT ❌</t>
        </is>
      </c>
    </row>
    <row r="247">
      <c r="A247" s="2" t="n">
        <v>245</v>
      </c>
      <c r="B247" s="2" t="inlineStr">
        <is>
          <t>Chủ nhật ngày 06-09-2026</t>
        </is>
      </c>
      <c r="C247" s="3" t="inlineStr">
        <is>
          <t>34990</t>
        </is>
      </c>
      <c r="D247" s="3" t="inlineStr">
        <is>
          <t>90</t>
        </is>
      </c>
      <c r="E247" s="3" t="inlineStr">
        <is>
          <t>Đầu 9</t>
        </is>
      </c>
      <c r="F247" s="3" t="inlineStr">
        <is>
          <t>Đuôi 0</t>
        </is>
      </c>
      <c r="G2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47" s="7" t="inlineStr">
        <is>
          <t>TRƯỢT ❌</t>
        </is>
      </c>
    </row>
    <row r="248">
      <c r="A248" s="2" t="n">
        <v>246</v>
      </c>
      <c r="B248" s="2" t="inlineStr">
        <is>
          <t>Thứ hai ngày 07-09-2026</t>
        </is>
      </c>
      <c r="C248" s="3" t="inlineStr">
        <is>
          <t>39687</t>
        </is>
      </c>
      <c r="D248" s="3" t="inlineStr">
        <is>
          <t>87</t>
        </is>
      </c>
      <c r="E248" s="3" t="inlineStr">
        <is>
          <t>Đầu 8</t>
        </is>
      </c>
      <c r="F248" s="3" t="inlineStr">
        <is>
          <t>Đuôi 7</t>
        </is>
      </c>
      <c r="G248" s="3" t="inlineStr">
        <is>
          <t>00, 02, 05, 07, 11, 14, 16, 19, 20, 23, 25, 28, 32, 34, 37, 39, 41, 43, 46, 48, 50, 52, 55, 57, 61, 64, 66, 69, 70, 73, 75, 78, 82, 84, 87, 89, 91, 93, 96, 98</t>
        </is>
      </c>
      <c r="H248" s="6" t="inlineStr">
        <is>
          <t>TRÚNG 🎯</t>
        </is>
      </c>
    </row>
    <row r="249">
      <c r="A249" s="2" t="n">
        <v>247</v>
      </c>
      <c r="B249" s="2" t="inlineStr">
        <is>
          <t>Thứ ba ngày 08-09-2026</t>
        </is>
      </c>
      <c r="C249" s="3" t="inlineStr">
        <is>
          <t>94504</t>
        </is>
      </c>
      <c r="D249" s="3" t="inlineStr">
        <is>
          <t>04</t>
        </is>
      </c>
      <c r="E249" s="3" t="inlineStr">
        <is>
          <t>Đầu 0</t>
        </is>
      </c>
      <c r="F249" s="3" t="inlineStr">
        <is>
          <t>Đuôi 4</t>
        </is>
      </c>
      <c r="G249" s="3" t="inlineStr">
        <is>
          <t>01, 03, 06, 08, 10, 12, 15, 17, 21, 24, 26, 29, 30, 33, 35, 38, 42, 44, 47, 49, 51, 53, 56, 58, 60, 62, 65, 67, 71, 74, 76, 79, 80, 83, 85, 88, 92, 94, 97, 99</t>
        </is>
      </c>
      <c r="H249" s="7" t="inlineStr">
        <is>
          <t>TRƯỢT ❌</t>
        </is>
      </c>
    </row>
    <row r="250">
      <c r="A250" s="2" t="n">
        <v>248</v>
      </c>
      <c r="B250" s="2" t="inlineStr">
        <is>
          <t>Thứ tư ngày 09-09-2026</t>
        </is>
      </c>
      <c r="C250" s="3" t="inlineStr">
        <is>
          <t>30981</t>
        </is>
      </c>
      <c r="D250" s="3" t="inlineStr">
        <is>
          <t>81</t>
        </is>
      </c>
      <c r="E250" s="3" t="inlineStr">
        <is>
          <t>Đầu 8</t>
        </is>
      </c>
      <c r="F250" s="3" t="inlineStr">
        <is>
          <t>Đuôi 1</t>
        </is>
      </c>
      <c r="G25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50" s="6" t="inlineStr">
        <is>
          <t>TRÚNG 🎯</t>
        </is>
      </c>
    </row>
    <row r="251">
      <c r="A251" s="2" t="n">
        <v>249</v>
      </c>
      <c r="B251" s="2" t="inlineStr">
        <is>
          <t>Thứ năm ngày 10-09-2026</t>
        </is>
      </c>
      <c r="C251" s="3" t="inlineStr">
        <is>
          <t>29352</t>
        </is>
      </c>
      <c r="D251" s="3" t="inlineStr">
        <is>
          <t>52</t>
        </is>
      </c>
      <c r="E251" s="3" t="inlineStr">
        <is>
          <t>Đầu 5</t>
        </is>
      </c>
      <c r="F251" s="3" t="inlineStr">
        <is>
          <t>Đuôi 2</t>
        </is>
      </c>
      <c r="G251" s="3" t="inlineStr">
        <is>
          <t>00, 03, 05, 08, 12, 14, 17, 19, 21, 23, 26, 28, 30, 32, 35, 37, 41, 44, 46, 49, 50, 53, 55, 58, 62, 64, 67, 69, 71, 73, 76, 78, 80, 82, 85, 87, 91, 94, 96, 99</t>
        </is>
      </c>
      <c r="H251" s="7" t="inlineStr">
        <is>
          <t>TRƯỢT ❌</t>
        </is>
      </c>
    </row>
    <row r="252">
      <c r="A252" s="2" t="n">
        <v>250</v>
      </c>
      <c r="B252" s="2" t="inlineStr">
        <is>
          <t>Thứ sáu ngày 11-09-2026</t>
        </is>
      </c>
      <c r="C252" s="3" t="inlineStr">
        <is>
          <t>58851</t>
        </is>
      </c>
      <c r="D252" s="3" t="inlineStr">
        <is>
          <t>51</t>
        </is>
      </c>
      <c r="E252" s="3" t="inlineStr">
        <is>
          <t>Đầu 5</t>
        </is>
      </c>
      <c r="F252" s="3" t="inlineStr">
        <is>
          <t>Đuôi 1</t>
        </is>
      </c>
      <c r="G252" s="3" t="inlineStr">
        <is>
          <t>00, 02, 05, 07, 11, 14, 16, 19, 20, 23, 25, 28, 32, 34, 37, 39, 41, 43, 46, 48, 50, 52, 55, 57, 61, 64, 66, 69, 70, 73, 75, 78, 82, 84, 87, 89, 91, 93, 96, 98</t>
        </is>
      </c>
      <c r="H252" s="7" t="inlineStr">
        <is>
          <t>TRƯỢT ❌</t>
        </is>
      </c>
    </row>
    <row r="253">
      <c r="A253" s="2" t="n">
        <v>251</v>
      </c>
      <c r="B253" s="2" t="inlineStr">
        <is>
          <t>Thứ bảy ngày 12-09-2026</t>
        </is>
      </c>
      <c r="C253" s="3" t="inlineStr">
        <is>
          <t>83799</t>
        </is>
      </c>
      <c r="D253" s="3" t="inlineStr">
        <is>
          <t>99</t>
        </is>
      </c>
      <c r="E253" s="3" t="inlineStr">
        <is>
          <t>Đầu 9</t>
        </is>
      </c>
      <c r="F253" s="3" t="inlineStr">
        <is>
          <t>Đuôi 9</t>
        </is>
      </c>
      <c r="G253" s="3" t="inlineStr">
        <is>
          <t>01, 02, 06, 07, 10, 11, 15, 16, 20, 24, 25, 29, 33, 34, 38, 39, 42, 43, 47, 48, 51, 52, 56, 57, 60, 61, 65, 66, 70, 74, 75, 79, 83, 84, 88, 89, 92, 93, 97, 98</t>
        </is>
      </c>
      <c r="H253" s="7" t="inlineStr">
        <is>
          <t>TRƯỢT ❌</t>
        </is>
      </c>
    </row>
    <row r="254">
      <c r="A254" s="2" t="n">
        <v>252</v>
      </c>
      <c r="B254" s="2" t="inlineStr">
        <is>
          <t>Chủ nhật ngày 13-09-2026</t>
        </is>
      </c>
      <c r="C254" s="3" t="inlineStr">
        <is>
          <t>74522</t>
        </is>
      </c>
      <c r="D254" s="3" t="inlineStr">
        <is>
          <t>22</t>
        </is>
      </c>
      <c r="E254" s="3" t="inlineStr">
        <is>
          <t>Đầu 2</t>
        </is>
      </c>
      <c r="F254" s="3" t="inlineStr">
        <is>
          <t>Đuôi 2</t>
        </is>
      </c>
      <c r="G2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54" s="6" t="inlineStr">
        <is>
          <t>TRÚNG 🎯</t>
        </is>
      </c>
    </row>
    <row r="255">
      <c r="A255" s="2" t="n">
        <v>253</v>
      </c>
      <c r="B255" s="2" t="inlineStr">
        <is>
          <t>Thứ hai ngày 14-09-2026</t>
        </is>
      </c>
      <c r="C255" s="3" t="inlineStr">
        <is>
          <t>31429</t>
        </is>
      </c>
      <c r="D255" s="3" t="inlineStr">
        <is>
          <t>29</t>
        </is>
      </c>
      <c r="E255" s="3" t="inlineStr">
        <is>
          <t>Đầu 2</t>
        </is>
      </c>
      <c r="F255" s="3" t="inlineStr">
        <is>
          <t>Đuôi 9</t>
        </is>
      </c>
      <c r="G25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55" s="6" t="inlineStr">
        <is>
          <t>TRÚNG 🎯</t>
        </is>
      </c>
    </row>
    <row r="256">
      <c r="A256" s="2" t="n">
        <v>254</v>
      </c>
      <c r="B256" s="2" t="inlineStr">
        <is>
          <t>Thứ ba ngày 15-09-2026</t>
        </is>
      </c>
      <c r="C256" s="3" t="inlineStr">
        <is>
          <t>96344</t>
        </is>
      </c>
      <c r="D256" s="3" t="inlineStr">
        <is>
          <t>44</t>
        </is>
      </c>
      <c r="E256" s="3" t="inlineStr">
        <is>
          <t>Đầu 4</t>
        </is>
      </c>
      <c r="F256" s="3" t="inlineStr">
        <is>
          <t>Đuôi 4</t>
        </is>
      </c>
      <c r="G2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56" s="6" t="inlineStr">
        <is>
          <t>TRÚNG 🎯</t>
        </is>
      </c>
    </row>
    <row r="257">
      <c r="A257" s="2" t="n">
        <v>255</v>
      </c>
      <c r="B257" s="2" t="inlineStr">
        <is>
          <t>Thứ tư ngày 16-09-2026</t>
        </is>
      </c>
      <c r="C257" s="3" t="inlineStr">
        <is>
          <t>71960</t>
        </is>
      </c>
      <c r="D257" s="3" t="inlineStr">
        <is>
          <t>60</t>
        </is>
      </c>
      <c r="E257" s="3" t="inlineStr">
        <is>
          <t>Đầu 6</t>
        </is>
      </c>
      <c r="F257" s="3" t="inlineStr">
        <is>
          <t>Đuôi 0</t>
        </is>
      </c>
      <c r="G25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57" s="6" t="inlineStr">
        <is>
          <t>TRÚNG 🎯</t>
        </is>
      </c>
    </row>
    <row r="258">
      <c r="A258" s="2" t="n">
        <v>256</v>
      </c>
      <c r="B258" s="2" t="inlineStr">
        <is>
          <t>Thứ năm ngày 17-09-2026</t>
        </is>
      </c>
      <c r="C258" s="3" t="inlineStr">
        <is>
          <t>27367</t>
        </is>
      </c>
      <c r="D258" s="3" t="inlineStr">
        <is>
          <t>67</t>
        </is>
      </c>
      <c r="E258" s="3" t="inlineStr">
        <is>
          <t>Đầu 6</t>
        </is>
      </c>
      <c r="F258" s="3" t="inlineStr">
        <is>
          <t>Đuôi 7</t>
        </is>
      </c>
      <c r="G25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58" s="7" t="inlineStr">
        <is>
          <t>TRƯỢT ❌</t>
        </is>
      </c>
    </row>
    <row r="259">
      <c r="A259" s="2" t="n">
        <v>257</v>
      </c>
      <c r="B259" s="2" t="inlineStr">
        <is>
          <t>Thứ sáu ngày 18-09-2026</t>
        </is>
      </c>
      <c r="C259" s="3" t="inlineStr">
        <is>
          <t>73412</t>
        </is>
      </c>
      <c r="D259" s="3" t="inlineStr">
        <is>
          <t>12</t>
        </is>
      </c>
      <c r="E259" s="3" t="inlineStr">
        <is>
          <t>Đầu 1</t>
        </is>
      </c>
      <c r="F259" s="3" t="inlineStr">
        <is>
          <t>Đuôi 2</t>
        </is>
      </c>
      <c r="G25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59" s="7" t="inlineStr">
        <is>
          <t>TRƯỢT ❌</t>
        </is>
      </c>
    </row>
    <row r="260">
      <c r="A260" s="2" t="n">
        <v>258</v>
      </c>
      <c r="B260" s="2" t="inlineStr">
        <is>
          <t>Thứ bảy ngày 19-09-2026</t>
        </is>
      </c>
      <c r="C260" s="3" t="inlineStr">
        <is>
          <t>21538</t>
        </is>
      </c>
      <c r="D260" s="3" t="inlineStr">
        <is>
          <t>38</t>
        </is>
      </c>
      <c r="E260" s="3" t="inlineStr">
        <is>
          <t>Đầu 3</t>
        </is>
      </c>
      <c r="F260" s="3" t="inlineStr">
        <is>
          <t>Đuôi 8</t>
        </is>
      </c>
      <c r="G260" s="3" t="inlineStr">
        <is>
          <t>00, 03, 05, 08, 12, 14, 17, 19, 21, 23, 26, 28, 30, 32, 35, 37, 41, 44, 46, 49, 50, 53, 55, 58, 62, 64, 67, 69, 71, 73, 76, 78, 80, 82, 85, 87, 91, 94, 96, 99</t>
        </is>
      </c>
      <c r="H260" s="7" t="inlineStr">
        <is>
          <t>TRƯỢT ❌</t>
        </is>
      </c>
    </row>
    <row r="261">
      <c r="A261" s="2" t="n">
        <v>259</v>
      </c>
      <c r="B261" s="2" t="inlineStr">
        <is>
          <t>Chủ nhật ngày 20-09-2026</t>
        </is>
      </c>
      <c r="C261" s="3" t="inlineStr">
        <is>
          <t>40432</t>
        </is>
      </c>
      <c r="D261" s="3" t="inlineStr">
        <is>
          <t>32</t>
        </is>
      </c>
      <c r="E261" s="3" t="inlineStr">
        <is>
          <t>Đầu 3</t>
        </is>
      </c>
      <c r="F261" s="3" t="inlineStr">
        <is>
          <t>Đuôi 2</t>
        </is>
      </c>
      <c r="G261" s="3" t="inlineStr">
        <is>
          <t>00, 03, 05, 08, 12, 14, 17, 19, 21, 23, 26, 28, 30, 32, 35, 37, 41, 44, 46, 49, 50, 53, 55, 58, 62, 64, 67, 69, 71, 73, 76, 78, 80, 82, 85, 87, 91, 94, 96, 99</t>
        </is>
      </c>
      <c r="H261" s="6" t="inlineStr">
        <is>
          <t>TRÚNG 🎯</t>
        </is>
      </c>
    </row>
    <row r="262">
      <c r="A262" s="2" t="n">
        <v>260</v>
      </c>
      <c r="B262" s="2" t="inlineStr">
        <is>
          <t>Thứ hai ngày 21-09-2026</t>
        </is>
      </c>
      <c r="C262" s="3" t="inlineStr">
        <is>
          <t>31922</t>
        </is>
      </c>
      <c r="D262" s="3" t="inlineStr">
        <is>
          <t>22</t>
        </is>
      </c>
      <c r="E262" s="3" t="inlineStr">
        <is>
          <t>Đầu 2</t>
        </is>
      </c>
      <c r="F262" s="3" t="inlineStr">
        <is>
          <t>Đuôi 2</t>
        </is>
      </c>
      <c r="G262" s="3" t="inlineStr">
        <is>
          <t>00, 01, 05, 06, 10, 14, 15, 19, 23, 24, 28, 29, 32, 33, 37, 38, 41, 42, 46, 47, 50, 51, 55, 56, 60, 64, 65, 69, 73, 74, 78, 79, 82, 83, 87, 88, 91, 92, 96, 97</t>
        </is>
      </c>
      <c r="H262" s="7" t="inlineStr">
        <is>
          <t>TRƯỢT ❌</t>
        </is>
      </c>
    </row>
    <row r="263">
      <c r="A263" s="2" t="n">
        <v>261</v>
      </c>
      <c r="B263" s="2" t="inlineStr">
        <is>
          <t>Thứ ba ngày 22-09-2026</t>
        </is>
      </c>
      <c r="C263" s="3" t="inlineStr">
        <is>
          <t>76406</t>
        </is>
      </c>
      <c r="D263" s="3" t="inlineStr">
        <is>
          <t>06</t>
        </is>
      </c>
      <c r="E263" s="3" t="inlineStr">
        <is>
          <t>Đầu 0</t>
        </is>
      </c>
      <c r="F263" s="3" t="inlineStr">
        <is>
          <t>Đuôi 6</t>
        </is>
      </c>
      <c r="G2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63" s="6" t="inlineStr">
        <is>
          <t>TRÚNG 🎯</t>
        </is>
      </c>
    </row>
    <row r="264">
      <c r="A264" s="2" t="n">
        <v>262</v>
      </c>
      <c r="B264" s="2" t="inlineStr">
        <is>
          <t>Thứ tư ngày 23-09-2026</t>
        </is>
      </c>
      <c r="C264" s="3" t="inlineStr">
        <is>
          <t>78196</t>
        </is>
      </c>
      <c r="D264" s="3" t="inlineStr">
        <is>
          <t>96</t>
        </is>
      </c>
      <c r="E264" s="3" t="inlineStr">
        <is>
          <t>Đầu 9</t>
        </is>
      </c>
      <c r="F264" s="3" t="inlineStr">
        <is>
          <t>Đuôi 6</t>
        </is>
      </c>
      <c r="G26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64" s="7" t="inlineStr">
        <is>
          <t>TRƯỢT ❌</t>
        </is>
      </c>
    </row>
    <row r="265">
      <c r="A265" s="2" t="n">
        <v>263</v>
      </c>
      <c r="B265" s="2" t="inlineStr">
        <is>
          <t>Thứ năm ngày 24-09-2026</t>
        </is>
      </c>
      <c r="C265" s="3" t="inlineStr">
        <is>
          <t>34465</t>
        </is>
      </c>
      <c r="D265" s="3" t="inlineStr">
        <is>
          <t>65</t>
        </is>
      </c>
      <c r="E265" s="3" t="inlineStr">
        <is>
          <t>Đầu 6</t>
        </is>
      </c>
      <c r="F265" s="3" t="inlineStr">
        <is>
          <t>Đuôi 5</t>
        </is>
      </c>
      <c r="G2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65" s="7" t="inlineStr">
        <is>
          <t>TRƯỢT ❌</t>
        </is>
      </c>
    </row>
    <row r="266">
      <c r="A266" s="2" t="n">
        <v>264</v>
      </c>
      <c r="B266" s="2" t="inlineStr">
        <is>
          <t>Thứ sáu ngày 25-09-2026</t>
        </is>
      </c>
      <c r="C266" s="3" t="inlineStr">
        <is>
          <t>18132</t>
        </is>
      </c>
      <c r="D266" s="3" t="inlineStr">
        <is>
          <t>32</t>
        </is>
      </c>
      <c r="E266" s="3" t="inlineStr">
        <is>
          <t>Đầu 3</t>
        </is>
      </c>
      <c r="F266" s="3" t="inlineStr">
        <is>
          <t>Đuôi 2</t>
        </is>
      </c>
      <c r="G26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66" s="6" t="inlineStr">
        <is>
          <t>TRÚNG 🎯</t>
        </is>
      </c>
    </row>
    <row r="267">
      <c r="A267" s="2" t="n">
        <v>265</v>
      </c>
      <c r="B267" s="2" t="inlineStr">
        <is>
          <t>Thứ bảy ngày 26-09-2026</t>
        </is>
      </c>
      <c r="C267" s="3" t="inlineStr">
        <is>
          <t>55473</t>
        </is>
      </c>
      <c r="D267" s="3" t="inlineStr">
        <is>
          <t>73</t>
        </is>
      </c>
      <c r="E267" s="3" t="inlineStr">
        <is>
          <t>Đầu 7</t>
        </is>
      </c>
      <c r="F267" s="3" t="inlineStr">
        <is>
          <t>Đuôi 3</t>
        </is>
      </c>
      <c r="G26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67" s="7" t="inlineStr">
        <is>
          <t>TRƯỢT ❌</t>
        </is>
      </c>
    </row>
    <row r="268">
      <c r="A268" s="2" t="n">
        <v>266</v>
      </c>
      <c r="B268" s="2" t="inlineStr">
        <is>
          <t>Chủ nhật ngày 27-09-2026</t>
        </is>
      </c>
      <c r="C268" s="3" t="inlineStr">
        <is>
          <t>77115</t>
        </is>
      </c>
      <c r="D268" s="3" t="inlineStr">
        <is>
          <t>15</t>
        </is>
      </c>
      <c r="E268" s="3" t="inlineStr">
        <is>
          <t>Đầu 1</t>
        </is>
      </c>
      <c r="F268" s="3" t="inlineStr">
        <is>
          <t>Đuôi 5</t>
        </is>
      </c>
      <c r="G268" s="3" t="inlineStr">
        <is>
          <t>01, 02, 06, 07, 10, 11, 15, 16, 20, 24, 25, 29, 33, 34, 38, 39, 42, 43, 47, 48, 51, 52, 56, 57, 60, 61, 65, 66, 70, 74, 75, 79, 83, 84, 88, 89, 92, 93, 97, 98</t>
        </is>
      </c>
      <c r="H268" s="6" t="inlineStr">
        <is>
          <t>TRÚNG 🎯</t>
        </is>
      </c>
    </row>
    <row r="269">
      <c r="A269" s="2" t="n">
        <v>267</v>
      </c>
      <c r="B269" s="2" t="inlineStr">
        <is>
          <t>Thứ Hai ngày 28-09-2026</t>
        </is>
      </c>
      <c r="C269" s="3" t="inlineStr">
        <is>
          <t>05651</t>
        </is>
      </c>
      <c r="D269" s="3" t="inlineStr">
        <is>
          <t>51</t>
        </is>
      </c>
      <c r="E269" s="3" t="inlineStr">
        <is>
          <t>Đầu 5</t>
        </is>
      </c>
      <c r="F269" s="3" t="inlineStr">
        <is>
          <t>Đuôi 1</t>
        </is>
      </c>
      <c r="G26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69" s="6" t="inlineStr">
        <is>
          <t>TRÚNG 🎯</t>
        </is>
      </c>
    </row>
    <row r="270">
      <c r="A270" s="2" t="n">
        <v>268</v>
      </c>
      <c r="B270" s="2" t="inlineStr">
        <is>
          <t>Thứ Ba ngày 29-09-2026</t>
        </is>
      </c>
      <c r="C270" s="3" t="inlineStr">
        <is>
          <t>95242</t>
        </is>
      </c>
      <c r="D270" s="3" t="inlineStr">
        <is>
          <t>42</t>
        </is>
      </c>
      <c r="E270" s="3" t="inlineStr">
        <is>
          <t>Đầu 4</t>
        </is>
      </c>
      <c r="F270" s="3" t="inlineStr">
        <is>
          <t>Đuôi 2</t>
        </is>
      </c>
      <c r="G27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70" s="7" t="inlineStr">
        <is>
          <t>TRƯỢT ❌</t>
        </is>
      </c>
    </row>
    <row r="271">
      <c r="A271" s="2" t="n">
        <v>269</v>
      </c>
      <c r="B271" s="2" t="inlineStr">
        <is>
          <t>Thứ Tư ngày 30-09-2026</t>
        </is>
      </c>
      <c r="C271" s="3" t="inlineStr">
        <is>
          <t>40208</t>
        </is>
      </c>
      <c r="D271" s="3" t="inlineStr">
        <is>
          <t>08</t>
        </is>
      </c>
      <c r="E271" s="3" t="inlineStr">
        <is>
          <t>Đầu 0</t>
        </is>
      </c>
      <c r="F271" s="3" t="inlineStr">
        <is>
          <t>Đuôi 8</t>
        </is>
      </c>
      <c r="G27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71" s="6" t="inlineStr">
        <is>
          <t>TRÚNG 🎯</t>
        </is>
      </c>
    </row>
    <row r="272">
      <c r="A272" s="2" t="n">
        <v>270</v>
      </c>
      <c r="B272" s="2" t="inlineStr">
        <is>
          <t>Thứ Năm ngày 01-10-2026</t>
        </is>
      </c>
      <c r="C272" s="3" t="inlineStr">
        <is>
          <t>24483</t>
        </is>
      </c>
      <c r="D272" s="3" t="inlineStr">
        <is>
          <t>83</t>
        </is>
      </c>
      <c r="E272" s="3" t="inlineStr">
        <is>
          <t>Đầu 8</t>
        </is>
      </c>
      <c r="F272" s="3" t="inlineStr">
        <is>
          <t>Đuôi 3</t>
        </is>
      </c>
      <c r="G27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72" s="6" t="inlineStr">
        <is>
          <t>TRÚNG 🎯</t>
        </is>
      </c>
    </row>
    <row r="273">
      <c r="A273" s="2" t="n">
        <v>271</v>
      </c>
      <c r="B273" s="2" t="inlineStr">
        <is>
          <t>Thứ Sáu ngày 02-10-2026</t>
        </is>
      </c>
      <c r="C273" s="3" t="inlineStr">
        <is>
          <t>77961</t>
        </is>
      </c>
      <c r="D273" s="3" t="inlineStr">
        <is>
          <t>61</t>
        </is>
      </c>
      <c r="E273" s="3" t="inlineStr">
        <is>
          <t>Đầu 6</t>
        </is>
      </c>
      <c r="F273" s="3" t="inlineStr">
        <is>
          <t>Đuôi 1</t>
        </is>
      </c>
      <c r="G2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73" s="6" t="inlineStr">
        <is>
          <t>TRÚNG 🎯</t>
        </is>
      </c>
    </row>
    <row r="274">
      <c r="A274" s="2" t="n">
        <v>272</v>
      </c>
      <c r="B274" s="2" t="inlineStr">
        <is>
          <t>Thứ Bảy ngày 03-10-2026</t>
        </is>
      </c>
      <c r="C274" s="3" t="inlineStr">
        <is>
          <t>82951</t>
        </is>
      </c>
      <c r="D274" s="3" t="inlineStr">
        <is>
          <t>51</t>
        </is>
      </c>
      <c r="E274" s="3" t="inlineStr">
        <is>
          <t>Đầu 5</t>
        </is>
      </c>
      <c r="F274" s="3" t="inlineStr">
        <is>
          <t>Đuôi 1</t>
        </is>
      </c>
      <c r="G27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74" s="6" t="inlineStr">
        <is>
          <t>TRÚNG 🎯</t>
        </is>
      </c>
    </row>
    <row r="275">
      <c r="A275" s="2" t="n">
        <v>273</v>
      </c>
      <c r="B275" s="2" t="inlineStr">
        <is>
          <t>Chủ Nhật ngày 04-10-2026</t>
        </is>
      </c>
      <c r="C275" s="3" t="inlineStr">
        <is>
          <t>19654</t>
        </is>
      </c>
      <c r="D275" s="3" t="inlineStr">
        <is>
          <t>54</t>
        </is>
      </c>
      <c r="E275" s="3" t="inlineStr">
        <is>
          <t>Đầu 5</t>
        </is>
      </c>
      <c r="F275" s="3" t="inlineStr">
        <is>
          <t>Đuôi 4</t>
        </is>
      </c>
      <c r="G27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75" s="6" t="inlineStr">
        <is>
          <t>TRÚNG 🎯</t>
        </is>
      </c>
    </row>
    <row r="276">
      <c r="A276" s="2" t="n">
        <v>274</v>
      </c>
      <c r="B276" s="2" t="inlineStr">
        <is>
          <t>Thứ Hai ngày 05-10-2026</t>
        </is>
      </c>
      <c r="C276" s="3" t="inlineStr">
        <is>
          <t>12554</t>
        </is>
      </c>
      <c r="D276" s="3" t="inlineStr">
        <is>
          <t>54</t>
        </is>
      </c>
      <c r="E276" s="3" t="inlineStr">
        <is>
          <t>Đầu 5</t>
        </is>
      </c>
      <c r="F276" s="3" t="inlineStr">
        <is>
          <t>Đuôi 4</t>
        </is>
      </c>
      <c r="G27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76" s="6" t="inlineStr">
        <is>
          <t>TRÚNG 🎯</t>
        </is>
      </c>
    </row>
    <row r="277">
      <c r="A277" s="2" t="n">
        <v>275</v>
      </c>
      <c r="B277" s="2" t="inlineStr">
        <is>
          <t>Thứ Ba ngày 06-10-2026</t>
        </is>
      </c>
      <c r="C277" s="3" t="inlineStr">
        <is>
          <t>56488</t>
        </is>
      </c>
      <c r="D277" s="3" t="inlineStr">
        <is>
          <t>88</t>
        </is>
      </c>
      <c r="E277" s="3" t="inlineStr">
        <is>
          <t>Đầu 8</t>
        </is>
      </c>
      <c r="F277" s="3" t="inlineStr">
        <is>
          <t>Đuôi 8</t>
        </is>
      </c>
      <c r="G277" s="3" t="inlineStr">
        <is>
          <t>01, 03, 06, 08, 10, 12, 15, 17, 21, 24, 26, 29, 30, 33, 35, 38, 42, 44, 47, 49, 51, 53, 56, 58, 60, 62, 65, 67, 71, 74, 76, 79, 80, 83, 85, 88, 92, 94, 97, 99</t>
        </is>
      </c>
      <c r="H277" s="6" t="inlineStr">
        <is>
          <t>TRÚNG 🎯</t>
        </is>
      </c>
    </row>
    <row r="278">
      <c r="A278" s="2" t="n">
        <v>276</v>
      </c>
      <c r="B278" s="2" t="inlineStr">
        <is>
          <t>Thứ Tư ngày 07-10-2026</t>
        </is>
      </c>
      <c r="C278" s="3" t="inlineStr">
        <is>
          <t>43339</t>
        </is>
      </c>
      <c r="D278" s="3" t="inlineStr">
        <is>
          <t>39</t>
        </is>
      </c>
      <c r="E278" s="3" t="inlineStr">
        <is>
          <t>Đầu 3</t>
        </is>
      </c>
      <c r="F278" s="3" t="inlineStr">
        <is>
          <t>Đuôi 9</t>
        </is>
      </c>
      <c r="G27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78" s="6" t="inlineStr">
        <is>
          <t>TRÚNG 🎯</t>
        </is>
      </c>
    </row>
    <row r="279">
      <c r="A279" s="2" t="n">
        <v>277</v>
      </c>
      <c r="B279" s="2" t="inlineStr">
        <is>
          <t>Thứ Năm ngày 08-10-2026</t>
        </is>
      </c>
      <c r="C279" s="3" t="inlineStr">
        <is>
          <t>20635</t>
        </is>
      </c>
      <c r="D279" s="3" t="inlineStr">
        <is>
          <t>35</t>
        </is>
      </c>
      <c r="E279" s="3" t="inlineStr">
        <is>
          <t>Đầu 3</t>
        </is>
      </c>
      <c r="F279" s="3" t="inlineStr">
        <is>
          <t>Đuôi 5</t>
        </is>
      </c>
      <c r="G279" s="3" t="inlineStr">
        <is>
          <t>00, 03, 05, 08, 12, 14, 17, 19, 21, 23, 26, 28, 30, 32, 35, 37, 41, 44, 46, 49, 50, 53, 55, 58, 62, 64, 67, 69, 71, 73, 76, 78, 80, 82, 85, 87, 91, 94, 96, 99</t>
        </is>
      </c>
      <c r="H279" s="6" t="inlineStr">
        <is>
          <t>TRÚNG 🎯</t>
        </is>
      </c>
    </row>
    <row r="280">
      <c r="A280" s="2" t="n">
        <v>278</v>
      </c>
      <c r="B280" s="2" t="inlineStr">
        <is>
          <t>Thứ Sáu ngày 09-10-2026</t>
        </is>
      </c>
      <c r="C280" s="3" t="inlineStr">
        <is>
          <t>82153</t>
        </is>
      </c>
      <c r="D280" s="3" t="inlineStr">
        <is>
          <t>53</t>
        </is>
      </c>
      <c r="E280" s="3" t="inlineStr">
        <is>
          <t>Đầu 5</t>
        </is>
      </c>
      <c r="F280" s="3" t="inlineStr">
        <is>
          <t>Đuôi 3</t>
        </is>
      </c>
      <c r="G28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80" s="6" t="inlineStr">
        <is>
          <t>TRÚNG 🎯</t>
        </is>
      </c>
    </row>
    <row r="281">
      <c r="A281" s="2" t="n">
        <v>279</v>
      </c>
      <c r="B281" s="2" t="inlineStr">
        <is>
          <t>Thứ Bảy ngày 10-10-2026</t>
        </is>
      </c>
      <c r="C281" s="3" t="inlineStr">
        <is>
          <t>07363</t>
        </is>
      </c>
      <c r="D281" s="3" t="inlineStr">
        <is>
          <t>63</t>
        </is>
      </c>
      <c r="E281" s="3" t="inlineStr">
        <is>
          <t>Đầu 6</t>
        </is>
      </c>
      <c r="F281" s="3" t="inlineStr">
        <is>
          <t>Đuôi 3</t>
        </is>
      </c>
      <c r="G281" s="3" t="inlineStr">
        <is>
          <t>03, 04, 08, 09, 12, 13, 17, 18, 21, 22, 26, 27, 30, 31, 35, 36, 40, 44, 45, 49, 53, 54, 58, 59, 62, 63, 67, 68, 71, 72, 76, 77, 80, 81, 85, 86, 90, 94, 95, 99</t>
        </is>
      </c>
      <c r="H281" s="6" t="inlineStr">
        <is>
          <t>TRÚNG 🎯</t>
        </is>
      </c>
    </row>
    <row r="282">
      <c r="A282" s="2" t="n">
        <v>280</v>
      </c>
      <c r="B282" s="2" t="inlineStr">
        <is>
          <t>Chủ Nhật ngày 11-10-2026</t>
        </is>
      </c>
      <c r="C282" s="3" t="inlineStr">
        <is>
          <t>38287</t>
        </is>
      </c>
      <c r="D282" s="3" t="inlineStr">
        <is>
          <t>87</t>
        </is>
      </c>
      <c r="E282" s="3" t="inlineStr">
        <is>
          <t>Đầu 8</t>
        </is>
      </c>
      <c r="F282" s="3" t="inlineStr">
        <is>
          <t>Đuôi 7</t>
        </is>
      </c>
      <c r="G28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82" s="7" t="inlineStr">
        <is>
          <t>TRƯỢT ❌</t>
        </is>
      </c>
    </row>
    <row r="283">
      <c r="A283" s="2" t="n">
        <v>281</v>
      </c>
      <c r="B283" s="2" t="inlineStr">
        <is>
          <t>Thứ Hai ngày 12-10-2026</t>
        </is>
      </c>
      <c r="C283" s="3" t="inlineStr">
        <is>
          <t>53618</t>
        </is>
      </c>
      <c r="D283" s="3" t="inlineStr">
        <is>
          <t>18</t>
        </is>
      </c>
      <c r="E283" s="3" t="inlineStr">
        <is>
          <t>Đầu 1</t>
        </is>
      </c>
      <c r="F283" s="3" t="inlineStr">
        <is>
          <t>Đuôi 8</t>
        </is>
      </c>
      <c r="G28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83" s="6" t="inlineStr">
        <is>
          <t>TRÚNG 🎯</t>
        </is>
      </c>
    </row>
    <row r="284">
      <c r="A284" s="2" t="n">
        <v>282</v>
      </c>
      <c r="B284" s="2" t="inlineStr">
        <is>
          <t>Thứ Ba ngày 13-10-2026</t>
        </is>
      </c>
      <c r="C284" s="3" t="inlineStr">
        <is>
          <t>28259</t>
        </is>
      </c>
      <c r="D284" s="3" t="inlineStr">
        <is>
          <t>59</t>
        </is>
      </c>
      <c r="E284" s="3" t="inlineStr">
        <is>
          <t>Đầu 5</t>
        </is>
      </c>
      <c r="F284" s="3" t="inlineStr">
        <is>
          <t>Đuôi 9</t>
        </is>
      </c>
      <c r="G28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84" s="6" t="inlineStr">
        <is>
          <t>TRÚNG 🎯</t>
        </is>
      </c>
    </row>
    <row r="285">
      <c r="A285" s="2" t="n">
        <v>283</v>
      </c>
      <c r="B285" s="2" t="inlineStr">
        <is>
          <t>Thứ Tư ngày 14-10-2026</t>
        </is>
      </c>
      <c r="C285" s="3" t="inlineStr">
        <is>
          <t>62066</t>
        </is>
      </c>
      <c r="D285" s="3" t="inlineStr">
        <is>
          <t>66</t>
        </is>
      </c>
      <c r="E285" s="3" t="inlineStr">
        <is>
          <t>Đầu 6</t>
        </is>
      </c>
      <c r="F285" s="3" t="inlineStr">
        <is>
          <t>Đuôi 6</t>
        </is>
      </c>
      <c r="G285" s="3" t="inlineStr">
        <is>
          <t>00, 04, 05, 09, 13, 14, 18, 19, 22, 23, 27, 28, 31, 32, 36, 37, 40, 41, 45, 46, 50, 54, 55, 59, 63, 64, 68, 69, 72, 73, 77, 78, 81, 82, 86, 87, 90, 91, 95, 96</t>
        </is>
      </c>
      <c r="H285" s="7" t="inlineStr">
        <is>
          <t>TRƯỢT ❌</t>
        </is>
      </c>
    </row>
    <row r="286">
      <c r="A286" s="2" t="n">
        <v>284</v>
      </c>
      <c r="B286" s="2" t="inlineStr">
        <is>
          <t>Thứ Năm ngày 15-10-2026</t>
        </is>
      </c>
      <c r="C286" s="3" t="inlineStr">
        <is>
          <t>63756</t>
        </is>
      </c>
      <c r="D286" s="3" t="inlineStr">
        <is>
          <t>56</t>
        </is>
      </c>
      <c r="E286" s="3" t="inlineStr">
        <is>
          <t>Đầu 5</t>
        </is>
      </c>
      <c r="F286" s="3" t="inlineStr">
        <is>
          <t>Đuôi 6</t>
        </is>
      </c>
      <c r="G28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86" s="7" t="inlineStr">
        <is>
          <t>TRƯỢT ❌</t>
        </is>
      </c>
    </row>
    <row r="287">
      <c r="A287" s="2" t="n">
        <v>285</v>
      </c>
      <c r="B287" s="2" t="inlineStr">
        <is>
          <t>Thứ Sáu ngày 16-10-2026</t>
        </is>
      </c>
      <c r="C287" s="3" t="inlineStr">
        <is>
          <t>64538</t>
        </is>
      </c>
      <c r="D287" s="3" t="inlineStr">
        <is>
          <t>38</t>
        </is>
      </c>
      <c r="E287" s="3" t="inlineStr">
        <is>
          <t>Đầu 3</t>
        </is>
      </c>
      <c r="F287" s="3" t="inlineStr">
        <is>
          <t>Đuôi 8</t>
        </is>
      </c>
      <c r="G287" s="3" t="inlineStr">
        <is>
          <t>01, 03, 06, 08, 10, 12, 15, 17, 21, 24, 26, 29, 30, 33, 35, 38, 42, 44, 47, 49, 51, 53, 56, 58, 60, 62, 65, 67, 71, 74, 76, 79, 80, 83, 85, 88, 92, 94, 97, 99</t>
        </is>
      </c>
      <c r="H287" s="6" t="inlineStr">
        <is>
          <t>TRÚNG 🎯</t>
        </is>
      </c>
    </row>
    <row r="288">
      <c r="A288" s="2" t="n">
        <v>286</v>
      </c>
      <c r="B288" s="2" t="inlineStr">
        <is>
          <t>Thứ Bảy ngày 17-10-2026</t>
        </is>
      </c>
      <c r="C288" s="3" t="inlineStr">
        <is>
          <t>84642</t>
        </is>
      </c>
      <c r="D288" s="3" t="inlineStr">
        <is>
          <t>42</t>
        </is>
      </c>
      <c r="E288" s="3" t="inlineStr">
        <is>
          <t>Đầu 4</t>
        </is>
      </c>
      <c r="F288" s="3" t="inlineStr">
        <is>
          <t>Đuôi 2</t>
        </is>
      </c>
      <c r="G288" s="3" t="inlineStr">
        <is>
          <t>03, 04, 08, 09, 12, 13, 17, 18, 21, 22, 26, 27, 30, 31, 35, 36, 40, 44, 45, 49, 53, 54, 58, 59, 62, 63, 67, 68, 71, 72, 76, 77, 80, 81, 85, 86, 90, 94, 95, 99</t>
        </is>
      </c>
      <c r="H288" s="7" t="inlineStr">
        <is>
          <t>TRƯỢT ❌</t>
        </is>
      </c>
    </row>
    <row r="289">
      <c r="A289" s="2" t="n">
        <v>287</v>
      </c>
      <c r="B289" s="2" t="inlineStr">
        <is>
          <t>Chủ Nhật ngày 18-10-2026</t>
        </is>
      </c>
      <c r="C289" s="3" t="inlineStr">
        <is>
          <t>55390</t>
        </is>
      </c>
      <c r="D289" s="3" t="inlineStr">
        <is>
          <t>90</t>
        </is>
      </c>
      <c r="E289" s="3" t="inlineStr">
        <is>
          <t>Đầu 9</t>
        </is>
      </c>
      <c r="F289" s="3" t="inlineStr">
        <is>
          <t>Đuôi 0</t>
        </is>
      </c>
      <c r="G289" s="3" t="inlineStr">
        <is>
          <t>03, 04, 08, 09, 12, 13, 17, 18, 21, 22, 26, 27, 30, 31, 35, 36, 40, 44, 45, 49, 53, 54, 58, 59, 62, 63, 67, 68, 71, 72, 76, 77, 80, 81, 85, 86, 90, 94, 95, 99</t>
        </is>
      </c>
      <c r="H289" s="6" t="inlineStr">
        <is>
          <t>TRÚNG 🎯</t>
        </is>
      </c>
    </row>
    <row r="290">
      <c r="A290" s="2" t="n">
        <v>288</v>
      </c>
      <c r="B290" s="2" t="inlineStr">
        <is>
          <t>Thứ Hai ngày 19-10-2026</t>
        </is>
      </c>
      <c r="C290" s="3" t="inlineStr">
        <is>
          <t>86809</t>
        </is>
      </c>
      <c r="D290" s="3" t="inlineStr">
        <is>
          <t>09</t>
        </is>
      </c>
      <c r="E290" s="3" t="inlineStr">
        <is>
          <t>Đầu 0</t>
        </is>
      </c>
      <c r="F290" s="3" t="inlineStr">
        <is>
          <t>Đuôi 9</t>
        </is>
      </c>
      <c r="G29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90" s="6" t="inlineStr">
        <is>
          <t>TRÚNG 🎯</t>
        </is>
      </c>
    </row>
    <row r="291">
      <c r="A291" s="2" t="n">
        <v>289</v>
      </c>
      <c r="B291" s="2" t="inlineStr">
        <is>
          <t>Thứ Ba ngày 20-10-2026</t>
        </is>
      </c>
      <c r="C291" s="3" t="inlineStr">
        <is>
          <t>94163</t>
        </is>
      </c>
      <c r="D291" s="3" t="inlineStr">
        <is>
          <t>63</t>
        </is>
      </c>
      <c r="E291" s="3" t="inlineStr">
        <is>
          <t>Đầu 6</t>
        </is>
      </c>
      <c r="F291" s="3" t="inlineStr">
        <is>
          <t>Đuôi 3</t>
        </is>
      </c>
      <c r="G291" s="3" t="inlineStr">
        <is>
          <t>01, 04, 06, 09, 10, 13, 15, 18, 22, 24, 27, 29, 31, 33, 36, 38, 40, 42, 45, 47, 51, 54, 56, 59, 60, 63, 65, 68, 72, 74, 77, 79, 81, 83, 86, 88, 90, 92, 95, 97</t>
        </is>
      </c>
      <c r="H291" s="6" t="inlineStr">
        <is>
          <t>TRÚNG 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5, Đầu 3, Đầu 8</t>
        </is>
      </c>
    </row>
    <row r="4">
      <c r="A4" s="2" t="inlineStr">
        <is>
          <t>Top 3 Đuôi Tiềm Năng</t>
        </is>
      </c>
      <c r="B4" s="2" t="inlineStr">
        <is>
          <t>Đuôi 6, Đuôi 8, Đuôi 5</t>
        </is>
      </c>
    </row>
    <row r="5">
      <c r="A5" s="2" t="inlineStr">
        <is>
          <t>Dàn 20 Con Số Dự Đoán Đồng Thuận Super-Score</t>
        </is>
      </c>
      <c r="B5" s="2" t="inlineStr">
        <is>
          <t>42, 38, 51, 83, 08, 56, 88, 35, 15, 53, 44, 06, 65, 21, 60, 67, 12, 29, 80, 99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37 lần</t>
        </is>
      </c>
    </row>
    <row r="8">
      <c r="A8" s="2" t="inlineStr">
        <is>
          <t>Đầu 5</t>
        </is>
      </c>
      <c r="B8" s="2" t="inlineStr">
        <is>
          <t>37 lần</t>
        </is>
      </c>
    </row>
    <row r="9">
      <c r="A9" s="2" t="inlineStr">
        <is>
          <t>Đầu 6</t>
        </is>
      </c>
      <c r="B9" s="2" t="inlineStr">
        <is>
          <t>35 lần</t>
        </is>
      </c>
    </row>
    <row r="10">
      <c r="A10" s="2" t="inlineStr">
        <is>
          <t>Đầu 8</t>
        </is>
      </c>
      <c r="B10" s="2" t="inlineStr">
        <is>
          <t>32 lần</t>
        </is>
      </c>
    </row>
    <row r="11">
      <c r="A11" s="2" t="inlineStr">
        <is>
          <t>Đầu 2</t>
        </is>
      </c>
      <c r="B11" s="2" t="inlineStr">
        <is>
          <t>30 lần</t>
        </is>
      </c>
    </row>
    <row r="12">
      <c r="A12" s="2" t="inlineStr">
        <is>
          <t>Đầu 4</t>
        </is>
      </c>
      <c r="B12" s="2" t="inlineStr">
        <is>
          <t>29 lần</t>
        </is>
      </c>
    </row>
    <row r="13">
      <c r="A13" s="2" t="inlineStr">
        <is>
          <t>Đầu 9</t>
        </is>
      </c>
      <c r="B13" s="2" t="inlineStr">
        <is>
          <t>25 lần</t>
        </is>
      </c>
    </row>
    <row r="14">
      <c r="A14" s="2" t="inlineStr">
        <is>
          <t>Đầu 1</t>
        </is>
      </c>
      <c r="B14" s="2" t="inlineStr">
        <is>
          <t>25 lần</t>
        </is>
      </c>
    </row>
    <row r="15">
      <c r="A15" s="2" t="inlineStr">
        <is>
          <t>Đầu 0</t>
        </is>
      </c>
      <c r="B15" s="2" t="inlineStr">
        <is>
          <t>21 lần</t>
        </is>
      </c>
    </row>
    <row r="16">
      <c r="A16" s="2" t="inlineStr">
        <is>
          <t>Đầu 7</t>
        </is>
      </c>
      <c r="B16" s="2" t="inlineStr">
        <is>
          <t>19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8</t>
        </is>
      </c>
      <c r="B18" s="2" t="inlineStr">
        <is>
          <t>35 lần</t>
        </is>
      </c>
    </row>
    <row r="19">
      <c r="A19" s="2" t="inlineStr">
        <is>
          <t>Đuôi 3</t>
        </is>
      </c>
      <c r="B19" s="2" t="inlineStr">
        <is>
          <t>35 lần</t>
        </is>
      </c>
    </row>
    <row r="20">
      <c r="A20" s="2" t="inlineStr">
        <is>
          <t>Đuôi 4</t>
        </is>
      </c>
      <c r="B20" s="2" t="inlineStr">
        <is>
          <t>35 lần</t>
        </is>
      </c>
    </row>
    <row r="21">
      <c r="A21" s="2" t="inlineStr">
        <is>
          <t>Đuôi 7</t>
        </is>
      </c>
      <c r="B21" s="2" t="inlineStr">
        <is>
          <t>32 lần</t>
        </is>
      </c>
    </row>
    <row r="22">
      <c r="A22" s="2" t="inlineStr">
        <is>
          <t>Đuôi 2</t>
        </is>
      </c>
      <c r="B22" s="2" t="inlineStr">
        <is>
          <t>29 lần</t>
        </is>
      </c>
    </row>
    <row r="23">
      <c r="A23" s="2" t="inlineStr">
        <is>
          <t>Đuôi 1</t>
        </is>
      </c>
      <c r="B23" s="2" t="inlineStr">
        <is>
          <t>29 lần</t>
        </is>
      </c>
    </row>
    <row r="24">
      <c r="A24" s="2" t="inlineStr">
        <is>
          <t>Đuôi 9</t>
        </is>
      </c>
      <c r="B24" s="2" t="inlineStr">
        <is>
          <t>28 lần</t>
        </is>
      </c>
    </row>
    <row r="25">
      <c r="A25" s="2" t="inlineStr">
        <is>
          <t>Đuôi 5</t>
        </is>
      </c>
      <c r="B25" s="2" t="inlineStr">
        <is>
          <t>24 lần</t>
        </is>
      </c>
    </row>
    <row r="26">
      <c r="A26" s="2" t="inlineStr">
        <is>
          <t>Đuôi 0</t>
        </is>
      </c>
      <c r="B26" s="2" t="inlineStr">
        <is>
          <t>23 lần</t>
        </is>
      </c>
    </row>
    <row r="27">
      <c r="A27" s="2" t="inlineStr">
        <is>
          <t>Đuôi 6</t>
        </is>
      </c>
      <c r="B27" s="2" t="inlineStr">
        <is>
          <t>20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6" customWidth="1" min="4" max="4"/>
    <col width="42" customWidth="1" min="5" max="5"/>
    <col width="36" customWidth="1" min="6" max="6"/>
    <col width="21" customWidth="1" min="7" max="7"/>
    <col width="36" customWidth="1" min="8" max="8"/>
    <col width="22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289 Ngày</t>
        </is>
      </c>
      <c r="C2" s="3" t="inlineStr">
        <is>
          <t>Trúng Đầu (1N): 85/289 (29.41%)</t>
        </is>
      </c>
      <c r="D2" s="3" t="inlineStr">
        <is>
          <t>Trúng Đuôi (1N): 75/289 (25.95%)</t>
        </is>
      </c>
      <c r="E2" s="3" t="inlineStr">
        <is>
          <t>Trúng Ghép 9 Số (1N): 22/289 (7.61%)</t>
        </is>
      </c>
      <c r="F2" s="3" t="inlineStr">
        <is>
          <t>Trúng Đầu/Đuôi: 138/289 (47.75%)</t>
        </is>
      </c>
      <c r="G2" s="3" t="inlineStr">
        <is>
          <t>---</t>
        </is>
      </c>
      <c r="H2" s="3" t="inlineStr">
        <is>
          <t>Khung 3N (Đầu): 197/287 (68.64%)</t>
        </is>
      </c>
      <c r="I2" s="3" t="inlineStr">
        <is>
          <t>---</t>
        </is>
      </c>
      <c r="J2" s="3" t="inlineStr">
        <is>
          <t>Khung 3N (Đuôi): 175/287 (60.98%)</t>
        </is>
      </c>
      <c r="K2" s="3" t="inlineStr">
        <is>
          <t>---</t>
        </is>
      </c>
      <c r="L2" s="3" t="inlineStr">
        <is>
          <t>Khung 3N (Ghép 9 Số): 63/287 (21.95%)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289 Ngày</t>
        </is>
      </c>
      <c r="C3" s="3" t="inlineStr">
        <is>
          <t>Trúng Đầu (1N): 109/289 (37.72%)</t>
        </is>
      </c>
      <c r="D3" s="3" t="inlineStr">
        <is>
          <t>Trúng Đuôi (1N): 100/289 (34.6%)</t>
        </is>
      </c>
      <c r="E3" s="3" t="inlineStr">
        <is>
          <t>Trúng Ghép 16 Số (1N): 40/289 (13.84%)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77.7%</t>
        </is>
      </c>
      <c r="I3" s="3" t="inlineStr">
        <is>
          <t>---</t>
        </is>
      </c>
      <c r="J3" s="3" t="inlineStr">
        <is>
          <t>Khung 3N (Đuôi): 74.56%</t>
        </is>
      </c>
      <c r="K3" s="3" t="inlineStr">
        <is>
          <t>---</t>
        </is>
      </c>
      <c r="L3" s="3" t="inlineStr">
        <is>
          <t>Khung 3N (Ghép 16 Số): 36.93%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289 Ngày</t>
        </is>
      </c>
      <c r="C4" s="3" t="inlineStr">
        <is>
          <t>Trúng Đầu (1N): 138/289 (47.75%)</t>
        </is>
      </c>
      <c r="D4" s="3" t="inlineStr">
        <is>
          <t>Trúng Đuôi (1N): 126/289 (43.6%)</t>
        </is>
      </c>
      <c r="E4" s="3" t="inlineStr">
        <is>
          <t>Trúng Ghép 25 Số (1N): 58/289 (20.07%)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86.41%</t>
        </is>
      </c>
      <c r="I4" s="3" t="inlineStr">
        <is>
          <t>---</t>
        </is>
      </c>
      <c r="J4" s="3" t="inlineStr">
        <is>
          <t>Khung 3N (Đuôi): 82.23%</t>
        </is>
      </c>
      <c r="K4" s="3" t="inlineStr">
        <is>
          <t>---</t>
        </is>
      </c>
      <c r="L4" s="3" t="inlineStr">
        <is>
          <t>Khung 3N (Ghép 25 Số): 52.26%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0, 1, 2</t>
        </is>
      </c>
      <c r="H5" s="7" t="inlineStr">
        <is>
          <t>TRƯỢT ❌</t>
        </is>
      </c>
      <c r="I5" s="3" t="inlineStr">
        <is>
          <t>0, 1, 2</t>
        </is>
      </c>
      <c r="J5" s="7" t="inlineStr">
        <is>
          <t>TRƯỢT ❌</t>
        </is>
      </c>
      <c r="K5" s="3" t="inlineStr">
        <is>
          <t>00, 01, 02, 10, 11, 12, 20, 21, 22</t>
        </is>
      </c>
      <c r="L5" s="7" t="inlineStr">
        <is>
          <t>TRƯỢT ❌</t>
        </is>
      </c>
      <c r="M5" s="7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6, 0, 1</t>
        </is>
      </c>
      <c r="H6" s="7" t="inlineStr">
        <is>
          <t>TRƯỢT ❌</t>
        </is>
      </c>
      <c r="I6" s="3" t="inlineStr">
        <is>
          <t>8, 0, 1</t>
        </is>
      </c>
      <c r="J6" s="7" t="inlineStr">
        <is>
          <t>TRƯỢT ❌</t>
        </is>
      </c>
      <c r="K6" s="3" t="inlineStr">
        <is>
          <t>00, 01, 08, 10, 11, 18, 60, 61, 68</t>
        </is>
      </c>
      <c r="L6" s="7" t="inlineStr">
        <is>
          <t>TRƯỢT ❌</t>
        </is>
      </c>
      <c r="M6" s="7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6, 4, 0</t>
        </is>
      </c>
      <c r="H7" s="7" t="inlineStr">
        <is>
          <t>TRƯỢT ❌</t>
        </is>
      </c>
      <c r="I7" s="3" t="inlineStr">
        <is>
          <t>8, 0, 1</t>
        </is>
      </c>
      <c r="J7" s="7" t="inlineStr">
        <is>
          <t>TRƯỢT ❌</t>
        </is>
      </c>
      <c r="K7" s="3" t="inlineStr">
        <is>
          <t>00, 01, 08, 40, 41, 48, 60, 61, 68</t>
        </is>
      </c>
      <c r="L7" s="7" t="inlineStr">
        <is>
          <t>TRƯỢT ❌</t>
        </is>
      </c>
      <c r="M7" s="7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6, 4, 0</t>
        </is>
      </c>
      <c r="H8" s="6" t="inlineStr">
        <is>
          <t>TRÚNG 🎯</t>
        </is>
      </c>
      <c r="I8" s="3" t="inlineStr">
        <is>
          <t>8, 9, 0</t>
        </is>
      </c>
      <c r="J8" s="7" t="inlineStr">
        <is>
          <t>TRƯỢT ❌</t>
        </is>
      </c>
      <c r="K8" s="3" t="inlineStr">
        <is>
          <t>00, 08, 09, 40, 48, 49, 60, 68, 69</t>
        </is>
      </c>
      <c r="L8" s="7" t="inlineStr">
        <is>
          <t>TRƯỢT ❌</t>
        </is>
      </c>
      <c r="M8" s="7" t="inlineStr">
        <is>
          <t>TRƯỢT KHUNG ❌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6, 4, 9</t>
        </is>
      </c>
      <c r="H9" s="6" t="inlineStr">
        <is>
          <t>TRÚNG 🎯</t>
        </is>
      </c>
      <c r="I9" s="3" t="inlineStr">
        <is>
          <t>8, 9, 7</t>
        </is>
      </c>
      <c r="J9" s="6" t="inlineStr">
        <is>
          <t>TRÚNG 🎯</t>
        </is>
      </c>
      <c r="K9" s="3" t="inlineStr">
        <is>
          <t>47, 48, 49, 67, 68, 69, 97, 98, 99</t>
        </is>
      </c>
      <c r="L9" s="6" t="inlineStr">
        <is>
          <t>TRÚNG 🎯</t>
        </is>
      </c>
      <c r="M9" s="6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6, 4, 9</t>
        </is>
      </c>
      <c r="H10" s="7" t="inlineStr">
        <is>
          <t>TRƯỢT ❌</t>
        </is>
      </c>
      <c r="I10" s="3" t="inlineStr">
        <is>
          <t>8, 9, 7</t>
        </is>
      </c>
      <c r="J10" s="6" t="inlineStr">
        <is>
          <t>TRÚNG 🎯</t>
        </is>
      </c>
      <c r="K10" s="3" t="inlineStr">
        <is>
          <t>47, 48, 49, 67, 68, 69, 97, 98, 99</t>
        </is>
      </c>
      <c r="L10" s="7" t="inlineStr">
        <is>
          <t>TRƯỢT ❌</t>
        </is>
      </c>
      <c r="M10" s="7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6, 4, 9</t>
        </is>
      </c>
      <c r="H11" s="6" t="inlineStr">
        <is>
          <t>TRÚNG 🎯</t>
        </is>
      </c>
      <c r="I11" s="3" t="inlineStr">
        <is>
          <t>8, 7, 5</t>
        </is>
      </c>
      <c r="J11" s="7" t="inlineStr">
        <is>
          <t>TRƯỢT ❌</t>
        </is>
      </c>
      <c r="K11" s="3" t="inlineStr">
        <is>
          <t>45, 47, 48, 65, 67, 68, 95, 97, 98</t>
        </is>
      </c>
      <c r="L11" s="7" t="inlineStr">
        <is>
          <t>TRƯỢT ❌</t>
        </is>
      </c>
      <c r="M11" s="7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4, 9, 0</t>
        </is>
      </c>
      <c r="H12" s="7" t="inlineStr">
        <is>
          <t>TRƯỢT ❌</t>
        </is>
      </c>
      <c r="I12" s="3" t="inlineStr">
        <is>
          <t>8, 7, 5</t>
        </is>
      </c>
      <c r="J12" s="7" t="inlineStr">
        <is>
          <t>TRƯỢT ❌</t>
        </is>
      </c>
      <c r="K12" s="3" t="inlineStr">
        <is>
          <t>05, 07, 08, 45, 47, 48, 95, 97, 98</t>
        </is>
      </c>
      <c r="L12" s="7" t="inlineStr">
        <is>
          <t>TRƯỢT ❌</t>
        </is>
      </c>
      <c r="M12" s="7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4, 0, 9</t>
        </is>
      </c>
      <c r="H13" s="6" t="inlineStr">
        <is>
          <t>TRÚNG 🎯</t>
        </is>
      </c>
      <c r="I13" s="3" t="inlineStr">
        <is>
          <t>8, 5, 7</t>
        </is>
      </c>
      <c r="J13" s="7" t="inlineStr">
        <is>
          <t>TRƯỢT ❌</t>
        </is>
      </c>
      <c r="K13" s="3" t="inlineStr">
        <is>
          <t>05, 07, 08, 45, 47, 48, 95, 97, 98</t>
        </is>
      </c>
      <c r="L13" s="7" t="inlineStr">
        <is>
          <t>TRƯỢT ❌</t>
        </is>
      </c>
      <c r="M13" s="7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4, 0, 6</t>
        </is>
      </c>
      <c r="H14" s="7" t="inlineStr">
        <is>
          <t>TRƯỢT ❌</t>
        </is>
      </c>
      <c r="I14" s="3" t="inlineStr">
        <is>
          <t>7, 8, 5</t>
        </is>
      </c>
      <c r="J14" s="6" t="inlineStr">
        <is>
          <t>TRÚNG 🎯</t>
        </is>
      </c>
      <c r="K14" s="3" t="inlineStr">
        <is>
          <t>05, 07, 08, 45, 47, 48, 65, 67, 68</t>
        </is>
      </c>
      <c r="L14" s="7" t="inlineStr">
        <is>
          <t>TRƯỢT ❌</t>
        </is>
      </c>
      <c r="M14" s="7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4, 0, 8</t>
        </is>
      </c>
      <c r="H15" s="7" t="inlineStr">
        <is>
          <t>TRƯỢT ❌</t>
        </is>
      </c>
      <c r="I15" s="3" t="inlineStr">
        <is>
          <t>7, 9, 5</t>
        </is>
      </c>
      <c r="J15" s="7" t="inlineStr">
        <is>
          <t>TRƯỢT ❌</t>
        </is>
      </c>
      <c r="K15" s="3" t="inlineStr">
        <is>
          <t>05, 07, 09, 45, 47, 49, 85, 87, 89</t>
        </is>
      </c>
      <c r="L15" s="7" t="inlineStr">
        <is>
          <t>TRƯỢT ❌</t>
        </is>
      </c>
      <c r="M15" s="7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4, 6, 0</t>
        </is>
      </c>
      <c r="H16" s="7" t="inlineStr">
        <is>
          <t>TRƯỢT ❌</t>
        </is>
      </c>
      <c r="I16" s="3" t="inlineStr">
        <is>
          <t>7, 9, 2</t>
        </is>
      </c>
      <c r="J16" s="6" t="inlineStr">
        <is>
          <t>TRÚNG 🎯</t>
        </is>
      </c>
      <c r="K16" s="3" t="inlineStr">
        <is>
          <t>02, 07, 09, 42, 47, 49, 62, 67, 69</t>
        </is>
      </c>
      <c r="L16" s="7" t="inlineStr">
        <is>
          <t>TRƯỢT ❌</t>
        </is>
      </c>
      <c r="M16" s="7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4, 6, 0</t>
        </is>
      </c>
      <c r="H17" s="7" t="inlineStr">
        <is>
          <t>TRƯỢT ❌</t>
        </is>
      </c>
      <c r="I17" s="3" t="inlineStr">
        <is>
          <t>9, 2, 5</t>
        </is>
      </c>
      <c r="J17" s="7" t="inlineStr">
        <is>
          <t>TRƯỢT ❌</t>
        </is>
      </c>
      <c r="K17" s="3" t="inlineStr">
        <is>
          <t>02, 05, 09, 42, 45, 49, 62, 65, 69</t>
        </is>
      </c>
      <c r="L17" s="7" t="inlineStr">
        <is>
          <t>TRƯỢT ❌</t>
        </is>
      </c>
      <c r="M17" s="7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4, 6, 0</t>
        </is>
      </c>
      <c r="H18" s="7" t="inlineStr">
        <is>
          <t>TRƯỢT ❌</t>
        </is>
      </c>
      <c r="I18" s="3" t="inlineStr">
        <is>
          <t>3, 9, 8</t>
        </is>
      </c>
      <c r="J18" s="7" t="inlineStr">
        <is>
          <t>TRƯỢT ❌</t>
        </is>
      </c>
      <c r="K18" s="3" t="inlineStr">
        <is>
          <t>03, 08, 09, 43, 48, 49, 63, 68, 69</t>
        </is>
      </c>
      <c r="L18" s="7" t="inlineStr">
        <is>
          <t>TRƯỢT ❌</t>
        </is>
      </c>
      <c r="M18" s="7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4, 6, 9</t>
        </is>
      </c>
      <c r="H19" s="7" t="inlineStr">
        <is>
          <t>TRƯỢT ❌</t>
        </is>
      </c>
      <c r="I19" s="3" t="inlineStr">
        <is>
          <t>8, 3, 9</t>
        </is>
      </c>
      <c r="J19" s="6" t="inlineStr">
        <is>
          <t>TRÚNG 🎯</t>
        </is>
      </c>
      <c r="K19" s="3" t="inlineStr">
        <is>
          <t>43, 48, 49, 63, 68, 69, 93, 98, 99</t>
        </is>
      </c>
      <c r="L19" s="7" t="inlineStr">
        <is>
          <t>TRƯỢT ❌</t>
        </is>
      </c>
      <c r="M19" s="7" t="inlineStr">
        <is>
          <t>TRƯỢT KHUNG ❌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9, 4, 6</t>
        </is>
      </c>
      <c r="H20" s="7" t="inlineStr">
        <is>
          <t>TRƯỢT ❌</t>
        </is>
      </c>
      <c r="I20" s="3" t="inlineStr">
        <is>
          <t>3, 7, 9</t>
        </is>
      </c>
      <c r="J20" s="7" t="inlineStr">
        <is>
          <t>TRƯỢT ❌</t>
        </is>
      </c>
      <c r="K20" s="3" t="inlineStr">
        <is>
          <t>43, 47, 49, 63, 67, 69, 93, 97, 99</t>
        </is>
      </c>
      <c r="L20" s="7" t="inlineStr">
        <is>
          <t>TRƯỢT ❌</t>
        </is>
      </c>
      <c r="M20" s="7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9, 4, 6</t>
        </is>
      </c>
      <c r="H21" s="7" t="inlineStr">
        <is>
          <t>TRƯỢT ❌</t>
        </is>
      </c>
      <c r="I21" s="3" t="inlineStr">
        <is>
          <t>7, 3, 9</t>
        </is>
      </c>
      <c r="J21" s="7" t="inlineStr">
        <is>
          <t>TRƯỢT ❌</t>
        </is>
      </c>
      <c r="K21" s="3" t="inlineStr">
        <is>
          <t>43, 47, 49, 63, 67, 69, 93, 97, 99</t>
        </is>
      </c>
      <c r="L21" s="7" t="inlineStr">
        <is>
          <t>TRƯỢT ❌</t>
        </is>
      </c>
      <c r="M21" s="7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9, 4, 2</t>
        </is>
      </c>
      <c r="H22" s="7" t="inlineStr">
        <is>
          <t>TRƯỢT ❌</t>
        </is>
      </c>
      <c r="I22" s="3" t="inlineStr">
        <is>
          <t>7, 3, 8</t>
        </is>
      </c>
      <c r="J22" s="7" t="inlineStr">
        <is>
          <t>TRƯỢT ❌</t>
        </is>
      </c>
      <c r="K22" s="3" t="inlineStr">
        <is>
          <t>23, 27, 28, 43, 47, 48, 93, 97, 98</t>
        </is>
      </c>
      <c r="L22" s="7" t="inlineStr">
        <is>
          <t>TRƯỢT ❌</t>
        </is>
      </c>
      <c r="M22" s="7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9, 2, 4</t>
        </is>
      </c>
      <c r="H23" s="7" t="inlineStr">
        <is>
          <t>TRƯỢT ❌</t>
        </is>
      </c>
      <c r="I23" s="3" t="inlineStr">
        <is>
          <t>7, 8, 2</t>
        </is>
      </c>
      <c r="J23" s="6" t="inlineStr">
        <is>
          <t>TRÚNG 🎯</t>
        </is>
      </c>
      <c r="K23" s="3" t="inlineStr">
        <is>
          <t>22, 27, 28, 42, 47, 48, 92, 97, 98</t>
        </is>
      </c>
      <c r="L23" s="7" t="inlineStr">
        <is>
          <t>TRƯỢT ❌</t>
        </is>
      </c>
      <c r="M23" s="7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7" t="inlineStr">
        <is>
          <t>TRƯỢT ❌</t>
        </is>
      </c>
      <c r="I24" s="3" t="inlineStr">
        <is>
          <t>7, 2, 3</t>
        </is>
      </c>
      <c r="J24" s="7" t="inlineStr">
        <is>
          <t>TRƯỢT ❌</t>
        </is>
      </c>
      <c r="K24" s="3" t="inlineStr">
        <is>
          <t>22, 23, 27, 42, 43, 47, 92, 93, 97</t>
        </is>
      </c>
      <c r="L24" s="7" t="inlineStr">
        <is>
          <t>TRƯỢT ❌</t>
        </is>
      </c>
      <c r="M24" s="6" t="inlineStr">
        <is>
          <t>TRÚNG KHUNG 🎯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7" t="inlineStr">
        <is>
          <t>TRƯỢT ❌</t>
        </is>
      </c>
      <c r="I25" s="3" t="inlineStr">
        <is>
          <t>7, 8, 2</t>
        </is>
      </c>
      <c r="J25" s="7" t="inlineStr">
        <is>
          <t>TRƯỢT ❌</t>
        </is>
      </c>
      <c r="K25" s="3" t="inlineStr">
        <is>
          <t>22, 27, 28, 42, 47, 48, 92, 97, 98</t>
        </is>
      </c>
      <c r="L25" s="7" t="inlineStr">
        <is>
          <t>TRƯỢT ❌</t>
        </is>
      </c>
      <c r="M25" s="6" t="inlineStr">
        <is>
          <t>TRÚNG KHUNG 🎯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2, 9, 4</t>
        </is>
      </c>
      <c r="H26" s="6" t="inlineStr">
        <is>
          <t>TRÚNG 🎯</t>
        </is>
      </c>
      <c r="I26" s="3" t="inlineStr">
        <is>
          <t>7, 8, 2</t>
        </is>
      </c>
      <c r="J26" s="6" t="inlineStr">
        <is>
          <t>TRÚNG 🎯</t>
        </is>
      </c>
      <c r="K26" s="3" t="inlineStr">
        <is>
          <t>22, 27, 28, 42, 47, 48, 92, 97, 98</t>
        </is>
      </c>
      <c r="L26" s="6" t="inlineStr">
        <is>
          <t>TRÚNG 🎯</t>
        </is>
      </c>
      <c r="M26" s="6" t="inlineStr">
        <is>
          <t>TRÚNG KHUNG 🎯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9, 2, 4</t>
        </is>
      </c>
      <c r="H27" s="7" t="inlineStr">
        <is>
          <t>TRƯỢT ❌</t>
        </is>
      </c>
      <c r="I27" s="3" t="inlineStr">
        <is>
          <t>7, 8, 4</t>
        </is>
      </c>
      <c r="J27" s="7" t="inlineStr">
        <is>
          <t>TRƯỢT ❌</t>
        </is>
      </c>
      <c r="K27" s="3" t="inlineStr">
        <is>
          <t>24, 27, 28, 44, 47, 48, 94, 97, 98</t>
        </is>
      </c>
      <c r="L27" s="7" t="inlineStr">
        <is>
          <t>TRƯỢT ❌</t>
        </is>
      </c>
      <c r="M27" s="7" t="inlineStr">
        <is>
          <t>TRƯỢT KHUNG ❌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2, 9, 4</t>
        </is>
      </c>
      <c r="H28" s="7" t="inlineStr">
        <is>
          <t>TRƯỢT ❌</t>
        </is>
      </c>
      <c r="I28" s="3" t="inlineStr">
        <is>
          <t>8, 7, 4</t>
        </is>
      </c>
      <c r="J28" s="7" t="inlineStr">
        <is>
          <t>TRƯỢT ❌</t>
        </is>
      </c>
      <c r="K28" s="3" t="inlineStr">
        <is>
          <t>24, 27, 28, 44, 47, 48, 94, 97, 98</t>
        </is>
      </c>
      <c r="L28" s="7" t="inlineStr">
        <is>
          <t>TRƯỢT ❌</t>
        </is>
      </c>
      <c r="M28" s="7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2, 8, 9</t>
        </is>
      </c>
      <c r="H29" s="7" t="inlineStr">
        <is>
          <t>TRƯỢT ❌</t>
        </is>
      </c>
      <c r="I29" s="3" t="inlineStr">
        <is>
          <t>8, 7, 4</t>
        </is>
      </c>
      <c r="J29" s="6" t="inlineStr">
        <is>
          <t>TRÚNG 🎯</t>
        </is>
      </c>
      <c r="K29" s="3" t="inlineStr">
        <is>
          <t>24, 27, 28, 84, 87, 88, 94, 97, 98</t>
        </is>
      </c>
      <c r="L29" s="7" t="inlineStr">
        <is>
          <t>TRƯỢT ❌</t>
        </is>
      </c>
      <c r="M29" s="7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2, 8, 9</t>
        </is>
      </c>
      <c r="H30" s="6" t="inlineStr">
        <is>
          <t>TRÚNG 🎯</t>
        </is>
      </c>
      <c r="I30" s="3" t="inlineStr">
        <is>
          <t>8, 7, 3</t>
        </is>
      </c>
      <c r="J30" s="7" t="inlineStr">
        <is>
          <t>TRƯỢT ❌</t>
        </is>
      </c>
      <c r="K30" s="3" t="inlineStr">
        <is>
          <t>23, 27, 28, 83, 87, 88, 93, 97, 98</t>
        </is>
      </c>
      <c r="L30" s="7" t="inlineStr">
        <is>
          <t>TRƯỢT ❌</t>
        </is>
      </c>
      <c r="M30" s="7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2, 9, 6</t>
        </is>
      </c>
      <c r="H31" s="6" t="inlineStr">
        <is>
          <t>TRÚNG 🎯</t>
        </is>
      </c>
      <c r="I31" s="3" t="inlineStr">
        <is>
          <t>8, 7, 3</t>
        </is>
      </c>
      <c r="J31" s="7" t="inlineStr">
        <is>
          <t>TRƯỢT ❌</t>
        </is>
      </c>
      <c r="K31" s="3" t="inlineStr">
        <is>
          <t>23, 27, 28, 63, 67, 68, 93, 97, 98</t>
        </is>
      </c>
      <c r="L31" s="7" t="inlineStr">
        <is>
          <t>TRƯỢT ❌</t>
        </is>
      </c>
      <c r="M31" s="7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6, 2, 4</t>
        </is>
      </c>
      <c r="H32" s="7" t="inlineStr">
        <is>
          <t>TRƯỢT ❌</t>
        </is>
      </c>
      <c r="I32" s="3" t="inlineStr">
        <is>
          <t>8, 2, 7</t>
        </is>
      </c>
      <c r="J32" s="7" t="inlineStr">
        <is>
          <t>TRƯỢT ❌</t>
        </is>
      </c>
      <c r="K32" s="3" t="inlineStr">
        <is>
          <t>22, 27, 28, 42, 47, 48, 62, 67, 68</t>
        </is>
      </c>
      <c r="L32" s="7" t="inlineStr">
        <is>
          <t>TRƯỢT ❌</t>
        </is>
      </c>
      <c r="M32" s="7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6, 2, 3</t>
        </is>
      </c>
      <c r="H33" s="7" t="inlineStr">
        <is>
          <t>TRƯỢT ❌</t>
        </is>
      </c>
      <c r="I33" s="3" t="inlineStr">
        <is>
          <t>8, 2, 7</t>
        </is>
      </c>
      <c r="J33" s="7" t="inlineStr">
        <is>
          <t>TRƯỢT ❌</t>
        </is>
      </c>
      <c r="K33" s="3" t="inlineStr">
        <is>
          <t>22, 27, 28, 32, 37, 38, 62, 67, 68</t>
        </is>
      </c>
      <c r="L33" s="7" t="inlineStr">
        <is>
          <t>TRƯỢT ❌</t>
        </is>
      </c>
      <c r="M33" s="7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2, 6, 8</t>
        </is>
      </c>
      <c r="H34" s="7" t="inlineStr">
        <is>
          <t>TRƯỢT ❌</t>
        </is>
      </c>
      <c r="I34" s="3" t="inlineStr">
        <is>
          <t>8, 2, 3</t>
        </is>
      </c>
      <c r="J34" s="7" t="inlineStr">
        <is>
          <t>TRƯỢT ❌</t>
        </is>
      </c>
      <c r="K34" s="3" t="inlineStr">
        <is>
          <t>22, 23, 28, 62, 63, 68, 82, 83, 88</t>
        </is>
      </c>
      <c r="L34" s="7" t="inlineStr">
        <is>
          <t>TRƯỢT ❌</t>
        </is>
      </c>
      <c r="M34" s="7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2, 8, 6</t>
        </is>
      </c>
      <c r="H35" s="7" t="inlineStr">
        <is>
          <t>TRƯỢT ❌</t>
        </is>
      </c>
      <c r="I35" s="3" t="inlineStr">
        <is>
          <t>2, 8, 3</t>
        </is>
      </c>
      <c r="J35" s="7" t="inlineStr">
        <is>
          <t>TRƯỢT ❌</t>
        </is>
      </c>
      <c r="K35" s="3" t="inlineStr">
        <is>
          <t>22, 23, 28, 62, 63, 68, 82, 83, 88</t>
        </is>
      </c>
      <c r="L35" s="7" t="inlineStr">
        <is>
          <t>TRƯỢT ❌</t>
        </is>
      </c>
      <c r="M35" s="7" t="inlineStr">
        <is>
          <t>TRƯỢT KHUNG ❌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2, 8, 6</t>
        </is>
      </c>
      <c r="H36" s="6" t="inlineStr">
        <is>
          <t>TRÚNG 🎯</t>
        </is>
      </c>
      <c r="I36" s="3" t="inlineStr">
        <is>
          <t>2, 3, 8</t>
        </is>
      </c>
      <c r="J36" s="7" t="inlineStr">
        <is>
          <t>TRƯỢT ❌</t>
        </is>
      </c>
      <c r="K36" s="3" t="inlineStr">
        <is>
          <t>22, 23, 28, 62, 63, 68, 82, 83, 88</t>
        </is>
      </c>
      <c r="L36" s="7" t="inlineStr">
        <is>
          <t>TRƯỢT ❌</t>
        </is>
      </c>
      <c r="M36" s="7" t="inlineStr">
        <is>
          <t>TRƯỢT KHUNG ❌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2, 8, 1</t>
        </is>
      </c>
      <c r="H37" s="7" t="inlineStr">
        <is>
          <t>TRƯỢT ❌</t>
        </is>
      </c>
      <c r="I37" s="3" t="inlineStr">
        <is>
          <t>2, 3, 4</t>
        </is>
      </c>
      <c r="J37" s="7" t="inlineStr">
        <is>
          <t>TRƯỢT ❌</t>
        </is>
      </c>
      <c r="K37" s="3" t="inlineStr">
        <is>
          <t>12, 13, 14, 22, 23, 24, 82, 83, 84</t>
        </is>
      </c>
      <c r="L37" s="7" t="inlineStr">
        <is>
          <t>TRƯỢT ❌</t>
        </is>
      </c>
      <c r="M37" s="7" t="inlineStr">
        <is>
          <t>TRƯỢT KHUNG ❌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2, 8, 1</t>
        </is>
      </c>
      <c r="H38" s="6" t="inlineStr">
        <is>
          <t>TRÚNG 🎯</t>
        </is>
      </c>
      <c r="I38" s="3" t="inlineStr">
        <is>
          <t>2, 4, 3</t>
        </is>
      </c>
      <c r="J38" s="7" t="inlineStr">
        <is>
          <t>TRƯỢT ❌</t>
        </is>
      </c>
      <c r="K38" s="3" t="inlineStr">
        <is>
          <t>12, 13, 14, 22, 23, 24, 82, 83, 84</t>
        </is>
      </c>
      <c r="L38" s="7" t="inlineStr">
        <is>
          <t>TRƯỢT ❌</t>
        </is>
      </c>
      <c r="M38" s="7" t="inlineStr">
        <is>
          <t>TRƯỢT KHUNG ❌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2, 8, 3</t>
        </is>
      </c>
      <c r="H39" s="7" t="inlineStr">
        <is>
          <t>TRƯỢT ❌</t>
        </is>
      </c>
      <c r="I39" s="3" t="inlineStr">
        <is>
          <t>4, 2, 3</t>
        </is>
      </c>
      <c r="J39" s="7" t="inlineStr">
        <is>
          <t>TRƯỢT ❌</t>
        </is>
      </c>
      <c r="K39" s="3" t="inlineStr">
        <is>
          <t>22, 23, 24, 32, 33, 34, 82, 83, 84</t>
        </is>
      </c>
      <c r="L39" s="7" t="inlineStr">
        <is>
          <t>TRƯỢT ❌</t>
        </is>
      </c>
      <c r="M39" s="6" t="inlineStr">
        <is>
          <t>TRÚNG KHUNG 🎯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2, 8, 7</t>
        </is>
      </c>
      <c r="H40" s="7" t="inlineStr">
        <is>
          <t>TRƯỢT ❌</t>
        </is>
      </c>
      <c r="I40" s="3" t="inlineStr">
        <is>
          <t>4, 2, 3</t>
        </is>
      </c>
      <c r="J40" s="6" t="inlineStr">
        <is>
          <t>TRÚNG 🎯</t>
        </is>
      </c>
      <c r="K40" s="3" t="inlineStr">
        <is>
          <t>22, 23, 24, 72, 73, 74, 82, 83, 84</t>
        </is>
      </c>
      <c r="L40" s="7" t="inlineStr">
        <is>
          <t>TRƯỢT ❌</t>
        </is>
      </c>
      <c r="M40" s="7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2, 7, 8</t>
        </is>
      </c>
      <c r="H41" s="6" t="inlineStr">
        <is>
          <t>TRÚNG 🎯</t>
        </is>
      </c>
      <c r="I41" s="3" t="inlineStr">
        <is>
          <t>4, 2, 1</t>
        </is>
      </c>
      <c r="J41" s="7" t="inlineStr">
        <is>
          <t>TRƯỢT ❌</t>
        </is>
      </c>
      <c r="K41" s="3" t="inlineStr">
        <is>
          <t>21, 22, 24, 71, 72, 74, 81, 82, 84</t>
        </is>
      </c>
      <c r="L41" s="7" t="inlineStr">
        <is>
          <t>TRƯỢT ❌</t>
        </is>
      </c>
      <c r="M41" s="7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2, 7, 4</t>
        </is>
      </c>
      <c r="H42" s="6" t="inlineStr">
        <is>
          <t>TRÚNG 🎯</t>
        </is>
      </c>
      <c r="I42" s="3" t="inlineStr">
        <is>
          <t>4, 1, 2</t>
        </is>
      </c>
      <c r="J42" s="7" t="inlineStr">
        <is>
          <t>TRƯỢT ❌</t>
        </is>
      </c>
      <c r="K42" s="3" t="inlineStr">
        <is>
          <t>21, 22, 24, 41, 42, 44, 71, 72, 74</t>
        </is>
      </c>
      <c r="L42" s="7" t="inlineStr">
        <is>
          <t>TRƯỢT ❌</t>
        </is>
      </c>
      <c r="M42" s="7" t="inlineStr">
        <is>
          <t>TRƯỢT KHUNG ❌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2, 1, 6</t>
        </is>
      </c>
      <c r="H43" s="7" t="inlineStr">
        <is>
          <t>TRƯỢT ❌</t>
        </is>
      </c>
      <c r="I43" s="3" t="inlineStr">
        <is>
          <t>4, 1, 8</t>
        </is>
      </c>
      <c r="J43" s="6" t="inlineStr">
        <is>
          <t>TRÚNG 🎯</t>
        </is>
      </c>
      <c r="K43" s="3" t="inlineStr">
        <is>
          <t>11, 14, 18, 21, 24, 28, 61, 64, 68</t>
        </is>
      </c>
      <c r="L43" s="7" t="inlineStr">
        <is>
          <t>TRƯỢT ❌</t>
        </is>
      </c>
      <c r="M43" s="7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2, 6, 1</t>
        </is>
      </c>
      <c r="H44" s="7" t="inlineStr">
        <is>
          <t>TRƯỢT ❌</t>
        </is>
      </c>
      <c r="I44" s="3" t="inlineStr">
        <is>
          <t>8, 4, 7</t>
        </is>
      </c>
      <c r="J44" s="7" t="inlineStr">
        <is>
          <t>TRƯỢT ❌</t>
        </is>
      </c>
      <c r="K44" s="3" t="inlineStr">
        <is>
          <t>14, 17, 18, 24, 27, 28, 64, 67, 68</t>
        </is>
      </c>
      <c r="L44" s="7" t="inlineStr">
        <is>
          <t>TRƯỢT ❌</t>
        </is>
      </c>
      <c r="M44" s="7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2, 6, 1</t>
        </is>
      </c>
      <c r="H45" s="7" t="inlineStr">
        <is>
          <t>TRƯỢT ❌</t>
        </is>
      </c>
      <c r="I45" s="3" t="inlineStr">
        <is>
          <t>4, 8, 7</t>
        </is>
      </c>
      <c r="J45" s="7" t="inlineStr">
        <is>
          <t>TRƯỢT ❌</t>
        </is>
      </c>
      <c r="K45" s="3" t="inlineStr">
        <is>
          <t>14, 17, 18, 24, 27, 28, 64, 67, 68</t>
        </is>
      </c>
      <c r="L45" s="7" t="inlineStr">
        <is>
          <t>TRƯỢT ❌</t>
        </is>
      </c>
      <c r="M45" s="7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2, 6, 8</t>
        </is>
      </c>
      <c r="H46" s="7" t="inlineStr">
        <is>
          <t>TRƯỢT ❌</t>
        </is>
      </c>
      <c r="I46" s="3" t="inlineStr">
        <is>
          <t>8, 4, 7</t>
        </is>
      </c>
      <c r="J46" s="7" t="inlineStr">
        <is>
          <t>TRƯỢT ❌</t>
        </is>
      </c>
      <c r="K46" s="3" t="inlineStr">
        <is>
          <t>24, 27, 28, 64, 67, 68, 84, 87, 88</t>
        </is>
      </c>
      <c r="L46" s="7" t="inlineStr">
        <is>
          <t>TRƯỢT ❌</t>
        </is>
      </c>
      <c r="M46" s="7" t="inlineStr">
        <is>
          <t>TRƯỢT KHUNG ❌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2, 6, 8</t>
        </is>
      </c>
      <c r="H47" s="7" t="inlineStr">
        <is>
          <t>TRƯỢT ❌</t>
        </is>
      </c>
      <c r="I47" s="3" t="inlineStr">
        <is>
          <t>7, 8, 4</t>
        </is>
      </c>
      <c r="J47" s="6" t="inlineStr">
        <is>
          <t>TRÚNG 🎯</t>
        </is>
      </c>
      <c r="K47" s="3" t="inlineStr">
        <is>
          <t>24, 27, 28, 64, 67, 68, 84, 87, 88</t>
        </is>
      </c>
      <c r="L47" s="7" t="inlineStr">
        <is>
          <t>TRƯỢT ❌</t>
        </is>
      </c>
      <c r="M47" s="7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8, 6, 2</t>
        </is>
      </c>
      <c r="H48" s="7" t="inlineStr">
        <is>
          <t>TRƯỢT ❌</t>
        </is>
      </c>
      <c r="I48" s="3" t="inlineStr">
        <is>
          <t>1, 4, 8</t>
        </is>
      </c>
      <c r="J48" s="7" t="inlineStr">
        <is>
          <t>TRƯỢT ❌</t>
        </is>
      </c>
      <c r="K48" s="3" t="inlineStr">
        <is>
          <t>21, 24, 28, 61, 64, 68, 81, 84, 88</t>
        </is>
      </c>
      <c r="L48" s="7" t="inlineStr">
        <is>
          <t>TRƯỢT ❌</t>
        </is>
      </c>
      <c r="M48" s="6" t="inlineStr">
        <is>
          <t>TRÚNG KHUNG 🎯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8, 6, 7</t>
        </is>
      </c>
      <c r="H49" s="7" t="inlineStr">
        <is>
          <t>TRƯỢT ❌</t>
        </is>
      </c>
      <c r="I49" s="3" t="inlineStr">
        <is>
          <t>1, 4, 8</t>
        </is>
      </c>
      <c r="J49" s="6" t="inlineStr">
        <is>
          <t>TRÚNG 🎯</t>
        </is>
      </c>
      <c r="K49" s="3" t="inlineStr">
        <is>
          <t>61, 64, 68, 71, 74, 78, 81, 84, 88</t>
        </is>
      </c>
      <c r="L49" s="7" t="inlineStr">
        <is>
          <t>TRƯỢT ❌</t>
        </is>
      </c>
      <c r="M49" s="6" t="inlineStr">
        <is>
          <t>TRÚNG KHUNG 🎯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6, 7, 8</t>
        </is>
      </c>
      <c r="H50" s="6" t="inlineStr">
        <is>
          <t>TRÚNG 🎯</t>
        </is>
      </c>
      <c r="I50" s="3" t="inlineStr">
        <is>
          <t>4, 2, 8</t>
        </is>
      </c>
      <c r="J50" s="7" t="inlineStr">
        <is>
          <t>TRƯỢT ❌</t>
        </is>
      </c>
      <c r="K50" s="3" t="inlineStr">
        <is>
          <t>62, 64, 68, 72, 74, 78, 82, 84, 88</t>
        </is>
      </c>
      <c r="L50" s="7" t="inlineStr">
        <is>
          <t>TRƯỢT ❌</t>
        </is>
      </c>
      <c r="M50" s="7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7, 6, 1</t>
        </is>
      </c>
      <c r="H51" s="6" t="inlineStr">
        <is>
          <t>TRÚNG 🎯</t>
        </is>
      </c>
      <c r="I51" s="3" t="inlineStr">
        <is>
          <t>2, 5, 8</t>
        </is>
      </c>
      <c r="J51" s="7" t="inlineStr">
        <is>
          <t>TRƯỢT ❌</t>
        </is>
      </c>
      <c r="K51" s="3" t="inlineStr">
        <is>
          <t>12, 15, 18, 62, 65, 68, 72, 75, 78</t>
        </is>
      </c>
      <c r="L51" s="7" t="inlineStr">
        <is>
          <t>TRƯỢT ❌</t>
        </is>
      </c>
      <c r="M51" s="6" t="inlineStr">
        <is>
          <t>TRÚNG KHUNG 🎯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7, 6, 8</t>
        </is>
      </c>
      <c r="H52" s="7" t="inlineStr">
        <is>
          <t>TRƯỢT ❌</t>
        </is>
      </c>
      <c r="I52" s="3" t="inlineStr">
        <is>
          <t>7, 2, 5</t>
        </is>
      </c>
      <c r="J52" s="6" t="inlineStr">
        <is>
          <t>TRÚNG 🎯</t>
        </is>
      </c>
      <c r="K52" s="3" t="inlineStr">
        <is>
          <t>62, 65, 67, 72, 75, 77, 82, 85, 87</t>
        </is>
      </c>
      <c r="L52" s="7" t="inlineStr">
        <is>
          <t>TRƯỢT ❌</t>
        </is>
      </c>
      <c r="M52" s="7" t="inlineStr">
        <is>
          <t>TRƯỢT KHUNG ❌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7, 6, 3</t>
        </is>
      </c>
      <c r="H53" s="7" t="inlineStr">
        <is>
          <t>TRƯỢT ❌</t>
        </is>
      </c>
      <c r="I53" s="3" t="inlineStr">
        <is>
          <t>0, 7, 5</t>
        </is>
      </c>
      <c r="J53" s="6" t="inlineStr">
        <is>
          <t>TRÚNG 🎯</t>
        </is>
      </c>
      <c r="K53" s="3" t="inlineStr">
        <is>
          <t>30, 35, 37, 60, 65, 67, 70, 75, 77</t>
        </is>
      </c>
      <c r="L53" s="7" t="inlineStr">
        <is>
          <t>TRƯỢT ❌</t>
        </is>
      </c>
      <c r="M53" s="6" t="inlineStr">
        <is>
          <t>TRÚNG KHUNG 🎯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7, 6, 3</t>
        </is>
      </c>
      <c r="H54" s="6" t="inlineStr">
        <is>
          <t>TRÚNG 🎯</t>
        </is>
      </c>
      <c r="I54" s="3" t="inlineStr">
        <is>
          <t>0, 7, 1</t>
        </is>
      </c>
      <c r="J54" s="6" t="inlineStr">
        <is>
          <t>TRÚNG 🎯</t>
        </is>
      </c>
      <c r="K54" s="3" t="inlineStr">
        <is>
          <t>30, 31, 37, 60, 61, 67, 70, 71, 77</t>
        </is>
      </c>
      <c r="L54" s="6" t="inlineStr">
        <is>
          <t>TRÚNG 🎯</t>
        </is>
      </c>
      <c r="M54" s="6" t="inlineStr">
        <is>
          <t>TRÚNG KHUNG 🎯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7, 6, 8</t>
        </is>
      </c>
      <c r="H55" s="7" t="inlineStr">
        <is>
          <t>TRƯỢT ❌</t>
        </is>
      </c>
      <c r="I55" s="3" t="inlineStr">
        <is>
          <t>1, 0, 2</t>
        </is>
      </c>
      <c r="J55" s="7" t="inlineStr">
        <is>
          <t>TRƯỢT ❌</t>
        </is>
      </c>
      <c r="K55" s="3" t="inlineStr">
        <is>
          <t>60, 61, 62, 70, 71, 72, 80, 81, 82</t>
        </is>
      </c>
      <c r="L55" s="7" t="inlineStr">
        <is>
          <t>TRƯỢT ❌</t>
        </is>
      </c>
      <c r="M55" s="7" t="inlineStr">
        <is>
          <t>TRƯỢT KHUNG ❌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7, 8, 1</t>
        </is>
      </c>
      <c r="H56" s="7" t="inlineStr">
        <is>
          <t>TRƯỢT ❌</t>
        </is>
      </c>
      <c r="I56" s="3" t="inlineStr">
        <is>
          <t>1, 0, 2</t>
        </is>
      </c>
      <c r="J56" s="7" t="inlineStr">
        <is>
          <t>TRƯỢT ❌</t>
        </is>
      </c>
      <c r="K56" s="3" t="inlineStr">
        <is>
          <t>10, 11, 12, 70, 71, 72, 80, 81, 82</t>
        </is>
      </c>
      <c r="L56" s="7" t="inlineStr">
        <is>
          <t>TRƯỢT ❌</t>
        </is>
      </c>
      <c r="M56" s="7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7, 1, 8</t>
        </is>
      </c>
      <c r="H57" s="6" t="inlineStr">
        <is>
          <t>TRÚNG 🎯</t>
        </is>
      </c>
      <c r="I57" s="3" t="inlineStr">
        <is>
          <t>1, 0, 2</t>
        </is>
      </c>
      <c r="J57" s="7" t="inlineStr">
        <is>
          <t>TRƯỢT ❌</t>
        </is>
      </c>
      <c r="K57" s="3" t="inlineStr">
        <is>
          <t>10, 11, 12, 70, 71, 72, 80, 81, 82</t>
        </is>
      </c>
      <c r="L57" s="7" t="inlineStr">
        <is>
          <t>TRƯỢT ❌</t>
        </is>
      </c>
      <c r="M57" s="7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7, 1, 3</t>
        </is>
      </c>
      <c r="H58" s="7" t="inlineStr">
        <is>
          <t>TRƯỢT ❌</t>
        </is>
      </c>
      <c r="I58" s="3" t="inlineStr">
        <is>
          <t>1, 5, 0</t>
        </is>
      </c>
      <c r="J58" s="6" t="inlineStr">
        <is>
          <t>TRÚNG 🎯</t>
        </is>
      </c>
      <c r="K58" s="3" t="inlineStr">
        <is>
          <t>10, 11, 15, 30, 31, 35, 70, 71, 75</t>
        </is>
      </c>
      <c r="L58" s="7" t="inlineStr">
        <is>
          <t>TRƯỢT ❌</t>
        </is>
      </c>
      <c r="M58" s="7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7, 1, 3</t>
        </is>
      </c>
      <c r="H59" s="7" t="inlineStr">
        <is>
          <t>TRƯỢT ❌</t>
        </is>
      </c>
      <c r="I59" s="3" t="inlineStr">
        <is>
          <t>7, 5, 0</t>
        </is>
      </c>
      <c r="J59" s="7" t="inlineStr">
        <is>
          <t>TRƯỢT ❌</t>
        </is>
      </c>
      <c r="K59" s="3" t="inlineStr">
        <is>
          <t>10, 15, 17, 30, 35, 37, 70, 75, 77</t>
        </is>
      </c>
      <c r="L59" s="7" t="inlineStr">
        <is>
          <t>TRƯỢT ❌</t>
        </is>
      </c>
      <c r="M59" s="7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1, 7, 3</t>
        </is>
      </c>
      <c r="H60" s="7" t="inlineStr">
        <is>
          <t>TRƯỢT ❌</t>
        </is>
      </c>
      <c r="I60" s="3" t="inlineStr">
        <is>
          <t>7, 5, 1</t>
        </is>
      </c>
      <c r="J60" s="6" t="inlineStr">
        <is>
          <t>TRÚNG 🎯</t>
        </is>
      </c>
      <c r="K60" s="3" t="inlineStr">
        <is>
          <t>11, 15, 17, 31, 35, 37, 71, 75, 77</t>
        </is>
      </c>
      <c r="L60" s="7" t="inlineStr">
        <is>
          <t>TRƯỢT ❌</t>
        </is>
      </c>
      <c r="M60" s="7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1, 7, 0</t>
        </is>
      </c>
      <c r="H61" s="6" t="inlineStr">
        <is>
          <t>TRÚNG 🎯</t>
        </is>
      </c>
      <c r="I61" s="3" t="inlineStr">
        <is>
          <t>5, 1, 3</t>
        </is>
      </c>
      <c r="J61" s="7" t="inlineStr">
        <is>
          <t>TRƯỢT ❌</t>
        </is>
      </c>
      <c r="K61" s="3" t="inlineStr">
        <is>
          <t>01, 03, 05, 11, 13, 15, 71, 73, 75</t>
        </is>
      </c>
      <c r="L61" s="7" t="inlineStr">
        <is>
          <t>TRƯỢT ❌</t>
        </is>
      </c>
      <c r="M61" s="7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1, 0, 3</t>
        </is>
      </c>
      <c r="H62" s="6" t="inlineStr">
        <is>
          <t>TRÚNG 🎯</t>
        </is>
      </c>
      <c r="I62" s="3" t="inlineStr">
        <is>
          <t>3, 5, 1</t>
        </is>
      </c>
      <c r="J62" s="7" t="inlineStr">
        <is>
          <t>TRƯỢT ❌</t>
        </is>
      </c>
      <c r="K62" s="3" t="inlineStr">
        <is>
          <t>01, 03, 05, 11, 13, 15, 31, 33, 35</t>
        </is>
      </c>
      <c r="L62" s="7" t="inlineStr">
        <is>
          <t>TRƯỢT ❌</t>
        </is>
      </c>
      <c r="M62" s="7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0, 8, 9</t>
        </is>
      </c>
      <c r="H63" s="7" t="inlineStr">
        <is>
          <t>TRƯỢT ❌</t>
        </is>
      </c>
      <c r="I63" s="3" t="inlineStr">
        <is>
          <t>1, 3, 5</t>
        </is>
      </c>
      <c r="J63" s="7" t="inlineStr">
        <is>
          <t>TRƯỢT ❌</t>
        </is>
      </c>
      <c r="K63" s="3" t="inlineStr">
        <is>
          <t>01, 03, 05, 81, 83, 85, 91, 93, 95</t>
        </is>
      </c>
      <c r="L63" s="7" t="inlineStr">
        <is>
          <t>TRƯỢT ❌</t>
        </is>
      </c>
      <c r="M63" s="7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0, 8, 9</t>
        </is>
      </c>
      <c r="H64" s="7" t="inlineStr">
        <is>
          <t>TRƯỢT ❌</t>
        </is>
      </c>
      <c r="I64" s="3" t="inlineStr">
        <is>
          <t>1, 3, 7</t>
        </is>
      </c>
      <c r="J64" s="7" t="inlineStr">
        <is>
          <t>TRƯỢT ❌</t>
        </is>
      </c>
      <c r="K64" s="3" t="inlineStr">
        <is>
          <t>01, 03, 07, 81, 83, 87, 91, 93, 97</t>
        </is>
      </c>
      <c r="L64" s="7" t="inlineStr">
        <is>
          <t>TRƯỢT ❌</t>
        </is>
      </c>
      <c r="M64" s="7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8, 9, 7</t>
        </is>
      </c>
      <c r="H65" s="7" t="inlineStr">
        <is>
          <t>TRƯỢT ❌</t>
        </is>
      </c>
      <c r="I65" s="3" t="inlineStr">
        <is>
          <t>7, 1, 3</t>
        </is>
      </c>
      <c r="J65" s="6" t="inlineStr">
        <is>
          <t>TRÚNG 🎯</t>
        </is>
      </c>
      <c r="K65" s="3" t="inlineStr">
        <is>
          <t>71, 73, 77, 81, 83, 87, 91, 93, 97</t>
        </is>
      </c>
      <c r="L65" s="7" t="inlineStr">
        <is>
          <t>TRƯỢT ❌</t>
        </is>
      </c>
      <c r="M65" s="7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7, 9, 0</t>
        </is>
      </c>
      <c r="H66" s="7" t="inlineStr">
        <is>
          <t>TRƯỢT ❌</t>
        </is>
      </c>
      <c r="I66" s="3" t="inlineStr">
        <is>
          <t>7, 8, 3</t>
        </is>
      </c>
      <c r="J66" s="7" t="inlineStr">
        <is>
          <t>TRƯỢT ❌</t>
        </is>
      </c>
      <c r="K66" s="3" t="inlineStr">
        <is>
          <t>03, 07, 08, 73, 77, 78, 93, 97, 98</t>
        </is>
      </c>
      <c r="L66" s="7" t="inlineStr">
        <is>
          <t>TRƯỢT ❌</t>
        </is>
      </c>
      <c r="M66" s="7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1, 7, 0</t>
        </is>
      </c>
      <c r="H67" s="7" t="inlineStr">
        <is>
          <t>TRƯỢT ❌</t>
        </is>
      </c>
      <c r="I67" s="3" t="inlineStr">
        <is>
          <t>7, 8, 3</t>
        </is>
      </c>
      <c r="J67" s="7" t="inlineStr">
        <is>
          <t>TRƯỢT ❌</t>
        </is>
      </c>
      <c r="K67" s="3" t="inlineStr">
        <is>
          <t>03, 07, 08, 13, 17, 18, 73, 77, 78</t>
        </is>
      </c>
      <c r="L67" s="7" t="inlineStr">
        <is>
          <t>TRƯỢT ❌</t>
        </is>
      </c>
      <c r="M67" s="7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1, 7, 0</t>
        </is>
      </c>
      <c r="H68" s="7" t="inlineStr">
        <is>
          <t>TRƯỢT ❌</t>
        </is>
      </c>
      <c r="I68" s="3" t="inlineStr">
        <is>
          <t>7, 8, 3</t>
        </is>
      </c>
      <c r="J68" s="7" t="inlineStr">
        <is>
          <t>TRƯỢT ❌</t>
        </is>
      </c>
      <c r="K68" s="3" t="inlineStr">
        <is>
          <t>03, 07, 08, 13, 17, 18, 73, 77, 78</t>
        </is>
      </c>
      <c r="L68" s="7" t="inlineStr">
        <is>
          <t>TRƯỢT ❌</t>
        </is>
      </c>
      <c r="M68" s="7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7, 1, 5</t>
        </is>
      </c>
      <c r="H69" s="7" t="inlineStr">
        <is>
          <t>TRƯỢT ❌</t>
        </is>
      </c>
      <c r="I69" s="3" t="inlineStr">
        <is>
          <t>8, 3, 7</t>
        </is>
      </c>
      <c r="J69" s="6" t="inlineStr">
        <is>
          <t>TRÚNG 🎯</t>
        </is>
      </c>
      <c r="K69" s="3" t="inlineStr">
        <is>
          <t>13, 17, 18, 53, 57, 58, 73, 77, 78</t>
        </is>
      </c>
      <c r="L69" s="7" t="inlineStr">
        <is>
          <t>TRƯỢT ❌</t>
        </is>
      </c>
      <c r="M69" s="7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5, 7, 1</t>
        </is>
      </c>
      <c r="H70" s="7" t="inlineStr">
        <is>
          <t>TRƯỢT ❌</t>
        </is>
      </c>
      <c r="I70" s="3" t="inlineStr">
        <is>
          <t>1, 3, 7</t>
        </is>
      </c>
      <c r="J70" s="7" t="inlineStr">
        <is>
          <t>TRƯỢT ❌</t>
        </is>
      </c>
      <c r="K70" s="3" t="inlineStr">
        <is>
          <t>11, 13, 17, 51, 53, 57, 71, 73, 77</t>
        </is>
      </c>
      <c r="L70" s="7" t="inlineStr">
        <is>
          <t>TRƯỢT ❌</t>
        </is>
      </c>
      <c r="M70" s="7" t="inlineStr">
        <is>
          <t>TRƯỢT KHUNG ❌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5, 7, 3</t>
        </is>
      </c>
      <c r="H71" s="6" t="inlineStr">
        <is>
          <t>TRÚNG 🎯</t>
        </is>
      </c>
      <c r="I71" s="3" t="inlineStr">
        <is>
          <t>1, 7, 9</t>
        </is>
      </c>
      <c r="J71" s="6" t="inlineStr">
        <is>
          <t>TRÚNG 🎯</t>
        </is>
      </c>
      <c r="K71" s="3" t="inlineStr">
        <is>
          <t>31, 37, 39, 51, 57, 59, 71, 77, 79</t>
        </is>
      </c>
      <c r="L71" s="6" t="inlineStr">
        <is>
          <t>TRÚNG 🎯</t>
        </is>
      </c>
      <c r="M71" s="6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7, 3, 8</t>
        </is>
      </c>
      <c r="H72" s="7" t="inlineStr">
        <is>
          <t>TRƯỢT ❌</t>
        </is>
      </c>
      <c r="I72" s="3" t="inlineStr">
        <is>
          <t>1, 7, 0</t>
        </is>
      </c>
      <c r="J72" s="7" t="inlineStr">
        <is>
          <t>TRƯỢT ❌</t>
        </is>
      </c>
      <c r="K72" s="3" t="inlineStr">
        <is>
          <t>30, 31, 37, 70, 71, 77, 80, 81, 87</t>
        </is>
      </c>
      <c r="L72" s="7" t="inlineStr">
        <is>
          <t>TRƯỢT ❌</t>
        </is>
      </c>
      <c r="M72" s="6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3, 8, 5</t>
        </is>
      </c>
      <c r="H73" s="7" t="inlineStr">
        <is>
          <t>TRƯỢT ❌</t>
        </is>
      </c>
      <c r="I73" s="3" t="inlineStr">
        <is>
          <t>1, 0, 2</t>
        </is>
      </c>
      <c r="J73" s="6" t="inlineStr">
        <is>
          <t>TRÚNG 🎯</t>
        </is>
      </c>
      <c r="K73" s="3" t="inlineStr">
        <is>
          <t>30, 31, 32, 50, 51, 52, 80, 81, 82</t>
        </is>
      </c>
      <c r="L73" s="7" t="inlineStr">
        <is>
          <t>TRƯỢT ❌</t>
        </is>
      </c>
      <c r="M73" s="6" t="inlineStr">
        <is>
          <t>TRÚNG KHUNG 🎯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5, 3, 8</t>
        </is>
      </c>
      <c r="H74" s="6" t="inlineStr">
        <is>
          <t>TRÚNG 🎯</t>
        </is>
      </c>
      <c r="I74" s="3" t="inlineStr">
        <is>
          <t>1, 2, 7</t>
        </is>
      </c>
      <c r="J74" s="6" t="inlineStr">
        <is>
          <t>TRÚNG 🎯</t>
        </is>
      </c>
      <c r="K74" s="3" t="inlineStr">
        <is>
          <t>31, 32, 37, 51, 52, 57, 81, 82, 87</t>
        </is>
      </c>
      <c r="L74" s="6" t="inlineStr">
        <is>
          <t>TRÚNG 🎯</t>
        </is>
      </c>
      <c r="M74" s="6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8, 5, 1</t>
        </is>
      </c>
      <c r="H75" s="7" t="inlineStr">
        <is>
          <t>TRƯỢT ❌</t>
        </is>
      </c>
      <c r="I75" s="3" t="inlineStr">
        <is>
          <t>1, 7, 8</t>
        </is>
      </c>
      <c r="J75" s="7" t="inlineStr">
        <is>
          <t>TRƯỢT ❌</t>
        </is>
      </c>
      <c r="K75" s="3" t="inlineStr">
        <is>
          <t>11, 17, 18, 51, 57, 58, 81, 87, 88</t>
        </is>
      </c>
      <c r="L75" s="7" t="inlineStr">
        <is>
          <t>TRƯỢT ❌</t>
        </is>
      </c>
      <c r="M75" s="6" t="inlineStr">
        <is>
          <t>TRÚNG KHUNG 🎯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5, 1, 3</t>
        </is>
      </c>
      <c r="H76" s="7" t="inlineStr">
        <is>
          <t>TRƯỢT ❌</t>
        </is>
      </c>
      <c r="I76" s="3" t="inlineStr">
        <is>
          <t>1, 8, 7</t>
        </is>
      </c>
      <c r="J76" s="6" t="inlineStr">
        <is>
          <t>TRÚNG 🎯</t>
        </is>
      </c>
      <c r="K76" s="3" t="inlineStr">
        <is>
          <t>11, 17, 18, 31, 37, 38, 51, 57, 58</t>
        </is>
      </c>
      <c r="L76" s="7" t="inlineStr">
        <is>
          <t>TRƯỢT ❌</t>
        </is>
      </c>
      <c r="M76" s="7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5, 4, 1</t>
        </is>
      </c>
      <c r="H77" s="7" t="inlineStr">
        <is>
          <t>TRƯỢT ❌</t>
        </is>
      </c>
      <c r="I77" s="3" t="inlineStr">
        <is>
          <t>8, 1, 9</t>
        </is>
      </c>
      <c r="J77" s="7" t="inlineStr">
        <is>
          <t>TRƯỢT ❌</t>
        </is>
      </c>
      <c r="K77" s="3" t="inlineStr">
        <is>
          <t>11, 18, 19, 41, 48, 49, 51, 58, 59</t>
        </is>
      </c>
      <c r="L77" s="7" t="inlineStr">
        <is>
          <t>TRƯỢT ❌</t>
        </is>
      </c>
      <c r="M77" s="7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5, 4, 1</t>
        </is>
      </c>
      <c r="H78" s="7" t="inlineStr">
        <is>
          <t>TRƯỢT ❌</t>
        </is>
      </c>
      <c r="I78" s="3" t="inlineStr">
        <is>
          <t>8, 1, 0</t>
        </is>
      </c>
      <c r="J78" s="7" t="inlineStr">
        <is>
          <t>TRƯỢT ❌</t>
        </is>
      </c>
      <c r="K78" s="3" t="inlineStr">
        <is>
          <t>10, 11, 18, 40, 41, 48, 50, 51, 58</t>
        </is>
      </c>
      <c r="L78" s="7" t="inlineStr">
        <is>
          <t>TRƯỢT ❌</t>
        </is>
      </c>
      <c r="M78" s="7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5, 4, 3</t>
        </is>
      </c>
      <c r="H79" s="7" t="inlineStr">
        <is>
          <t>TRƯỢT ❌</t>
        </is>
      </c>
      <c r="I79" s="3" t="inlineStr">
        <is>
          <t>8, 1, 2</t>
        </is>
      </c>
      <c r="J79" s="7" t="inlineStr">
        <is>
          <t>TRƯỢT ❌</t>
        </is>
      </c>
      <c r="K79" s="3" t="inlineStr">
        <is>
          <t>31, 32, 38, 41, 42, 48, 51, 52, 58</t>
        </is>
      </c>
      <c r="L79" s="7" t="inlineStr">
        <is>
          <t>TRƯỢT ❌</t>
        </is>
      </c>
      <c r="M79" s="7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5, 4, 8</t>
        </is>
      </c>
      <c r="H80" s="6" t="inlineStr">
        <is>
          <t>TRÚNG 🎯</t>
        </is>
      </c>
      <c r="I80" s="3" t="inlineStr">
        <is>
          <t>8, 9, 2</t>
        </is>
      </c>
      <c r="J80" s="7" t="inlineStr">
        <is>
          <t>TRƯỢT ❌</t>
        </is>
      </c>
      <c r="K80" s="3" t="inlineStr">
        <is>
          <t>42, 48, 49, 52, 58, 59, 82, 88, 89</t>
        </is>
      </c>
      <c r="L80" s="7" t="inlineStr">
        <is>
          <t>TRƯỢT ❌</t>
        </is>
      </c>
      <c r="M80" s="7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5, 8, 3</t>
        </is>
      </c>
      <c r="H81" s="7" t="inlineStr">
        <is>
          <t>TRƯỢT ❌</t>
        </is>
      </c>
      <c r="I81" s="3" t="inlineStr">
        <is>
          <t>9, 8, 2</t>
        </is>
      </c>
      <c r="J81" s="7" t="inlineStr">
        <is>
          <t>TRƯỢT ❌</t>
        </is>
      </c>
      <c r="K81" s="3" t="inlineStr">
        <is>
          <t>32, 38, 39, 52, 58, 59, 82, 88, 89</t>
        </is>
      </c>
      <c r="L81" s="7" t="inlineStr">
        <is>
          <t>TRƯỢT ❌</t>
        </is>
      </c>
      <c r="M81" s="6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5, 8, 4</t>
        </is>
      </c>
      <c r="H82" s="7" t="inlineStr">
        <is>
          <t>TRƯỢT ❌</t>
        </is>
      </c>
      <c r="I82" s="3" t="inlineStr">
        <is>
          <t>9, 8, 2</t>
        </is>
      </c>
      <c r="J82" s="6" t="inlineStr">
        <is>
          <t>TRÚNG 🎯</t>
        </is>
      </c>
      <c r="K82" s="3" t="inlineStr">
        <is>
          <t>42, 48, 49, 52, 58, 59, 82, 88, 89</t>
        </is>
      </c>
      <c r="L82" s="7" t="inlineStr">
        <is>
          <t>TRƯỢT ❌</t>
        </is>
      </c>
      <c r="M82" s="6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5, 8, 4</t>
        </is>
      </c>
      <c r="H83" s="6" t="inlineStr">
        <is>
          <t>TRÚNG 🎯</t>
        </is>
      </c>
      <c r="I83" s="3" t="inlineStr">
        <is>
          <t>8, 7, 9</t>
        </is>
      </c>
      <c r="J83" s="6" t="inlineStr">
        <is>
          <t>TRÚNG 🎯</t>
        </is>
      </c>
      <c r="K83" s="3" t="inlineStr">
        <is>
          <t>47, 48, 49, 57, 58, 59, 87, 88, 89</t>
        </is>
      </c>
      <c r="L83" s="6" t="inlineStr">
        <is>
          <t>TRÚNG 🎯</t>
        </is>
      </c>
      <c r="M83" s="6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5, 9, 4</t>
        </is>
      </c>
      <c r="H84" s="6" t="inlineStr">
        <is>
          <t>TRÚNG 🎯</t>
        </is>
      </c>
      <c r="I84" s="3" t="inlineStr">
        <is>
          <t>7, 9, 8</t>
        </is>
      </c>
      <c r="J84" s="7" t="inlineStr">
        <is>
          <t>TRƯỢT ❌</t>
        </is>
      </c>
      <c r="K84" s="3" t="inlineStr">
        <is>
          <t>47, 48, 49, 57, 58, 59, 97, 98, 99</t>
        </is>
      </c>
      <c r="L84" s="7" t="inlineStr">
        <is>
          <t>TRƯỢT ❌</t>
        </is>
      </c>
      <c r="M84" s="7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5, 4, 6</t>
        </is>
      </c>
      <c r="H85" s="7" t="inlineStr">
        <is>
          <t>TRƯỢT ❌</t>
        </is>
      </c>
      <c r="I85" s="3" t="inlineStr">
        <is>
          <t>9, 8, 4</t>
        </is>
      </c>
      <c r="J85" s="7" t="inlineStr">
        <is>
          <t>TRƯỢT ❌</t>
        </is>
      </c>
      <c r="K85" s="3" t="inlineStr">
        <is>
          <t>44, 48, 49, 54, 58, 59, 64, 68, 69</t>
        </is>
      </c>
      <c r="L85" s="7" t="inlineStr">
        <is>
          <t>TRƯỢT ❌</t>
        </is>
      </c>
      <c r="M85" s="7" t="inlineStr">
        <is>
          <t>TRƯỢT KHUNG ❌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4, 5, 1</t>
        </is>
      </c>
      <c r="H86" s="7" t="inlineStr">
        <is>
          <t>TRƯỢT ❌</t>
        </is>
      </c>
      <c r="I86" s="3" t="inlineStr">
        <is>
          <t>4, 9, 8</t>
        </is>
      </c>
      <c r="J86" s="7" t="inlineStr">
        <is>
          <t>TRƯỢT ❌</t>
        </is>
      </c>
      <c r="K86" s="3" t="inlineStr">
        <is>
          <t>14, 18, 19, 44, 48, 49, 54, 58, 59</t>
        </is>
      </c>
      <c r="L86" s="7" t="inlineStr">
        <is>
          <t>TRƯỢT ❌</t>
        </is>
      </c>
      <c r="M86" s="7" t="inlineStr">
        <is>
          <t>TRƯỢT KHUNG ❌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4, 5, 8</t>
        </is>
      </c>
      <c r="H87" s="6" t="inlineStr">
        <is>
          <t>TRÚNG 🎯</t>
        </is>
      </c>
      <c r="I87" s="3" t="inlineStr">
        <is>
          <t>9, 4, 8</t>
        </is>
      </c>
      <c r="J87" s="6" t="inlineStr">
        <is>
          <t>TRÚNG 🎯</t>
        </is>
      </c>
      <c r="K87" s="3" t="inlineStr">
        <is>
          <t>44, 48, 49, 54, 58, 59, 84, 88, 89</t>
        </is>
      </c>
      <c r="L87" s="6" t="inlineStr">
        <is>
          <t>TRÚNG 🎯</t>
        </is>
      </c>
      <c r="M87" s="6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4, 5, 9</t>
        </is>
      </c>
      <c r="H88" s="7" t="inlineStr">
        <is>
          <t>TRƯỢT ❌</t>
        </is>
      </c>
      <c r="I88" s="3" t="inlineStr">
        <is>
          <t>9, 4, 8</t>
        </is>
      </c>
      <c r="J88" s="6" t="inlineStr">
        <is>
          <t>TRÚNG 🎯</t>
        </is>
      </c>
      <c r="K88" s="3" t="inlineStr">
        <is>
          <t>44, 48, 49, 54, 58, 59, 94, 98, 99</t>
        </is>
      </c>
      <c r="L88" s="7" t="inlineStr">
        <is>
          <t>TRƯỢT ❌</t>
        </is>
      </c>
      <c r="M88" s="7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4, 5, 9</t>
        </is>
      </c>
      <c r="H89" s="6" t="inlineStr">
        <is>
          <t>TRÚNG 🎯</t>
        </is>
      </c>
      <c r="I89" s="3" t="inlineStr">
        <is>
          <t>9, 8, 0</t>
        </is>
      </c>
      <c r="J89" s="7" t="inlineStr">
        <is>
          <t>TRƯỢT ❌</t>
        </is>
      </c>
      <c r="K89" s="3" t="inlineStr">
        <is>
          <t>40, 48, 49, 50, 58, 59, 90, 98, 99</t>
        </is>
      </c>
      <c r="L89" s="7" t="inlineStr">
        <is>
          <t>TRƯỢT ❌</t>
        </is>
      </c>
      <c r="M89" s="7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5, 4, 2</t>
        </is>
      </c>
      <c r="H90" s="7" t="inlineStr">
        <is>
          <t>TRƯỢT ❌</t>
        </is>
      </c>
      <c r="I90" s="3" t="inlineStr">
        <is>
          <t>9, 8, 2</t>
        </is>
      </c>
      <c r="J90" s="7" t="inlineStr">
        <is>
          <t>TRƯỢT ❌</t>
        </is>
      </c>
      <c r="K90" s="3" t="inlineStr">
        <is>
          <t>22, 28, 29, 42, 48, 49, 52, 58, 59</t>
        </is>
      </c>
      <c r="L90" s="7" t="inlineStr">
        <is>
          <t>TRƯỢT ❌</t>
        </is>
      </c>
      <c r="M90" s="7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2, 4, 5</t>
        </is>
      </c>
      <c r="H91" s="7" t="inlineStr">
        <is>
          <t>TRƯỢT ❌</t>
        </is>
      </c>
      <c r="I91" s="3" t="inlineStr">
        <is>
          <t>9, 2, 8</t>
        </is>
      </c>
      <c r="J91" s="7" t="inlineStr">
        <is>
          <t>TRƯỢT ❌</t>
        </is>
      </c>
      <c r="K91" s="3" t="inlineStr">
        <is>
          <t>22, 28, 29, 42, 48, 49, 52, 58, 59</t>
        </is>
      </c>
      <c r="L91" s="7" t="inlineStr">
        <is>
          <t>TRƯỢT ❌</t>
        </is>
      </c>
      <c r="M91" s="7" t="inlineStr">
        <is>
          <t>TRƯỢT KHUNG ❌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2, 8, 4</t>
        </is>
      </c>
      <c r="H92" s="6" t="inlineStr">
        <is>
          <t>TRÚNG 🎯</t>
        </is>
      </c>
      <c r="I92" s="3" t="inlineStr">
        <is>
          <t>9, 2, 8</t>
        </is>
      </c>
      <c r="J92" s="7" t="inlineStr">
        <is>
          <t>TRƯỢT ❌</t>
        </is>
      </c>
      <c r="K92" s="3" t="inlineStr">
        <is>
          <t>22, 28, 29, 42, 48, 49, 82, 88, 89</t>
        </is>
      </c>
      <c r="L92" s="7" t="inlineStr">
        <is>
          <t>TRƯỢT ❌</t>
        </is>
      </c>
      <c r="M92" s="7" t="inlineStr">
        <is>
          <t>TRƯỢT KHUNG ❌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2, 8, 5</t>
        </is>
      </c>
      <c r="H93" s="7" t="inlineStr">
        <is>
          <t>TRƯỢT ❌</t>
        </is>
      </c>
      <c r="I93" s="3" t="inlineStr">
        <is>
          <t>9, 2, 8</t>
        </is>
      </c>
      <c r="J93" s="7" t="inlineStr">
        <is>
          <t>TRƯỢT ❌</t>
        </is>
      </c>
      <c r="K93" s="3" t="inlineStr">
        <is>
          <t>22, 28, 29, 52, 58, 59, 82, 88, 89</t>
        </is>
      </c>
      <c r="L93" s="7" t="inlineStr">
        <is>
          <t>TRƯỢT ❌</t>
        </is>
      </c>
      <c r="M93" s="7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2, 8, 9</t>
        </is>
      </c>
      <c r="H94" s="7" t="inlineStr">
        <is>
          <t>TRƯỢT ❌</t>
        </is>
      </c>
      <c r="I94" s="3" t="inlineStr">
        <is>
          <t>2, 8, 9</t>
        </is>
      </c>
      <c r="J94" s="7" t="inlineStr">
        <is>
          <t>TRƯỢT ❌</t>
        </is>
      </c>
      <c r="K94" s="3" t="inlineStr">
        <is>
          <t>22, 28, 29, 82, 88, 89, 92, 98, 99</t>
        </is>
      </c>
      <c r="L94" s="7" t="inlineStr">
        <is>
          <t>TRƯỢT ❌</t>
        </is>
      </c>
      <c r="M94" s="6" t="inlineStr">
        <is>
          <t>TRÚNG KHUNG 🎯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8, 9, 2</t>
        </is>
      </c>
      <c r="H95" s="7" t="inlineStr">
        <is>
          <t>TRƯỢT ❌</t>
        </is>
      </c>
      <c r="I95" s="3" t="inlineStr">
        <is>
          <t>8, 2, 4</t>
        </is>
      </c>
      <c r="J95" s="7" t="inlineStr">
        <is>
          <t>TRƯỢT ❌</t>
        </is>
      </c>
      <c r="K95" s="3" t="inlineStr">
        <is>
          <t>22, 24, 28, 82, 84, 88, 92, 94, 98</t>
        </is>
      </c>
      <c r="L95" s="7" t="inlineStr">
        <is>
          <t>TRƯỢT ❌</t>
        </is>
      </c>
      <c r="M95" s="6" t="inlineStr">
        <is>
          <t>TRÚNG KHUNG 🎯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6, 9, 2</t>
        </is>
      </c>
      <c r="H96" s="7" t="inlineStr">
        <is>
          <t>TRƯỢT ❌</t>
        </is>
      </c>
      <c r="I96" s="3" t="inlineStr">
        <is>
          <t>4, 2, 8</t>
        </is>
      </c>
      <c r="J96" s="6" t="inlineStr">
        <is>
          <t>TRÚNG 🎯</t>
        </is>
      </c>
      <c r="K96" s="3" t="inlineStr">
        <is>
          <t>22, 24, 28, 62, 64, 68, 92, 94, 98</t>
        </is>
      </c>
      <c r="L96" s="7" t="inlineStr">
        <is>
          <t>TRƯỢT ❌</t>
        </is>
      </c>
      <c r="M96" s="7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6, 4, 9</t>
        </is>
      </c>
      <c r="H97" s="7" t="inlineStr">
        <is>
          <t>TRƯỢT ❌</t>
        </is>
      </c>
      <c r="I97" s="3" t="inlineStr">
        <is>
          <t>4, 8, 9</t>
        </is>
      </c>
      <c r="J97" s="7" t="inlineStr">
        <is>
          <t>TRƯỢT ❌</t>
        </is>
      </c>
      <c r="K97" s="3" t="inlineStr">
        <is>
          <t>44, 48, 49, 64, 68, 69, 94, 98, 99</t>
        </is>
      </c>
      <c r="L97" s="7" t="inlineStr">
        <is>
          <t>TRƯỢT ❌</t>
        </is>
      </c>
      <c r="M97" s="7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6, 4, 2</t>
        </is>
      </c>
      <c r="H98" s="6" t="inlineStr">
        <is>
          <t>TRÚNG 🎯</t>
        </is>
      </c>
      <c r="I98" s="3" t="inlineStr">
        <is>
          <t>4, 8, 7</t>
        </is>
      </c>
      <c r="J98" s="7" t="inlineStr">
        <is>
          <t>TRƯỢT ❌</t>
        </is>
      </c>
      <c r="K98" s="3" t="inlineStr">
        <is>
          <t>24, 27, 28, 44, 47, 48, 64, 67, 68</t>
        </is>
      </c>
      <c r="L98" s="7" t="inlineStr">
        <is>
          <t>TRƯỢT ❌</t>
        </is>
      </c>
      <c r="M98" s="7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6, 9, 4</t>
        </is>
      </c>
      <c r="H99" s="7" t="inlineStr">
        <is>
          <t>TRƯỢT ❌</t>
        </is>
      </c>
      <c r="I99" s="3" t="inlineStr">
        <is>
          <t>4, 8, 7</t>
        </is>
      </c>
      <c r="J99" s="7" t="inlineStr">
        <is>
          <t>TRƯỢT ❌</t>
        </is>
      </c>
      <c r="K99" s="3" t="inlineStr">
        <is>
          <t>44, 47, 48, 64, 67, 68, 94, 97, 98</t>
        </is>
      </c>
      <c r="L99" s="7" t="inlineStr">
        <is>
          <t>TRƯỢT ❌</t>
        </is>
      </c>
      <c r="M99" s="7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6, 9, 4</t>
        </is>
      </c>
      <c r="H100" s="7" t="inlineStr">
        <is>
          <t>TRƯỢT ❌</t>
        </is>
      </c>
      <c r="I100" s="3" t="inlineStr">
        <is>
          <t>4, 6, 7</t>
        </is>
      </c>
      <c r="J100" s="6" t="inlineStr">
        <is>
          <t>TRÚNG 🎯</t>
        </is>
      </c>
      <c r="K100" s="3" t="inlineStr">
        <is>
          <t>44, 46, 47, 64, 66, 67, 94, 96, 97</t>
        </is>
      </c>
      <c r="L100" s="7" t="inlineStr">
        <is>
          <t>TRƯỢT ❌</t>
        </is>
      </c>
      <c r="M100" s="7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8, 6, 9</t>
        </is>
      </c>
      <c r="H101" s="7" t="inlineStr">
        <is>
          <t>TRƯỢT ❌</t>
        </is>
      </c>
      <c r="I101" s="3" t="inlineStr">
        <is>
          <t>2, 6, 7</t>
        </is>
      </c>
      <c r="J101" s="7" t="inlineStr">
        <is>
          <t>TRƯỢT ❌</t>
        </is>
      </c>
      <c r="K101" s="3" t="inlineStr">
        <is>
          <t>62, 66, 67, 82, 86, 87, 92, 96, 97</t>
        </is>
      </c>
      <c r="L101" s="7" t="inlineStr">
        <is>
          <t>TRƯỢT ❌</t>
        </is>
      </c>
      <c r="M101" s="7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8, 6, 9</t>
        </is>
      </c>
      <c r="H102" s="7" t="inlineStr">
        <is>
          <t>TRƯỢT ❌</t>
        </is>
      </c>
      <c r="I102" s="3" t="inlineStr">
        <is>
          <t>2, 6, 4</t>
        </is>
      </c>
      <c r="J102" s="7" t="inlineStr">
        <is>
          <t>TRƯỢT ❌</t>
        </is>
      </c>
      <c r="K102" s="3" t="inlineStr">
        <is>
          <t>62, 64, 66, 82, 84, 86, 92, 94, 96</t>
        </is>
      </c>
      <c r="L102" s="7" t="inlineStr">
        <is>
          <t>TRƯỢT ❌</t>
        </is>
      </c>
      <c r="M102" s="7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8, 6, 9</t>
        </is>
      </c>
      <c r="H103" s="6" t="inlineStr">
        <is>
          <t>TRÚNG 🎯</t>
        </is>
      </c>
      <c r="I103" s="3" t="inlineStr">
        <is>
          <t>2, 4, 5</t>
        </is>
      </c>
      <c r="J103" s="7" t="inlineStr">
        <is>
          <t>TRƯỢT ❌</t>
        </is>
      </c>
      <c r="K103" s="3" t="inlineStr">
        <is>
          <t>62, 64, 65, 82, 84, 85, 92, 94, 95</t>
        </is>
      </c>
      <c r="L103" s="7" t="inlineStr">
        <is>
          <t>TRƯỢT ❌</t>
        </is>
      </c>
      <c r="M103" s="7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2, 8, 9</t>
        </is>
      </c>
      <c r="H104" s="7" t="inlineStr">
        <is>
          <t>TRƯỢT ❌</t>
        </is>
      </c>
      <c r="I104" s="3" t="inlineStr">
        <is>
          <t>2, 4, 5</t>
        </is>
      </c>
      <c r="J104" s="6" t="inlineStr">
        <is>
          <t>TRÚNG 🎯</t>
        </is>
      </c>
      <c r="K104" s="3" t="inlineStr">
        <is>
          <t>22, 24, 25, 82, 84, 85, 92, 94, 95</t>
        </is>
      </c>
      <c r="L104" s="7" t="inlineStr">
        <is>
          <t>TRƯỢT ❌</t>
        </is>
      </c>
      <c r="M104" s="7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2, 8, 9</t>
        </is>
      </c>
      <c r="H105" s="7" t="inlineStr">
        <is>
          <t>TRƯỢT ❌</t>
        </is>
      </c>
      <c r="I105" s="3" t="inlineStr">
        <is>
          <t>5, 4, 2</t>
        </is>
      </c>
      <c r="J105" s="6" t="inlineStr">
        <is>
          <t>TRÚNG 🎯</t>
        </is>
      </c>
      <c r="K105" s="3" t="inlineStr">
        <is>
          <t>22, 24, 25, 82, 84, 85, 92, 94, 95</t>
        </is>
      </c>
      <c r="L105" s="7" t="inlineStr">
        <is>
          <t>TRƯỢT ❌</t>
        </is>
      </c>
      <c r="M105" s="7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2, 8, 0</t>
        </is>
      </c>
      <c r="H106" s="7" t="inlineStr">
        <is>
          <t>TRƯỢT ❌</t>
        </is>
      </c>
      <c r="I106" s="3" t="inlineStr">
        <is>
          <t>4, 0, 2</t>
        </is>
      </c>
      <c r="J106" s="7" t="inlineStr">
        <is>
          <t>TRƯỢT ❌</t>
        </is>
      </c>
      <c r="K106" s="3" t="inlineStr">
        <is>
          <t>00, 02, 04, 20, 22, 24, 80, 82, 84</t>
        </is>
      </c>
      <c r="L106" s="7" t="inlineStr">
        <is>
          <t>TRƯỢT ❌</t>
        </is>
      </c>
      <c r="M106" s="7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2, 0, 8</t>
        </is>
      </c>
      <c r="H107" s="7" t="inlineStr">
        <is>
          <t>TRƯỢT ❌</t>
        </is>
      </c>
      <c r="I107" s="3" t="inlineStr">
        <is>
          <t>4, 0, 8</t>
        </is>
      </c>
      <c r="J107" s="7" t="inlineStr">
        <is>
          <t>TRƯỢT ❌</t>
        </is>
      </c>
      <c r="K107" s="3" t="inlineStr">
        <is>
          <t>00, 04, 08, 20, 24, 28, 80, 84, 88</t>
        </is>
      </c>
      <c r="L107" s="7" t="inlineStr">
        <is>
          <t>TRƯỢT ❌</t>
        </is>
      </c>
      <c r="M107" s="7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2, 6, 0</t>
        </is>
      </c>
      <c r="H108" s="6" t="inlineStr">
        <is>
          <t>TRÚNG 🎯</t>
        </is>
      </c>
      <c r="I108" s="3" t="inlineStr">
        <is>
          <t>4, 0, 8</t>
        </is>
      </c>
      <c r="J108" s="7" t="inlineStr">
        <is>
          <t>TRƯỢT ❌</t>
        </is>
      </c>
      <c r="K108" s="3" t="inlineStr">
        <is>
          <t>00, 04, 08, 20, 24, 28, 60, 64, 68</t>
        </is>
      </c>
      <c r="L108" s="7" t="inlineStr">
        <is>
          <t>TRƯỢT ❌</t>
        </is>
      </c>
      <c r="M108" s="7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6, 0, 8</t>
        </is>
      </c>
      <c r="H109" s="7" t="inlineStr">
        <is>
          <t>TRƯỢT ❌</t>
        </is>
      </c>
      <c r="I109" s="3" t="inlineStr">
        <is>
          <t>4, 0, 8</t>
        </is>
      </c>
      <c r="J109" s="7" t="inlineStr">
        <is>
          <t>TRƯỢT ❌</t>
        </is>
      </c>
      <c r="K109" s="3" t="inlineStr">
        <is>
          <t>00, 04, 08, 60, 64, 68, 80, 84, 88</t>
        </is>
      </c>
      <c r="L109" s="7" t="inlineStr">
        <is>
          <t>TRƯỢT ❌</t>
        </is>
      </c>
      <c r="M109" s="7" t="inlineStr">
        <is>
          <t>TRƯỢT KHUNG ❌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3, 6, 0</t>
        </is>
      </c>
      <c r="H110" s="7" t="inlineStr">
        <is>
          <t>TRƯỢT ❌</t>
        </is>
      </c>
      <c r="I110" s="3" t="inlineStr">
        <is>
          <t>4, 8, 0</t>
        </is>
      </c>
      <c r="J110" s="7" t="inlineStr">
        <is>
          <t>TRƯỢT ❌</t>
        </is>
      </c>
      <c r="K110" s="3" t="inlineStr">
        <is>
          <t>00, 04, 08, 30, 34, 38, 60, 64, 68</t>
        </is>
      </c>
      <c r="L110" s="7" t="inlineStr">
        <is>
          <t>TRƯỢT ❌</t>
        </is>
      </c>
      <c r="M110" s="7" t="inlineStr">
        <is>
          <t>TRƯỢT KHUNG ❌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3, 6, 5</t>
        </is>
      </c>
      <c r="H111" s="7" t="inlineStr">
        <is>
          <t>TRƯỢT ❌</t>
        </is>
      </c>
      <c r="I111" s="3" t="inlineStr">
        <is>
          <t>4, 0, 2</t>
        </is>
      </c>
      <c r="J111" s="7" t="inlineStr">
        <is>
          <t>TRƯỢT ❌</t>
        </is>
      </c>
      <c r="K111" s="3" t="inlineStr">
        <is>
          <t>30, 32, 34, 50, 52, 54, 60, 62, 64</t>
        </is>
      </c>
      <c r="L111" s="7" t="inlineStr">
        <is>
          <t>TRƯỢT ❌</t>
        </is>
      </c>
      <c r="M111" s="7" t="inlineStr">
        <is>
          <t>TRƯỢT KHUNG ❌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3, 6, 5</t>
        </is>
      </c>
      <c r="H112" s="6" t="inlineStr">
        <is>
          <t>TRÚNG 🎯</t>
        </is>
      </c>
      <c r="I112" s="3" t="inlineStr">
        <is>
          <t>4, 3, 5</t>
        </is>
      </c>
      <c r="J112" s="7" t="inlineStr">
        <is>
          <t>TRƯỢT ❌</t>
        </is>
      </c>
      <c r="K112" s="3" t="inlineStr">
        <is>
          <t>33, 34, 35, 53, 54, 55, 63, 64, 65</t>
        </is>
      </c>
      <c r="L112" s="7" t="inlineStr">
        <is>
          <t>TRƯỢT ❌</t>
        </is>
      </c>
      <c r="M112" s="7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2, 6, 5</t>
        </is>
      </c>
      <c r="H113" s="7" t="inlineStr">
        <is>
          <t>TRƯỢT ❌</t>
        </is>
      </c>
      <c r="I113" s="3" t="inlineStr">
        <is>
          <t>5, 4, 3</t>
        </is>
      </c>
      <c r="J113" s="7" t="inlineStr">
        <is>
          <t>TRƯỢT ❌</t>
        </is>
      </c>
      <c r="K113" s="3" t="inlineStr">
        <is>
          <t>23, 24, 25, 53, 54, 55, 63, 64, 65</t>
        </is>
      </c>
      <c r="L113" s="7" t="inlineStr">
        <is>
          <t>TRƯỢT ❌</t>
        </is>
      </c>
      <c r="M113" s="7" t="inlineStr">
        <is>
          <t>TRƯỢT KHUNG ❌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2, 6, 5</t>
        </is>
      </c>
      <c r="H114" s="7" t="inlineStr">
        <is>
          <t>TRƯỢT ❌</t>
        </is>
      </c>
      <c r="I114" s="3" t="inlineStr">
        <is>
          <t>5, 4, 3</t>
        </is>
      </c>
      <c r="J114" s="7" t="inlineStr">
        <is>
          <t>TRƯỢT ❌</t>
        </is>
      </c>
      <c r="K114" s="3" t="inlineStr">
        <is>
          <t>23, 24, 25, 53, 54, 55, 63, 64, 65</t>
        </is>
      </c>
      <c r="L114" s="7" t="inlineStr">
        <is>
          <t>TRƯỢT ❌</t>
        </is>
      </c>
      <c r="M114" s="7" t="inlineStr">
        <is>
          <t>TRƯỢT KHUNG ❌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2, 6, 0</t>
        </is>
      </c>
      <c r="H115" s="6" t="inlineStr">
        <is>
          <t>TRÚNG 🎯</t>
        </is>
      </c>
      <c r="I115" s="3" t="inlineStr">
        <is>
          <t>5, 4, 0</t>
        </is>
      </c>
      <c r="J115" s="7" t="inlineStr">
        <is>
          <t>TRƯỢT ❌</t>
        </is>
      </c>
      <c r="K115" s="3" t="inlineStr">
        <is>
          <t>00, 04, 05, 20, 24, 25, 60, 64, 65</t>
        </is>
      </c>
      <c r="L115" s="7" t="inlineStr">
        <is>
          <t>TRƯỢT ❌</t>
        </is>
      </c>
      <c r="M115" s="7" t="inlineStr">
        <is>
          <t>TRƯỢT KHUNG ❌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6, 4, 0</t>
        </is>
      </c>
      <c r="H116" s="7" t="inlineStr">
        <is>
          <t>TRƯỢT ❌</t>
        </is>
      </c>
      <c r="I116" s="3" t="inlineStr">
        <is>
          <t>5, 4, 0</t>
        </is>
      </c>
      <c r="J116" s="7" t="inlineStr">
        <is>
          <t>TRƯỢT ❌</t>
        </is>
      </c>
      <c r="K116" s="3" t="inlineStr">
        <is>
          <t>00, 04, 05, 40, 44, 45, 60, 64, 65</t>
        </is>
      </c>
      <c r="L116" s="7" t="inlineStr">
        <is>
          <t>TRƯỢT ❌</t>
        </is>
      </c>
      <c r="M116" s="7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3, 6, 4</t>
        </is>
      </c>
      <c r="H117" s="7" t="inlineStr">
        <is>
          <t>TRƯỢT ❌</t>
        </is>
      </c>
      <c r="I117" s="3" t="inlineStr">
        <is>
          <t>5, 4, 0</t>
        </is>
      </c>
      <c r="J117" s="6" t="inlineStr">
        <is>
          <t>TRÚNG 🎯</t>
        </is>
      </c>
      <c r="K117" s="3" t="inlineStr">
        <is>
          <t>30, 34, 35, 40, 44, 45, 60, 64, 65</t>
        </is>
      </c>
      <c r="L117" s="7" t="inlineStr">
        <is>
          <t>TRƯỢT ❌</t>
        </is>
      </c>
      <c r="M117" s="7" t="inlineStr">
        <is>
          <t>TRƯỢT KHUNG ❌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3, 6, 4</t>
        </is>
      </c>
      <c r="H118" s="6" t="inlineStr">
        <is>
          <t>TRÚNG 🎯</t>
        </is>
      </c>
      <c r="I118" s="3" t="inlineStr">
        <is>
          <t>5, 6, 7</t>
        </is>
      </c>
      <c r="J118" s="7" t="inlineStr">
        <is>
          <t>TRƯỢT ❌</t>
        </is>
      </c>
      <c r="K118" s="3" t="inlineStr">
        <is>
          <t>35, 36, 37, 45, 46, 47, 65, 66, 67</t>
        </is>
      </c>
      <c r="L118" s="7" t="inlineStr">
        <is>
          <t>TRƯỢT ❌</t>
        </is>
      </c>
      <c r="M118" s="6" t="inlineStr">
        <is>
          <t>TRÚNG KHUNG 🎯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3, 4, 2</t>
        </is>
      </c>
      <c r="H119" s="7" t="inlineStr">
        <is>
          <t>TRƯỢT ❌</t>
        </is>
      </c>
      <c r="I119" s="3" t="inlineStr">
        <is>
          <t>5, 6, 7</t>
        </is>
      </c>
      <c r="J119" s="6" t="inlineStr">
        <is>
          <t>TRÚNG 🎯</t>
        </is>
      </c>
      <c r="K119" s="3" t="inlineStr">
        <is>
          <t>25, 26, 27, 35, 36, 37, 45, 46, 47</t>
        </is>
      </c>
      <c r="L119" s="7" t="inlineStr">
        <is>
          <t>TRƯỢT ❌</t>
        </is>
      </c>
      <c r="M119" s="6" t="inlineStr">
        <is>
          <t>TRÚNG KHUNG 🎯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2, 3, 4</t>
        </is>
      </c>
      <c r="H120" s="6" t="inlineStr">
        <is>
          <t>TRÚNG 🎯</t>
        </is>
      </c>
      <c r="I120" s="3" t="inlineStr">
        <is>
          <t>6, 7, 8</t>
        </is>
      </c>
      <c r="J120" s="6" t="inlineStr">
        <is>
          <t>TRÚNG 🎯</t>
        </is>
      </c>
      <c r="K120" s="3" t="inlineStr">
        <is>
          <t>26, 27, 28, 36, 37, 38, 46, 47, 48</t>
        </is>
      </c>
      <c r="L120" s="6" t="inlineStr">
        <is>
          <t>TRÚNG 🎯</t>
        </is>
      </c>
      <c r="M120" s="6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2, 5, 4</t>
        </is>
      </c>
      <c r="H121" s="7" t="inlineStr">
        <is>
          <t>TRƯỢT ❌</t>
        </is>
      </c>
      <c r="I121" s="3" t="inlineStr">
        <is>
          <t>6, 8, 5</t>
        </is>
      </c>
      <c r="J121" s="7" t="inlineStr">
        <is>
          <t>TRƯỢT ❌</t>
        </is>
      </c>
      <c r="K121" s="3" t="inlineStr">
        <is>
          <t>25, 26, 28, 45, 46, 48, 55, 56, 58</t>
        </is>
      </c>
      <c r="L121" s="7" t="inlineStr">
        <is>
          <t>TRƯỢT ❌</t>
        </is>
      </c>
      <c r="M121" s="7" t="inlineStr">
        <is>
          <t>TRƯỢT KHUNG ❌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5, 2, 4</t>
        </is>
      </c>
      <c r="H122" s="7" t="inlineStr">
        <is>
          <t>TRƯỢT ❌</t>
        </is>
      </c>
      <c r="I122" s="3" t="inlineStr">
        <is>
          <t>4, 5, 8</t>
        </is>
      </c>
      <c r="J122" s="6" t="inlineStr">
        <is>
          <t>TRÚNG 🎯</t>
        </is>
      </c>
      <c r="K122" s="3" t="inlineStr">
        <is>
          <t>24, 25, 28, 44, 45, 48, 54, 55, 58</t>
        </is>
      </c>
      <c r="L122" s="7" t="inlineStr">
        <is>
          <t>TRƯỢT ❌</t>
        </is>
      </c>
      <c r="M122" s="7" t="inlineStr">
        <is>
          <t>TRƯỢT KHUNG ❌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5, 2, 3</t>
        </is>
      </c>
      <c r="H123" s="6" t="inlineStr">
        <is>
          <t>TRÚNG 🎯</t>
        </is>
      </c>
      <c r="I123" s="3" t="inlineStr">
        <is>
          <t>5, 8, 9</t>
        </is>
      </c>
      <c r="J123" s="7" t="inlineStr">
        <is>
          <t>TRƯỢT ❌</t>
        </is>
      </c>
      <c r="K123" s="3" t="inlineStr">
        <is>
          <t>25, 28, 29, 35, 38, 39, 55, 58, 59</t>
        </is>
      </c>
      <c r="L123" s="7" t="inlineStr">
        <is>
          <t>TRƯỢT ❌</t>
        </is>
      </c>
      <c r="M123" s="7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2, 7, 3</t>
        </is>
      </c>
      <c r="H124" s="7" t="inlineStr">
        <is>
          <t>TRƯỢT ❌</t>
        </is>
      </c>
      <c r="I124" s="3" t="inlineStr">
        <is>
          <t>5, 9, 6</t>
        </is>
      </c>
      <c r="J124" s="7" t="inlineStr">
        <is>
          <t>TRƯỢT ❌</t>
        </is>
      </c>
      <c r="K124" s="3" t="inlineStr">
        <is>
          <t>25, 26, 29, 35, 36, 39, 75, 76, 79</t>
        </is>
      </c>
      <c r="L124" s="7" t="inlineStr">
        <is>
          <t>TRƯỢT ❌</t>
        </is>
      </c>
      <c r="M124" s="7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2, 7, 3</t>
        </is>
      </c>
      <c r="H125" s="7" t="inlineStr">
        <is>
          <t>TRƯỢT ❌</t>
        </is>
      </c>
      <c r="I125" s="3" t="inlineStr">
        <is>
          <t>5, 7, 9</t>
        </is>
      </c>
      <c r="J125" s="7" t="inlineStr">
        <is>
          <t>TRƯỢT ❌</t>
        </is>
      </c>
      <c r="K125" s="3" t="inlineStr">
        <is>
          <t>25, 27, 29, 35, 37, 39, 75, 77, 79</t>
        </is>
      </c>
      <c r="L125" s="7" t="inlineStr">
        <is>
          <t>TRƯỢT ❌</t>
        </is>
      </c>
      <c r="M125" s="7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3, 2, 7</t>
        </is>
      </c>
      <c r="H126" s="7" t="inlineStr">
        <is>
          <t>TRƯỢT ❌</t>
        </is>
      </c>
      <c r="I126" s="3" t="inlineStr">
        <is>
          <t>5, 7, 9</t>
        </is>
      </c>
      <c r="J126" s="7" t="inlineStr">
        <is>
          <t>TRƯỢT ❌</t>
        </is>
      </c>
      <c r="K126" s="3" t="inlineStr">
        <is>
          <t>25, 27, 29, 35, 37, 39, 75, 77, 79</t>
        </is>
      </c>
      <c r="L126" s="7" t="inlineStr">
        <is>
          <t>TRƯỢT ❌</t>
        </is>
      </c>
      <c r="M126" s="7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3, 2, 6</t>
        </is>
      </c>
      <c r="H127" s="7" t="inlineStr">
        <is>
          <t>TRƯỢT ❌</t>
        </is>
      </c>
      <c r="I127" s="3" t="inlineStr">
        <is>
          <t>5, 4, 7</t>
        </is>
      </c>
      <c r="J127" s="6" t="inlineStr">
        <is>
          <t>TRÚNG 🎯</t>
        </is>
      </c>
      <c r="K127" s="3" t="inlineStr">
        <is>
          <t>24, 25, 27, 34, 35, 37, 64, 65, 67</t>
        </is>
      </c>
      <c r="L127" s="7" t="inlineStr">
        <is>
          <t>TRƯỢT ❌</t>
        </is>
      </c>
      <c r="M127" s="7" t="inlineStr">
        <is>
          <t>TRƯỢT KHUNG ❌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3, 5, 2</t>
        </is>
      </c>
      <c r="H128" s="7" t="inlineStr">
        <is>
          <t>TRƯỢT ❌</t>
        </is>
      </c>
      <c r="I128" s="3" t="inlineStr">
        <is>
          <t>5, 4, 8</t>
        </is>
      </c>
      <c r="J128" s="7" t="inlineStr">
        <is>
          <t>TRƯỢT ❌</t>
        </is>
      </c>
      <c r="K128" s="3" t="inlineStr">
        <is>
          <t>24, 25, 28, 34, 35, 38, 54, 55, 58</t>
        </is>
      </c>
      <c r="L128" s="7" t="inlineStr">
        <is>
          <t>TRƯỢT ❌</t>
        </is>
      </c>
      <c r="M128" s="7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3, 5, 1</t>
        </is>
      </c>
      <c r="H129" s="7" t="inlineStr">
        <is>
          <t>TRƯỢT ❌</t>
        </is>
      </c>
      <c r="I129" s="3" t="inlineStr">
        <is>
          <t>4, 5, 8</t>
        </is>
      </c>
      <c r="J129" s="7" t="inlineStr">
        <is>
          <t>TRƯỢT ❌</t>
        </is>
      </c>
      <c r="K129" s="3" t="inlineStr">
        <is>
          <t>14, 15, 18, 34, 35, 38, 54, 55, 58</t>
        </is>
      </c>
      <c r="L129" s="7" t="inlineStr">
        <is>
          <t>TRƯỢT ❌</t>
        </is>
      </c>
      <c r="M129" s="7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3, 5, 1</t>
        </is>
      </c>
      <c r="H130" s="6" t="inlineStr">
        <is>
          <t>TRÚNG 🎯</t>
        </is>
      </c>
      <c r="I130" s="3" t="inlineStr">
        <is>
          <t>4, 5, 8</t>
        </is>
      </c>
      <c r="J130" s="7" t="inlineStr">
        <is>
          <t>TRƯỢT ❌</t>
        </is>
      </c>
      <c r="K130" s="3" t="inlineStr">
        <is>
          <t>14, 15, 18, 34, 35, 38, 54, 55, 58</t>
        </is>
      </c>
      <c r="L130" s="7" t="inlineStr">
        <is>
          <t>TRƯỢT ❌</t>
        </is>
      </c>
      <c r="M130" s="6" t="inlineStr">
        <is>
          <t>TRÚNG KHUNG 🎯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3, 5, 4</t>
        </is>
      </c>
      <c r="H131" s="6" t="inlineStr">
        <is>
          <t>TRÚNG 🎯</t>
        </is>
      </c>
      <c r="I131" s="3" t="inlineStr">
        <is>
          <t>5, 4, 8</t>
        </is>
      </c>
      <c r="J131" s="7" t="inlineStr">
        <is>
          <t>TRƯỢT ❌</t>
        </is>
      </c>
      <c r="K131" s="3" t="inlineStr">
        <is>
          <t>34, 35, 38, 44, 45, 48, 54, 55, 58</t>
        </is>
      </c>
      <c r="L131" s="7" t="inlineStr">
        <is>
          <t>TRƯỢT ❌</t>
        </is>
      </c>
      <c r="M131" s="6" t="inlineStr">
        <is>
          <t>TRÚNG KHUNG 🎯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4, 5, 6</t>
        </is>
      </c>
      <c r="H132" s="7" t="inlineStr">
        <is>
          <t>TRƯỢT ❌</t>
        </is>
      </c>
      <c r="I132" s="3" t="inlineStr">
        <is>
          <t>5, 4, 9</t>
        </is>
      </c>
      <c r="J132" s="7" t="inlineStr">
        <is>
          <t>TRƯỢT ❌</t>
        </is>
      </c>
      <c r="K132" s="3" t="inlineStr">
        <is>
          <t>44, 45, 49, 54, 55, 59, 64, 65, 69</t>
        </is>
      </c>
      <c r="L132" s="7" t="inlineStr">
        <is>
          <t>TRƯỢT ❌</t>
        </is>
      </c>
      <c r="M132" s="6" t="inlineStr">
        <is>
          <t>TRÚNG KHUNG 🎯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4, 5, 6</t>
        </is>
      </c>
      <c r="H133" s="6" t="inlineStr">
        <is>
          <t>TRÚNG 🎯</t>
        </is>
      </c>
      <c r="I133" s="3" t="inlineStr">
        <is>
          <t>5, 2, 4</t>
        </is>
      </c>
      <c r="J133" s="7" t="inlineStr">
        <is>
          <t>TRƯỢT ❌</t>
        </is>
      </c>
      <c r="K133" s="3" t="inlineStr">
        <is>
          <t>42, 44, 45, 52, 54, 55, 62, 64, 65</t>
        </is>
      </c>
      <c r="L133" s="7" t="inlineStr">
        <is>
          <t>TRƯỢT ❌</t>
        </is>
      </c>
      <c r="M133" s="7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4, 5, 2</t>
        </is>
      </c>
      <c r="H134" s="7" t="inlineStr">
        <is>
          <t>TRƯỢT ❌</t>
        </is>
      </c>
      <c r="I134" s="3" t="inlineStr">
        <is>
          <t>5, 2, 7</t>
        </is>
      </c>
      <c r="J134" s="7" t="inlineStr">
        <is>
          <t>TRƯỢT ❌</t>
        </is>
      </c>
      <c r="K134" s="3" t="inlineStr">
        <is>
          <t>22, 25, 27, 42, 45, 47, 52, 55, 57</t>
        </is>
      </c>
      <c r="L134" s="7" t="inlineStr">
        <is>
          <t>TRƯỢT ❌</t>
        </is>
      </c>
      <c r="M134" s="7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4, 3, 5</t>
        </is>
      </c>
      <c r="H135" s="7" t="inlineStr">
        <is>
          <t>TRƯỢT ❌</t>
        </is>
      </c>
      <c r="I135" s="3" t="inlineStr">
        <is>
          <t>7, 5, 2</t>
        </is>
      </c>
      <c r="J135" s="7" t="inlineStr">
        <is>
          <t>TRƯỢT ❌</t>
        </is>
      </c>
      <c r="K135" s="3" t="inlineStr">
        <is>
          <t>32, 35, 37, 42, 45, 47, 52, 55, 57</t>
        </is>
      </c>
      <c r="L135" s="7" t="inlineStr">
        <is>
          <t>TRƯỢT ❌</t>
        </is>
      </c>
      <c r="M135" s="7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4, 5, 1</t>
        </is>
      </c>
      <c r="H136" s="7" t="inlineStr">
        <is>
          <t>TRƯỢT ❌</t>
        </is>
      </c>
      <c r="I136" s="3" t="inlineStr">
        <is>
          <t>7, 2, 3</t>
        </is>
      </c>
      <c r="J136" s="7" t="inlineStr">
        <is>
          <t>TRƯỢT ❌</t>
        </is>
      </c>
      <c r="K136" s="3" t="inlineStr">
        <is>
          <t>12, 13, 17, 42, 43, 47, 52, 53, 57</t>
        </is>
      </c>
      <c r="L136" s="7" t="inlineStr">
        <is>
          <t>TRƯỢT ❌</t>
        </is>
      </c>
      <c r="M136" s="7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3, 4, 1</t>
        </is>
      </c>
      <c r="H137" s="7" t="inlineStr">
        <is>
          <t>TRƯỢT ❌</t>
        </is>
      </c>
      <c r="I137" s="3" t="inlineStr">
        <is>
          <t>7, 3, 8</t>
        </is>
      </c>
      <c r="J137" s="7" t="inlineStr">
        <is>
          <t>TRƯỢT ❌</t>
        </is>
      </c>
      <c r="K137" s="3" t="inlineStr">
        <is>
          <t>13, 17, 18, 33, 37, 38, 43, 47, 48</t>
        </is>
      </c>
      <c r="L137" s="7" t="inlineStr">
        <is>
          <t>TRƯỢT ❌</t>
        </is>
      </c>
      <c r="M137" s="7" t="inlineStr">
        <is>
          <t>TRƯỢT KHUNG ❌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3, 4, 1</t>
        </is>
      </c>
      <c r="H138" s="7" t="inlineStr">
        <is>
          <t>TRƯỢT ❌</t>
        </is>
      </c>
      <c r="I138" s="3" t="inlineStr">
        <is>
          <t>7, 9, 8</t>
        </is>
      </c>
      <c r="J138" s="7" t="inlineStr">
        <is>
          <t>TRƯỢT ❌</t>
        </is>
      </c>
      <c r="K138" s="3" t="inlineStr">
        <is>
          <t>17, 18, 19, 37, 38, 39, 47, 48, 49</t>
        </is>
      </c>
      <c r="L138" s="7" t="inlineStr">
        <is>
          <t>TRƯỢT ❌</t>
        </is>
      </c>
      <c r="M138" s="7" t="inlineStr">
        <is>
          <t>TRƯỢT KHUNG ❌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3, 4, 9</t>
        </is>
      </c>
      <c r="H139" s="7" t="inlineStr">
        <is>
          <t>TRƯỢT ❌</t>
        </is>
      </c>
      <c r="I139" s="3" t="inlineStr">
        <is>
          <t>7, 9, 8</t>
        </is>
      </c>
      <c r="J139" s="6" t="inlineStr">
        <is>
          <t>TRÚNG 🎯</t>
        </is>
      </c>
      <c r="K139" s="3" t="inlineStr">
        <is>
          <t>37, 38, 39, 47, 48, 49, 97, 98, 99</t>
        </is>
      </c>
      <c r="L139" s="7" t="inlineStr">
        <is>
          <t>TRƯỢT ❌</t>
        </is>
      </c>
      <c r="M139" s="6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3, 4, 1</t>
        </is>
      </c>
      <c r="H140" s="7" t="inlineStr">
        <is>
          <t>TRƯỢT ❌</t>
        </is>
      </c>
      <c r="I140" s="3" t="inlineStr">
        <is>
          <t>9, 7, 4</t>
        </is>
      </c>
      <c r="J140" s="7" t="inlineStr">
        <is>
          <t>TRƯỢT ❌</t>
        </is>
      </c>
      <c r="K140" s="3" t="inlineStr">
        <is>
          <t>14, 17, 19, 34, 37, 39, 44, 47, 49</t>
        </is>
      </c>
      <c r="L140" s="7" t="inlineStr">
        <is>
          <t>TRƯỢT ❌</t>
        </is>
      </c>
      <c r="M140" s="6" t="inlineStr">
        <is>
          <t>TRÚNG KHUNG 🎯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3, 4, 1</t>
        </is>
      </c>
      <c r="H141" s="6" t="inlineStr">
        <is>
          <t>TRÚNG 🎯</t>
        </is>
      </c>
      <c r="I141" s="3" t="inlineStr">
        <is>
          <t>9, 4, 7</t>
        </is>
      </c>
      <c r="J141" s="6" t="inlineStr">
        <is>
          <t>TRÚNG 🎯</t>
        </is>
      </c>
      <c r="K141" s="3" t="inlineStr">
        <is>
          <t>14, 17, 19, 34, 37, 39, 44, 47, 49</t>
        </is>
      </c>
      <c r="L141" s="6" t="inlineStr">
        <is>
          <t>TRÚNG 🎯</t>
        </is>
      </c>
      <c r="M141" s="6" t="inlineStr">
        <is>
          <t>TRÚNG KHUNG 🎯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1, 4, 6</t>
        </is>
      </c>
      <c r="H142" s="7" t="inlineStr">
        <is>
          <t>TRƯỢT ❌</t>
        </is>
      </c>
      <c r="I142" s="3" t="inlineStr">
        <is>
          <t>4, 7, 1</t>
        </is>
      </c>
      <c r="J142" s="6" t="inlineStr">
        <is>
          <t>TRÚNG 🎯</t>
        </is>
      </c>
      <c r="K142" s="3" t="inlineStr">
        <is>
          <t>11, 14, 17, 41, 44, 47, 61, 64, 67</t>
        </is>
      </c>
      <c r="L142" s="7" t="inlineStr">
        <is>
          <t>TRƯỢT ❌</t>
        </is>
      </c>
      <c r="M142" s="7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5, 6, 1</t>
        </is>
      </c>
      <c r="H143" s="7" t="inlineStr">
        <is>
          <t>TRƯỢT ❌</t>
        </is>
      </c>
      <c r="I143" s="3" t="inlineStr">
        <is>
          <t>4, 7, 2</t>
        </is>
      </c>
      <c r="J143" s="6" t="inlineStr">
        <is>
          <t>TRÚNG 🎯</t>
        </is>
      </c>
      <c r="K143" s="3" t="inlineStr">
        <is>
          <t>12, 14, 17, 52, 54, 57, 62, 64, 67</t>
        </is>
      </c>
      <c r="L143" s="7" t="inlineStr">
        <is>
          <t>TRƯỢT ❌</t>
        </is>
      </c>
      <c r="M143" s="7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6, 5, 1</t>
        </is>
      </c>
      <c r="H144" s="7" t="inlineStr">
        <is>
          <t>TRƯỢT ❌</t>
        </is>
      </c>
      <c r="I144" s="3" t="inlineStr">
        <is>
          <t>7, 8, 4</t>
        </is>
      </c>
      <c r="J144" s="7" t="inlineStr">
        <is>
          <t>TRƯỢT ❌</t>
        </is>
      </c>
      <c r="K144" s="3" t="inlineStr">
        <is>
          <t>14, 17, 18, 54, 57, 58, 64, 67, 68</t>
        </is>
      </c>
      <c r="L144" s="7" t="inlineStr">
        <is>
          <t>TRƯỢT ❌</t>
        </is>
      </c>
      <c r="M144" s="7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6, 5, 3</t>
        </is>
      </c>
      <c r="H145" s="7" t="inlineStr">
        <is>
          <t>TRƯỢT ❌</t>
        </is>
      </c>
      <c r="I145" s="3" t="inlineStr">
        <is>
          <t>4, 8, 7</t>
        </is>
      </c>
      <c r="J145" s="7" t="inlineStr">
        <is>
          <t>TRƯỢT ❌</t>
        </is>
      </c>
      <c r="K145" s="3" t="inlineStr">
        <is>
          <t>34, 37, 38, 54, 57, 58, 64, 67, 68</t>
        </is>
      </c>
      <c r="L145" s="7" t="inlineStr">
        <is>
          <t>TRƯỢT ❌</t>
        </is>
      </c>
      <c r="M145" s="7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3, 6, 5</t>
        </is>
      </c>
      <c r="H146" s="7" t="inlineStr">
        <is>
          <t>TRƯỢT ❌</t>
        </is>
      </c>
      <c r="I146" s="3" t="inlineStr">
        <is>
          <t>4, 9, 7</t>
        </is>
      </c>
      <c r="J146" s="7" t="inlineStr">
        <is>
          <t>TRƯỢT ❌</t>
        </is>
      </c>
      <c r="K146" s="3" t="inlineStr">
        <is>
          <t>34, 37, 39, 54, 57, 59, 64, 67, 69</t>
        </is>
      </c>
      <c r="L146" s="7" t="inlineStr">
        <is>
          <t>TRƯỢT ❌</t>
        </is>
      </c>
      <c r="M146" s="6" t="inlineStr">
        <is>
          <t>TRÚNG KHUNG 🎯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3, 6, 5</t>
        </is>
      </c>
      <c r="H147" s="6" t="inlineStr">
        <is>
          <t>TRÚNG 🎯</t>
        </is>
      </c>
      <c r="I147" s="3" t="inlineStr">
        <is>
          <t>4, 9, 1</t>
        </is>
      </c>
      <c r="J147" s="7" t="inlineStr">
        <is>
          <t>TRƯỢT ❌</t>
        </is>
      </c>
      <c r="K147" s="3" t="inlineStr">
        <is>
          <t>31, 34, 39, 51, 54, 59, 61, 64, 69</t>
        </is>
      </c>
      <c r="L147" s="7" t="inlineStr">
        <is>
          <t>TRƯỢT ❌</t>
        </is>
      </c>
      <c r="M147" s="6" t="inlineStr">
        <is>
          <t>TRÚNG KHUNG 🎯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3, 6, 0</t>
        </is>
      </c>
      <c r="H148" s="7" t="inlineStr">
        <is>
          <t>TRƯỢT ❌</t>
        </is>
      </c>
      <c r="I148" s="3" t="inlineStr">
        <is>
          <t>4, 1, 9</t>
        </is>
      </c>
      <c r="J148" s="6" t="inlineStr">
        <is>
          <t>TRÚNG 🎯</t>
        </is>
      </c>
      <c r="K148" s="3" t="inlineStr">
        <is>
          <t>01, 04, 09, 31, 34, 39, 61, 64, 69</t>
        </is>
      </c>
      <c r="L148" s="7" t="inlineStr">
        <is>
          <t>TRƯỢT ❌</t>
        </is>
      </c>
      <c r="M148" s="7" t="inlineStr">
        <is>
          <t>TRƯỢT KHUNG ❌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3, 6, 8</t>
        </is>
      </c>
      <c r="H149" s="7" t="inlineStr">
        <is>
          <t>TRƯỢT ❌</t>
        </is>
      </c>
      <c r="I149" s="3" t="inlineStr">
        <is>
          <t>1, 4, 5</t>
        </is>
      </c>
      <c r="J149" s="7" t="inlineStr">
        <is>
          <t>TRƯỢT ❌</t>
        </is>
      </c>
      <c r="K149" s="3" t="inlineStr">
        <is>
          <t>31, 34, 35, 61, 64, 65, 81, 84, 85</t>
        </is>
      </c>
      <c r="L149" s="7" t="inlineStr">
        <is>
          <t>TRƯỢT ❌</t>
        </is>
      </c>
      <c r="M149" s="7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3, 6, 8</t>
        </is>
      </c>
      <c r="H150" s="7" t="inlineStr">
        <is>
          <t>TRƯỢT ❌</t>
        </is>
      </c>
      <c r="I150" s="3" t="inlineStr">
        <is>
          <t>1, 4, 8</t>
        </is>
      </c>
      <c r="J150" s="7" t="inlineStr">
        <is>
          <t>TRƯỢT ❌</t>
        </is>
      </c>
      <c r="K150" s="3" t="inlineStr">
        <is>
          <t>31, 34, 38, 61, 64, 68, 81, 84, 88</t>
        </is>
      </c>
      <c r="L150" s="7" t="inlineStr">
        <is>
          <t>TRƯỢT ❌</t>
        </is>
      </c>
      <c r="M150" s="7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1, 3, 6</t>
        </is>
      </c>
      <c r="H151" s="7" t="inlineStr">
        <is>
          <t>TRƯỢT ❌</t>
        </is>
      </c>
      <c r="I151" s="3" t="inlineStr">
        <is>
          <t>1, 4, 8</t>
        </is>
      </c>
      <c r="J151" s="7" t="inlineStr">
        <is>
          <t>TRƯỢT ❌</t>
        </is>
      </c>
      <c r="K151" s="3" t="inlineStr">
        <is>
          <t>11, 14, 18, 31, 34, 38, 61, 64, 68</t>
        </is>
      </c>
      <c r="L151" s="7" t="inlineStr">
        <is>
          <t>TRƯỢT ❌</t>
        </is>
      </c>
      <c r="M151" s="7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1, 6, 8</t>
        </is>
      </c>
      <c r="H152" s="7" t="inlineStr">
        <is>
          <t>TRƯỢT ❌</t>
        </is>
      </c>
      <c r="I152" s="3" t="inlineStr">
        <is>
          <t>1, 4, 0</t>
        </is>
      </c>
      <c r="J152" s="7" t="inlineStr">
        <is>
          <t>TRƯỢT ❌</t>
        </is>
      </c>
      <c r="K152" s="3" t="inlineStr">
        <is>
          <t>10, 11, 14, 60, 61, 64, 80, 81, 84</t>
        </is>
      </c>
      <c r="L152" s="7" t="inlineStr">
        <is>
          <t>TRƯỢT ❌</t>
        </is>
      </c>
      <c r="M152" s="7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1, 3, 4</t>
        </is>
      </c>
      <c r="H153" s="6" t="inlineStr">
        <is>
          <t>TRÚNG 🎯</t>
        </is>
      </c>
      <c r="I153" s="3" t="inlineStr">
        <is>
          <t>1, 4, 3</t>
        </is>
      </c>
      <c r="J153" s="7" t="inlineStr">
        <is>
          <t>TRƯỢT ❌</t>
        </is>
      </c>
      <c r="K153" s="3" t="inlineStr">
        <is>
          <t>11, 13, 14, 31, 33, 34, 41, 43, 44</t>
        </is>
      </c>
      <c r="L153" s="7" t="inlineStr">
        <is>
          <t>TRƯỢT ❌</t>
        </is>
      </c>
      <c r="M153" s="7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1, 4, 6</t>
        </is>
      </c>
      <c r="H154" s="7" t="inlineStr">
        <is>
          <t>TRƯỢT ❌</t>
        </is>
      </c>
      <c r="I154" s="3" t="inlineStr">
        <is>
          <t>4, 1, 3</t>
        </is>
      </c>
      <c r="J154" s="6" t="inlineStr">
        <is>
          <t>TRÚNG 🎯</t>
        </is>
      </c>
      <c r="K154" s="3" t="inlineStr">
        <is>
          <t>11, 13, 14, 41, 43, 44, 61, 63, 64</t>
        </is>
      </c>
      <c r="L154" s="7" t="inlineStr">
        <is>
          <t>TRƯỢT ❌</t>
        </is>
      </c>
      <c r="M154" s="7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4, 1, 6</t>
        </is>
      </c>
      <c r="H155" s="7" t="inlineStr">
        <is>
          <t>TRƯỢT ❌</t>
        </is>
      </c>
      <c r="I155" s="3" t="inlineStr">
        <is>
          <t>4, 1, 3</t>
        </is>
      </c>
      <c r="J155" s="7" t="inlineStr">
        <is>
          <t>TRƯỢT ❌</t>
        </is>
      </c>
      <c r="K155" s="3" t="inlineStr">
        <is>
          <t>11, 13, 14, 41, 43, 44, 61, 63, 64</t>
        </is>
      </c>
      <c r="L155" s="7" t="inlineStr">
        <is>
          <t>TRƯỢT ❌</t>
        </is>
      </c>
      <c r="M155" s="7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4, 5, 1</t>
        </is>
      </c>
      <c r="H156" s="7" t="inlineStr">
        <is>
          <t>TRƯỢT ❌</t>
        </is>
      </c>
      <c r="I156" s="3" t="inlineStr">
        <is>
          <t>4, 3, 1</t>
        </is>
      </c>
      <c r="J156" s="7" t="inlineStr">
        <is>
          <t>TRƯỢT ❌</t>
        </is>
      </c>
      <c r="K156" s="3" t="inlineStr">
        <is>
          <t>11, 13, 14, 41, 43, 44, 51, 53, 54</t>
        </is>
      </c>
      <c r="L156" s="7" t="inlineStr">
        <is>
          <t>TRƯỢT ❌</t>
        </is>
      </c>
      <c r="M156" s="7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5, 2, 4</t>
        </is>
      </c>
      <c r="H157" s="7" t="inlineStr">
        <is>
          <t>TRƯỢT ❌</t>
        </is>
      </c>
      <c r="I157" s="3" t="inlineStr">
        <is>
          <t>4, 3, 1</t>
        </is>
      </c>
      <c r="J157" s="6" t="inlineStr">
        <is>
          <t>TRÚNG 🎯</t>
        </is>
      </c>
      <c r="K157" s="3" t="inlineStr">
        <is>
          <t>21, 23, 24, 41, 43, 44, 51, 53, 54</t>
        </is>
      </c>
      <c r="L157" s="7" t="inlineStr">
        <is>
          <t>TRƯỢT ❌</t>
        </is>
      </c>
      <c r="M157" s="6" t="inlineStr">
        <is>
          <t>TRÚNG KHUNG 🎯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3, 5, 2</t>
        </is>
      </c>
      <c r="H158" s="7" t="inlineStr">
        <is>
          <t>TRƯỢT ❌</t>
        </is>
      </c>
      <c r="I158" s="3" t="inlineStr">
        <is>
          <t>4, 3, 1</t>
        </is>
      </c>
      <c r="J158" s="7" t="inlineStr">
        <is>
          <t>TRƯỢT ❌</t>
        </is>
      </c>
      <c r="K158" s="3" t="inlineStr">
        <is>
          <t>21, 23, 24, 31, 33, 34, 51, 53, 54</t>
        </is>
      </c>
      <c r="L158" s="7" t="inlineStr">
        <is>
          <t>TRƯỢT ❌</t>
        </is>
      </c>
      <c r="M158" s="6" t="inlineStr">
        <is>
          <t>TRÚNG KHUNG 🎯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3, 5, 8</t>
        </is>
      </c>
      <c r="H159" s="6" t="inlineStr">
        <is>
          <t>TRÚNG 🎯</t>
        </is>
      </c>
      <c r="I159" s="3" t="inlineStr">
        <is>
          <t>4, 3, 1</t>
        </is>
      </c>
      <c r="J159" s="6" t="inlineStr">
        <is>
          <t>TRÚNG 🎯</t>
        </is>
      </c>
      <c r="K159" s="3" t="inlineStr">
        <is>
          <t>31, 33, 34, 51, 53, 54, 81, 83, 84</t>
        </is>
      </c>
      <c r="L159" s="6" t="inlineStr">
        <is>
          <t>TRÚNG 🎯</t>
        </is>
      </c>
      <c r="M159" s="6" t="inlineStr">
        <is>
          <t>TRÚNG KHUNG 🎯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3, 8, 1</t>
        </is>
      </c>
      <c r="H160" s="7" t="inlineStr">
        <is>
          <t>TRƯỢT ❌</t>
        </is>
      </c>
      <c r="I160" s="3" t="inlineStr">
        <is>
          <t>4, 3, 8</t>
        </is>
      </c>
      <c r="J160" s="6" t="inlineStr">
        <is>
          <t>TRÚNG 🎯</t>
        </is>
      </c>
      <c r="K160" s="3" t="inlineStr">
        <is>
          <t>13, 14, 18, 33, 34, 38, 83, 84, 88</t>
        </is>
      </c>
      <c r="L160" s="7" t="inlineStr">
        <is>
          <t>TRƯỢT ❌</t>
        </is>
      </c>
      <c r="M160" s="6" t="inlineStr">
        <is>
          <t>TRÚNG KHUNG 🎯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3, 6, 8</t>
        </is>
      </c>
      <c r="H161" s="6" t="inlineStr">
        <is>
          <t>TRÚNG 🎯</t>
        </is>
      </c>
      <c r="I161" s="3" t="inlineStr">
        <is>
          <t>4, 3, 1</t>
        </is>
      </c>
      <c r="J161" s="6" t="inlineStr">
        <is>
          <t>TRÚNG 🎯</t>
        </is>
      </c>
      <c r="K161" s="3" t="inlineStr">
        <is>
          <t>31, 33, 34, 61, 63, 64, 81, 83, 84</t>
        </is>
      </c>
      <c r="L161" s="6" t="inlineStr">
        <is>
          <t>TRÚNG 🎯</t>
        </is>
      </c>
      <c r="M161" s="6" t="inlineStr">
        <is>
          <t>TRÚNG KHUNG 🎯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6, 3, 5</t>
        </is>
      </c>
      <c r="H162" s="7" t="inlineStr">
        <is>
          <t>TRƯỢT ❌</t>
        </is>
      </c>
      <c r="I162" s="3" t="inlineStr">
        <is>
          <t>4, 3, 1</t>
        </is>
      </c>
      <c r="J162" s="7" t="inlineStr">
        <is>
          <t>TRƯỢT ❌</t>
        </is>
      </c>
      <c r="K162" s="3" t="inlineStr">
        <is>
          <t>31, 33, 34, 51, 53, 54, 61, 63, 64</t>
        </is>
      </c>
      <c r="L162" s="7" t="inlineStr">
        <is>
          <t>TRƯỢT ❌</t>
        </is>
      </c>
      <c r="M162" s="7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6, 5, 8</t>
        </is>
      </c>
      <c r="H163" s="7" t="inlineStr">
        <is>
          <t>TRƯỢT ❌</t>
        </is>
      </c>
      <c r="I163" s="3" t="inlineStr">
        <is>
          <t>4, 3, 5</t>
        </is>
      </c>
      <c r="J163" s="6" t="inlineStr">
        <is>
          <t>TRÚNG 🎯</t>
        </is>
      </c>
      <c r="K163" s="3" t="inlineStr">
        <is>
          <t>53, 54, 55, 63, 64, 65, 83, 84, 85</t>
        </is>
      </c>
      <c r="L163" s="7" t="inlineStr">
        <is>
          <t>TRƯỢT ❌</t>
        </is>
      </c>
      <c r="M163" s="7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5, 6, 8</t>
        </is>
      </c>
      <c r="H164" s="7" t="inlineStr">
        <is>
          <t>TRƯỢT ❌</t>
        </is>
      </c>
      <c r="I164" s="3" t="inlineStr">
        <is>
          <t>1, 3, 5</t>
        </is>
      </c>
      <c r="J164" s="7" t="inlineStr">
        <is>
          <t>TRƯỢT ❌</t>
        </is>
      </c>
      <c r="K164" s="3" t="inlineStr">
        <is>
          <t>51, 53, 55, 61, 63, 65, 81, 83, 85</t>
        </is>
      </c>
      <c r="L164" s="7" t="inlineStr">
        <is>
          <t>TRƯỢT ❌</t>
        </is>
      </c>
      <c r="M164" s="7" t="inlineStr">
        <is>
          <t>TRƯỢT KHUNG ❌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5, 8, 6</t>
        </is>
      </c>
      <c r="H165" s="6" t="inlineStr">
        <is>
          <t>TRÚNG 🎯</t>
        </is>
      </c>
      <c r="I165" s="3" t="inlineStr">
        <is>
          <t>1, 3, 5</t>
        </is>
      </c>
      <c r="J165" s="7" t="inlineStr">
        <is>
          <t>TRƯỢT ❌</t>
        </is>
      </c>
      <c r="K165" s="3" t="inlineStr">
        <is>
          <t>51, 53, 55, 61, 63, 65, 81, 83, 85</t>
        </is>
      </c>
      <c r="L165" s="7" t="inlineStr">
        <is>
          <t>TRƯỢT ❌</t>
        </is>
      </c>
      <c r="M165" s="7" t="inlineStr">
        <is>
          <t>TRƯỢT KHUNG ❌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6" t="inlineStr">
        <is>
          <t>TRÚNG 🎯</t>
        </is>
      </c>
      <c r="I166" s="3" t="inlineStr">
        <is>
          <t>3, 1, 5</t>
        </is>
      </c>
      <c r="J166" s="7" t="inlineStr">
        <is>
          <t>TRƯỢT ❌</t>
        </is>
      </c>
      <c r="K166" s="3" t="inlineStr">
        <is>
          <t>51, 53, 55, 61, 63, 65, 81, 83, 85</t>
        </is>
      </c>
      <c r="L166" s="7" t="inlineStr">
        <is>
          <t>TRƯỢT ❌</t>
        </is>
      </c>
      <c r="M166" s="7" t="inlineStr">
        <is>
          <t>TRƯỢT KHUNG ❌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5, 8, 6</t>
        </is>
      </c>
      <c r="H167" s="7" t="inlineStr">
        <is>
          <t>TRƯỢT ❌</t>
        </is>
      </c>
      <c r="I167" s="3" t="inlineStr">
        <is>
          <t>3, 1, 8</t>
        </is>
      </c>
      <c r="J167" s="6" t="inlineStr">
        <is>
          <t>TRÚNG 🎯</t>
        </is>
      </c>
      <c r="K167" s="3" t="inlineStr">
        <is>
          <t>51, 53, 58, 61, 63, 68, 81, 83, 88</t>
        </is>
      </c>
      <c r="L167" s="7" t="inlineStr">
        <is>
          <t>TRƯỢT ❌</t>
        </is>
      </c>
      <c r="M167" s="7" t="inlineStr">
        <is>
          <t>TRƯỢT KHUNG ❌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5, 8, 1</t>
        </is>
      </c>
      <c r="H168" s="7" t="inlineStr">
        <is>
          <t>TRƯỢT ❌</t>
        </is>
      </c>
      <c r="I168" s="3" t="inlineStr">
        <is>
          <t>3, 1, 8</t>
        </is>
      </c>
      <c r="J168" s="7" t="inlineStr">
        <is>
          <t>TRƯỢT ❌</t>
        </is>
      </c>
      <c r="K168" s="3" t="inlineStr">
        <is>
          <t>11, 13, 18, 51, 53, 58, 81, 83, 88</t>
        </is>
      </c>
      <c r="L168" s="7" t="inlineStr">
        <is>
          <t>TRƯỢT ❌</t>
        </is>
      </c>
      <c r="M168" s="7" t="inlineStr">
        <is>
          <t>TRƯỢT KHUNG ❌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8, 5, 1</t>
        </is>
      </c>
      <c r="H169" s="6" t="inlineStr">
        <is>
          <t>TRÚNG 🎯</t>
        </is>
      </c>
      <c r="I169" s="3" t="inlineStr">
        <is>
          <t>3, 1, 5</t>
        </is>
      </c>
      <c r="J169" s="6" t="inlineStr">
        <is>
          <t>TRÚNG 🎯</t>
        </is>
      </c>
      <c r="K169" s="3" t="inlineStr">
        <is>
          <t>11, 13, 15, 51, 53, 55, 81, 83, 85</t>
        </is>
      </c>
      <c r="L169" s="6" t="inlineStr">
        <is>
          <t>TRÚNG 🎯</t>
        </is>
      </c>
      <c r="M169" s="6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8, 1, 0</t>
        </is>
      </c>
      <c r="H170" s="7" t="inlineStr">
        <is>
          <t>TRƯỢT ❌</t>
        </is>
      </c>
      <c r="I170" s="3" t="inlineStr">
        <is>
          <t>3, 1, 0</t>
        </is>
      </c>
      <c r="J170" s="6" t="inlineStr">
        <is>
          <t>TRÚNG 🎯</t>
        </is>
      </c>
      <c r="K170" s="3" t="inlineStr">
        <is>
          <t>00, 01, 03, 10, 11, 13, 80, 81, 83</t>
        </is>
      </c>
      <c r="L170" s="7" t="inlineStr">
        <is>
          <t>TRƯỢT ❌</t>
        </is>
      </c>
      <c r="M170" s="6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8, 1, 0</t>
        </is>
      </c>
      <c r="H171" s="6" t="inlineStr">
        <is>
          <t>TRÚNG 🎯</t>
        </is>
      </c>
      <c r="I171" s="3" t="inlineStr">
        <is>
          <t>3, 4, 1</t>
        </is>
      </c>
      <c r="J171" s="6" t="inlineStr">
        <is>
          <t>TRÚNG 🎯</t>
        </is>
      </c>
      <c r="K171" s="3" t="inlineStr">
        <is>
          <t>01, 03, 04, 11, 13, 14, 81, 83, 84</t>
        </is>
      </c>
      <c r="L171" s="6" t="inlineStr">
        <is>
          <t>TRÚNG 🎯</t>
        </is>
      </c>
      <c r="M171" s="6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0, 8, 1</t>
        </is>
      </c>
      <c r="H172" s="7" t="inlineStr">
        <is>
          <t>TRƯỢT ❌</t>
        </is>
      </c>
      <c r="I172" s="3" t="inlineStr">
        <is>
          <t>3, 4, 1</t>
        </is>
      </c>
      <c r="J172" s="7" t="inlineStr">
        <is>
          <t>TRƯỢT ❌</t>
        </is>
      </c>
      <c r="K172" s="3" t="inlineStr">
        <is>
          <t>01, 03, 04, 11, 13, 14, 81, 83, 84</t>
        </is>
      </c>
      <c r="L172" s="7" t="inlineStr">
        <is>
          <t>TRƯỢT ❌</t>
        </is>
      </c>
      <c r="M172" s="7" t="inlineStr">
        <is>
          <t>TRƯỢT KHUNG ❌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0, 8, 5</t>
        </is>
      </c>
      <c r="H173" s="7" t="inlineStr">
        <is>
          <t>TRƯỢT ❌</t>
        </is>
      </c>
      <c r="I173" s="3" t="inlineStr">
        <is>
          <t>3, 4, 1</t>
        </is>
      </c>
      <c r="J173" s="7" t="inlineStr">
        <is>
          <t>TRƯỢT ❌</t>
        </is>
      </c>
      <c r="K173" s="3" t="inlineStr">
        <is>
          <t>01, 03, 04, 51, 53, 54, 81, 83, 84</t>
        </is>
      </c>
      <c r="L173" s="7" t="inlineStr">
        <is>
          <t>TRƯỢT ❌</t>
        </is>
      </c>
      <c r="M173" s="6" t="inlineStr">
        <is>
          <t>TRÚNG KHUNG 🎯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5, 8, 0</t>
        </is>
      </c>
      <c r="H174" s="6" t="inlineStr">
        <is>
          <t>TRÚNG 🎯</t>
        </is>
      </c>
      <c r="I174" s="3" t="inlineStr">
        <is>
          <t>3, 4, 5</t>
        </is>
      </c>
      <c r="J174" s="7" t="inlineStr">
        <is>
          <t>TRƯỢT ❌</t>
        </is>
      </c>
      <c r="K174" s="3" t="inlineStr">
        <is>
          <t>03, 04, 05, 53, 54, 55, 83, 84, 85</t>
        </is>
      </c>
      <c r="L174" s="7" t="inlineStr">
        <is>
          <t>TRƯỢT ❌</t>
        </is>
      </c>
      <c r="M174" s="6" t="inlineStr">
        <is>
          <t>TRÚNG KHUNG 🎯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0, 8, 1</t>
        </is>
      </c>
      <c r="H175" s="6" t="inlineStr">
        <is>
          <t>TRÚNG 🎯</t>
        </is>
      </c>
      <c r="I175" s="3" t="inlineStr">
        <is>
          <t>3, 0, 5</t>
        </is>
      </c>
      <c r="J175" s="7" t="inlineStr">
        <is>
          <t>TRƯỢT ❌</t>
        </is>
      </c>
      <c r="K175" s="3" t="inlineStr">
        <is>
          <t>00, 03, 05, 10, 13, 15, 80, 83, 85</t>
        </is>
      </c>
      <c r="L175" s="7" t="inlineStr">
        <is>
          <t>TRƯỢT ❌</t>
        </is>
      </c>
      <c r="M175" s="7" t="inlineStr">
        <is>
          <t>TRƯỢT KHUNG ❌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8, 0, 5</t>
        </is>
      </c>
      <c r="H176" s="6" t="inlineStr">
        <is>
          <t>TRÚNG 🎯</t>
        </is>
      </c>
      <c r="I176" s="3" t="inlineStr">
        <is>
          <t>3, 0, 5</t>
        </is>
      </c>
      <c r="J176" s="7" t="inlineStr">
        <is>
          <t>TRƯỢT ❌</t>
        </is>
      </c>
      <c r="K176" s="3" t="inlineStr">
        <is>
          <t>00, 03, 05, 50, 53, 55, 80, 83, 85</t>
        </is>
      </c>
      <c r="L176" s="7" t="inlineStr">
        <is>
          <t>TRƯỢT ❌</t>
        </is>
      </c>
      <c r="M176" s="6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8, 5, 3</t>
        </is>
      </c>
      <c r="H177" s="6" t="inlineStr">
        <is>
          <t>TRÚNG 🎯</t>
        </is>
      </c>
      <c r="I177" s="3" t="inlineStr">
        <is>
          <t>3, 0, 5</t>
        </is>
      </c>
      <c r="J177" s="6" t="inlineStr">
        <is>
          <t>TRÚNG 🎯</t>
        </is>
      </c>
      <c r="K177" s="3" t="inlineStr">
        <is>
          <t>30, 33, 35, 50, 53, 55, 80, 83, 85</t>
        </is>
      </c>
      <c r="L177" s="6" t="inlineStr">
        <is>
          <t>TRÚNG 🎯</t>
        </is>
      </c>
      <c r="M177" s="6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8, 3, 5</t>
        </is>
      </c>
      <c r="H178" s="6" t="inlineStr">
        <is>
          <t>TRÚNG 🎯</t>
        </is>
      </c>
      <c r="I178" s="3" t="inlineStr">
        <is>
          <t>3, 0, 5</t>
        </is>
      </c>
      <c r="J178" s="7" t="inlineStr">
        <is>
          <t>TRƯỢT ❌</t>
        </is>
      </c>
      <c r="K178" s="3" t="inlineStr">
        <is>
          <t>30, 33, 35, 50, 53, 55, 80, 83, 85</t>
        </is>
      </c>
      <c r="L178" s="7" t="inlineStr">
        <is>
          <t>TRƯỢT ❌</t>
        </is>
      </c>
      <c r="M178" s="7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8, 3, 0</t>
        </is>
      </c>
      <c r="H179" s="7" t="inlineStr">
        <is>
          <t>TRƯỢT ❌</t>
        </is>
      </c>
      <c r="I179" s="3" t="inlineStr">
        <is>
          <t>3, 0, 5</t>
        </is>
      </c>
      <c r="J179" s="7" t="inlineStr">
        <is>
          <t>TRƯỢT ❌</t>
        </is>
      </c>
      <c r="K179" s="3" t="inlineStr">
        <is>
          <t>00, 03, 05, 30, 33, 35, 80, 83, 85</t>
        </is>
      </c>
      <c r="L179" s="7" t="inlineStr">
        <is>
          <t>TRƯỢT ❌</t>
        </is>
      </c>
      <c r="M179" s="7" t="inlineStr">
        <is>
          <t>TRƯỢT KHUNG ❌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8, 3, 0</t>
        </is>
      </c>
      <c r="H180" s="7" t="inlineStr">
        <is>
          <t>TRƯỢT ❌</t>
        </is>
      </c>
      <c r="I180" s="3" t="inlineStr">
        <is>
          <t>3, 6, 0</t>
        </is>
      </c>
      <c r="J180" s="7" t="inlineStr">
        <is>
          <t>TRƯỢT ❌</t>
        </is>
      </c>
      <c r="K180" s="3" t="inlineStr">
        <is>
          <t>00, 03, 06, 30, 33, 36, 80, 83, 86</t>
        </is>
      </c>
      <c r="L180" s="7" t="inlineStr">
        <is>
          <t>TRƯỢT ❌</t>
        </is>
      </c>
      <c r="M180" s="7" t="inlineStr">
        <is>
          <t>TRƯỢT KHUNG ❌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8, 0, 3</t>
        </is>
      </c>
      <c r="H181" s="7" t="inlineStr">
        <is>
          <t>TRƯỢT ❌</t>
        </is>
      </c>
      <c r="I181" s="3" t="inlineStr">
        <is>
          <t>3, 4, 6</t>
        </is>
      </c>
      <c r="J181" s="6" t="inlineStr">
        <is>
          <t>TRÚNG 🎯</t>
        </is>
      </c>
      <c r="K181" s="3" t="inlineStr">
        <is>
          <t>03, 04, 06, 33, 34, 36, 83, 84, 86</t>
        </is>
      </c>
      <c r="L181" s="7" t="inlineStr">
        <is>
          <t>TRƯỢT ❌</t>
        </is>
      </c>
      <c r="M181" s="7" t="inlineStr">
        <is>
          <t>TRƯỢT KHUNG ❌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8, 0, 3</t>
        </is>
      </c>
      <c r="H182" s="6" t="inlineStr">
        <is>
          <t>TRÚNG 🎯</t>
        </is>
      </c>
      <c r="I182" s="3" t="inlineStr">
        <is>
          <t>3, 6, 0</t>
        </is>
      </c>
      <c r="J182" s="7" t="inlineStr">
        <is>
          <t>TRƯỢT ❌</t>
        </is>
      </c>
      <c r="K182" s="3" t="inlineStr">
        <is>
          <t>00, 03, 06, 30, 33, 36, 80, 83, 86</t>
        </is>
      </c>
      <c r="L182" s="7" t="inlineStr">
        <is>
          <t>TRƯỢT ❌</t>
        </is>
      </c>
      <c r="M182" s="7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8, 0, 5</t>
        </is>
      </c>
      <c r="H183" s="7" t="inlineStr">
        <is>
          <t>TRƯỢT ❌</t>
        </is>
      </c>
      <c r="I183" s="3" t="inlineStr">
        <is>
          <t>3, 6, 0</t>
        </is>
      </c>
      <c r="J183" s="7" t="inlineStr">
        <is>
          <t>TRƯỢT ❌</t>
        </is>
      </c>
      <c r="K183" s="3" t="inlineStr">
        <is>
          <t>00, 03, 06, 50, 53, 56, 80, 83, 86</t>
        </is>
      </c>
      <c r="L183" s="7" t="inlineStr">
        <is>
          <t>TRƯỢT ❌</t>
        </is>
      </c>
      <c r="M183" s="7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8, 0, 5</t>
        </is>
      </c>
      <c r="H184" s="6" t="inlineStr">
        <is>
          <t>TRÚNG 🎯</t>
        </is>
      </c>
      <c r="I184" s="3" t="inlineStr">
        <is>
          <t>3, 2, 0</t>
        </is>
      </c>
      <c r="J184" s="7" t="inlineStr">
        <is>
          <t>TRƯỢT ❌</t>
        </is>
      </c>
      <c r="K184" s="3" t="inlineStr">
        <is>
          <t>00, 02, 03, 50, 52, 53, 80, 82, 83</t>
        </is>
      </c>
      <c r="L184" s="7" t="inlineStr">
        <is>
          <t>TRƯỢT ❌</t>
        </is>
      </c>
      <c r="M184" s="7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0, 5, 8</t>
        </is>
      </c>
      <c r="H185" s="7" t="inlineStr">
        <is>
          <t>TRƯỢT ❌</t>
        </is>
      </c>
      <c r="I185" s="3" t="inlineStr">
        <is>
          <t>3, 2, 8</t>
        </is>
      </c>
      <c r="J185" s="7" t="inlineStr">
        <is>
          <t>TRƯỢT ❌</t>
        </is>
      </c>
      <c r="K185" s="3" t="inlineStr">
        <is>
          <t>02, 03, 08, 52, 53, 58, 82, 83, 88</t>
        </is>
      </c>
      <c r="L185" s="7" t="inlineStr">
        <is>
          <t>TRƯỢT ❌</t>
        </is>
      </c>
      <c r="M185" s="7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5, 0, 8</t>
        </is>
      </c>
      <c r="H186" s="7" t="inlineStr">
        <is>
          <t>TRƯỢT ❌</t>
        </is>
      </c>
      <c r="I186" s="3" t="inlineStr">
        <is>
          <t>3, 4, 2</t>
        </is>
      </c>
      <c r="J186" s="7" t="inlineStr">
        <is>
          <t>TRƯỢT ❌</t>
        </is>
      </c>
      <c r="K186" s="3" t="inlineStr">
        <is>
          <t>02, 03, 04, 52, 53, 54, 82, 83, 84</t>
        </is>
      </c>
      <c r="L186" s="7" t="inlineStr">
        <is>
          <t>TRƯỢT ❌</t>
        </is>
      </c>
      <c r="M186" s="7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5, 0, 3</t>
        </is>
      </c>
      <c r="H187" s="7" t="inlineStr">
        <is>
          <t>TRƯỢT ❌</t>
        </is>
      </c>
      <c r="I187" s="3" t="inlineStr">
        <is>
          <t>3, 4, 2</t>
        </is>
      </c>
      <c r="J187" s="7" t="inlineStr">
        <is>
          <t>TRƯỢT ❌</t>
        </is>
      </c>
      <c r="K187" s="3" t="inlineStr">
        <is>
          <t>02, 03, 04, 32, 33, 34, 52, 53, 54</t>
        </is>
      </c>
      <c r="L187" s="7" t="inlineStr">
        <is>
          <t>TRƯỢT ❌</t>
        </is>
      </c>
      <c r="M187" s="7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5, 0, 3</t>
        </is>
      </c>
      <c r="H188" s="7" t="inlineStr">
        <is>
          <t>TRƯỢT ❌</t>
        </is>
      </c>
      <c r="I188" s="3" t="inlineStr">
        <is>
          <t>4, 3, 5</t>
        </is>
      </c>
      <c r="J188" s="7" t="inlineStr">
        <is>
          <t>TRƯỢT ❌</t>
        </is>
      </c>
      <c r="K188" s="3" t="inlineStr">
        <is>
          <t>03, 04, 05, 33, 34, 35, 53, 54, 55</t>
        </is>
      </c>
      <c r="L188" s="7" t="inlineStr">
        <is>
          <t>TRƯỢT ❌</t>
        </is>
      </c>
      <c r="M188" s="7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5, 3, 0</t>
        </is>
      </c>
      <c r="H189" s="7" t="inlineStr">
        <is>
          <t>TRƯỢT ❌</t>
        </is>
      </c>
      <c r="I189" s="3" t="inlineStr">
        <is>
          <t>4, 3, 2</t>
        </is>
      </c>
      <c r="J189" s="7" t="inlineStr">
        <is>
          <t>TRƯỢT ❌</t>
        </is>
      </c>
      <c r="K189" s="3" t="inlineStr">
        <is>
          <t>02, 03, 04, 32, 33, 34, 52, 53, 54</t>
        </is>
      </c>
      <c r="L189" s="7" t="inlineStr">
        <is>
          <t>TRƯỢT ❌</t>
        </is>
      </c>
      <c r="M189" s="7" t="inlineStr">
        <is>
          <t>TRƯỢT KHUNG ❌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5, 3, 8</t>
        </is>
      </c>
      <c r="H190" s="7" t="inlineStr">
        <is>
          <t>TRƯỢT ❌</t>
        </is>
      </c>
      <c r="I190" s="3" t="inlineStr">
        <is>
          <t>3, 4, 2</t>
        </is>
      </c>
      <c r="J190" s="7" t="inlineStr">
        <is>
          <t>TRƯỢT ❌</t>
        </is>
      </c>
      <c r="K190" s="3" t="inlineStr">
        <is>
          <t>32, 33, 34, 52, 53, 54, 82, 83, 84</t>
        </is>
      </c>
      <c r="L190" s="7" t="inlineStr">
        <is>
          <t>TRƯỢT ❌</t>
        </is>
      </c>
      <c r="M190" s="7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8, 5, 3</t>
        </is>
      </c>
      <c r="H191" s="7" t="inlineStr">
        <is>
          <t>TRƯỢT ❌</t>
        </is>
      </c>
      <c r="I191" s="3" t="inlineStr">
        <is>
          <t>3, 4, 2</t>
        </is>
      </c>
      <c r="J191" s="7" t="inlineStr">
        <is>
          <t>TRƯỢT ❌</t>
        </is>
      </c>
      <c r="K191" s="3" t="inlineStr">
        <is>
          <t>32, 33, 34, 52, 53, 54, 82, 83, 84</t>
        </is>
      </c>
      <c r="L191" s="7" t="inlineStr">
        <is>
          <t>TRƯỢT ❌</t>
        </is>
      </c>
      <c r="M191" s="7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5, 8, 3</t>
        </is>
      </c>
      <c r="H192" s="7" t="inlineStr">
        <is>
          <t>TRƯỢT ❌</t>
        </is>
      </c>
      <c r="I192" s="3" t="inlineStr">
        <is>
          <t>4, 2, 3</t>
        </is>
      </c>
      <c r="J192" s="6" t="inlineStr">
        <is>
          <t>TRÚNG 🎯</t>
        </is>
      </c>
      <c r="K192" s="3" t="inlineStr">
        <is>
          <t>32, 33, 34, 52, 53, 54, 82, 83, 84</t>
        </is>
      </c>
      <c r="L192" s="7" t="inlineStr">
        <is>
          <t>TRƯỢT ❌</t>
        </is>
      </c>
      <c r="M192" s="7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5, 8, 3</t>
        </is>
      </c>
      <c r="H193" s="7" t="inlineStr">
        <is>
          <t>TRƯỢT ❌</t>
        </is>
      </c>
      <c r="I193" s="3" t="inlineStr">
        <is>
          <t>9, 2, 3</t>
        </is>
      </c>
      <c r="J193" s="6" t="inlineStr">
        <is>
          <t>TRÚNG 🎯</t>
        </is>
      </c>
      <c r="K193" s="3" t="inlineStr">
        <is>
          <t>32, 33, 39, 52, 53, 59, 82, 83, 89</t>
        </is>
      </c>
      <c r="L193" s="7" t="inlineStr">
        <is>
          <t>TRƯỢT ❌</t>
        </is>
      </c>
      <c r="M193" s="7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8, 5, 3</t>
        </is>
      </c>
      <c r="H194" s="7" t="inlineStr">
        <is>
          <t>TRƯỢT ❌</t>
        </is>
      </c>
      <c r="I194" s="3" t="inlineStr">
        <is>
          <t>5, 2, 7</t>
        </is>
      </c>
      <c r="J194" s="6" t="inlineStr">
        <is>
          <t>TRÚNG 🎯</t>
        </is>
      </c>
      <c r="K194" s="3" t="inlineStr">
        <is>
          <t>32, 35, 37, 52, 55, 57, 82, 85, 87</t>
        </is>
      </c>
      <c r="L194" s="7" t="inlineStr">
        <is>
          <t>TRƯỢT ❌</t>
        </is>
      </c>
      <c r="M194" s="7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8, 5, 6</t>
        </is>
      </c>
      <c r="H195" s="7" t="inlineStr">
        <is>
          <t>TRƯỢT ❌</t>
        </is>
      </c>
      <c r="I195" s="3" t="inlineStr">
        <is>
          <t>5, 2, 4</t>
        </is>
      </c>
      <c r="J195" s="7" t="inlineStr">
        <is>
          <t>TRƯỢT ❌</t>
        </is>
      </c>
      <c r="K195" s="3" t="inlineStr">
        <is>
          <t>52, 54, 55, 62, 64, 65, 82, 84, 85</t>
        </is>
      </c>
      <c r="L195" s="7" t="inlineStr">
        <is>
          <t>TRƯỢT ❌</t>
        </is>
      </c>
      <c r="M195" s="7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8, 5, 6</t>
        </is>
      </c>
      <c r="H196" s="6" t="inlineStr">
        <is>
          <t>TRÚNG 🎯</t>
        </is>
      </c>
      <c r="I196" s="3" t="inlineStr">
        <is>
          <t>1, 5, 4</t>
        </is>
      </c>
      <c r="J196" s="7" t="inlineStr">
        <is>
          <t>TRƯỢT ❌</t>
        </is>
      </c>
      <c r="K196" s="3" t="inlineStr">
        <is>
          <t>51, 54, 55, 61, 64, 65, 81, 84, 85</t>
        </is>
      </c>
      <c r="L196" s="7" t="inlineStr">
        <is>
          <t>TRƯỢT ❌</t>
        </is>
      </c>
      <c r="M196" s="7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5, 8, 3</t>
        </is>
      </c>
      <c r="H197" s="6" t="inlineStr">
        <is>
          <t>TRÚNG 🎯</t>
        </is>
      </c>
      <c r="I197" s="3" t="inlineStr">
        <is>
          <t>1, 4, 5</t>
        </is>
      </c>
      <c r="J197" s="7" t="inlineStr">
        <is>
          <t>TRƯỢT ❌</t>
        </is>
      </c>
      <c r="K197" s="3" t="inlineStr">
        <is>
          <t>31, 34, 35, 51, 54, 55, 81, 84, 85</t>
        </is>
      </c>
      <c r="L197" s="7" t="inlineStr">
        <is>
          <t>TRƯỢT ❌</t>
        </is>
      </c>
      <c r="M197" s="7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8, 9, 5</t>
        </is>
      </c>
      <c r="H198" s="6" t="inlineStr">
        <is>
          <t>TRÚNG 🎯</t>
        </is>
      </c>
      <c r="I198" s="3" t="inlineStr">
        <is>
          <t>1, 4, 7</t>
        </is>
      </c>
      <c r="J198" s="7" t="inlineStr">
        <is>
          <t>TRƯỢT ❌</t>
        </is>
      </c>
      <c r="K198" s="3" t="inlineStr">
        <is>
          <t>51, 54, 57, 81, 84, 87, 91, 94, 97</t>
        </is>
      </c>
      <c r="L198" s="7" t="inlineStr">
        <is>
          <t>TRƯỢT ❌</t>
        </is>
      </c>
      <c r="M198" s="7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8, 5, 6</t>
        </is>
      </c>
      <c r="H199" s="7" t="inlineStr">
        <is>
          <t>TRƯỢT ❌</t>
        </is>
      </c>
      <c r="I199" s="3" t="inlineStr">
        <is>
          <t>7, 1, 4</t>
        </is>
      </c>
      <c r="J199" s="7" t="inlineStr">
        <is>
          <t>TRƯỢT ❌</t>
        </is>
      </c>
      <c r="K199" s="3" t="inlineStr">
        <is>
          <t>51, 54, 57, 61, 64, 67, 81, 84, 87</t>
        </is>
      </c>
      <c r="L199" s="7" t="inlineStr">
        <is>
          <t>TRƯỢT ❌</t>
        </is>
      </c>
      <c r="M199" s="7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8, 6, 5</t>
        </is>
      </c>
      <c r="H200" s="7" t="inlineStr">
        <is>
          <t>TRƯỢT ❌</t>
        </is>
      </c>
      <c r="I200" s="3" t="inlineStr">
        <is>
          <t>7, 9, 4</t>
        </is>
      </c>
      <c r="J200" s="7" t="inlineStr">
        <is>
          <t>TRƯỢT ❌</t>
        </is>
      </c>
      <c r="K200" s="3" t="inlineStr">
        <is>
          <t>54, 57, 59, 64, 67, 69, 84, 87, 89</t>
        </is>
      </c>
      <c r="L200" s="7" t="inlineStr">
        <is>
          <t>TRƯỢT ❌</t>
        </is>
      </c>
      <c r="M200" s="6" t="inlineStr">
        <is>
          <t>TRÚNG KHUNG 🎯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6, 8, 5</t>
        </is>
      </c>
      <c r="H201" s="7" t="inlineStr">
        <is>
          <t>TRƯỢT ❌</t>
        </is>
      </c>
      <c r="I201" s="3" t="inlineStr">
        <is>
          <t>7, 9, 3</t>
        </is>
      </c>
      <c r="J201" s="7" t="inlineStr">
        <is>
          <t>TRƯỢT ❌</t>
        </is>
      </c>
      <c r="K201" s="3" t="inlineStr">
        <is>
          <t>53, 57, 59, 63, 67, 69, 83, 87, 89</t>
        </is>
      </c>
      <c r="L201" s="7" t="inlineStr">
        <is>
          <t>TRƯỢT ❌</t>
        </is>
      </c>
      <c r="M201" s="7" t="inlineStr">
        <is>
          <t>TRƯỢT KHUNG ❌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6, 3, 8</t>
        </is>
      </c>
      <c r="H202" s="7" t="inlineStr">
        <is>
          <t>TRƯỢT ❌</t>
        </is>
      </c>
      <c r="I202" s="3" t="inlineStr">
        <is>
          <t>9, 7, 1</t>
        </is>
      </c>
      <c r="J202" s="7" t="inlineStr">
        <is>
          <t>TRƯỢT ❌</t>
        </is>
      </c>
      <c r="K202" s="3" t="inlineStr">
        <is>
          <t>31, 37, 39, 61, 67, 69, 81, 87, 89</t>
        </is>
      </c>
      <c r="L202" s="7" t="inlineStr">
        <is>
          <t>TRƯỢT ❌</t>
        </is>
      </c>
      <c r="M202" s="7" t="inlineStr">
        <is>
          <t>TRƯỢT KHUNG ❌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6, 9, 8</t>
        </is>
      </c>
      <c r="H203" s="7" t="inlineStr">
        <is>
          <t>TRƯỢT ❌</t>
        </is>
      </c>
      <c r="I203" s="3" t="inlineStr">
        <is>
          <t>9, 7, 1</t>
        </is>
      </c>
      <c r="J203" s="7" t="inlineStr">
        <is>
          <t>TRƯỢT ❌</t>
        </is>
      </c>
      <c r="K203" s="3" t="inlineStr">
        <is>
          <t>61, 67, 69, 81, 87, 89, 91, 97, 99</t>
        </is>
      </c>
      <c r="L203" s="7" t="inlineStr">
        <is>
          <t>TRƯỢT ❌</t>
        </is>
      </c>
      <c r="M203" s="7" t="inlineStr">
        <is>
          <t>TRƯỢT KHUNG ❌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6, 9, 3</t>
        </is>
      </c>
      <c r="H204" s="6" t="inlineStr">
        <is>
          <t>TRÚNG 🎯</t>
        </is>
      </c>
      <c r="I204" s="3" t="inlineStr">
        <is>
          <t>9, 7, 1</t>
        </is>
      </c>
      <c r="J204" s="7" t="inlineStr">
        <is>
          <t>TRƯỢT ❌</t>
        </is>
      </c>
      <c r="K204" s="3" t="inlineStr">
        <is>
          <t>31, 37, 39, 61, 67, 69, 91, 97, 99</t>
        </is>
      </c>
      <c r="L204" s="7" t="inlineStr">
        <is>
          <t>TRƯỢT ❌</t>
        </is>
      </c>
      <c r="M204" s="7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9, 6, 8</t>
        </is>
      </c>
      <c r="H205" s="7" t="inlineStr">
        <is>
          <t>TRƯỢT ❌</t>
        </is>
      </c>
      <c r="I205" s="3" t="inlineStr">
        <is>
          <t>9, 7, 4</t>
        </is>
      </c>
      <c r="J205" s="7" t="inlineStr">
        <is>
          <t>TRƯỢT ❌</t>
        </is>
      </c>
      <c r="K205" s="3" t="inlineStr">
        <is>
          <t>64, 67, 69, 84, 87, 89, 94, 97, 99</t>
        </is>
      </c>
      <c r="L205" s="7" t="inlineStr">
        <is>
          <t>TRƯỢT ❌</t>
        </is>
      </c>
      <c r="M205" s="7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9, 6, 7</t>
        </is>
      </c>
      <c r="H206" s="7" t="inlineStr">
        <is>
          <t>TRƯỢT ❌</t>
        </is>
      </c>
      <c r="I206" s="3" t="inlineStr">
        <is>
          <t>9, 7, 4</t>
        </is>
      </c>
      <c r="J206" s="7" t="inlineStr">
        <is>
          <t>TRƯỢT ❌</t>
        </is>
      </c>
      <c r="K206" s="3" t="inlineStr">
        <is>
          <t>64, 67, 69, 74, 77, 79, 94, 97, 99</t>
        </is>
      </c>
      <c r="L206" s="7" t="inlineStr">
        <is>
          <t>TRƯỢT ❌</t>
        </is>
      </c>
      <c r="M206" s="7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6, 9, 7</t>
        </is>
      </c>
      <c r="H207" s="6" t="inlineStr">
        <is>
          <t>TRÚNG 🎯</t>
        </is>
      </c>
      <c r="I207" s="3" t="inlineStr">
        <is>
          <t>9, 7, 4</t>
        </is>
      </c>
      <c r="J207" s="7" t="inlineStr">
        <is>
          <t>TRƯỢT ❌</t>
        </is>
      </c>
      <c r="K207" s="3" t="inlineStr">
        <is>
          <t>64, 67, 69, 74, 77, 79, 94, 97, 99</t>
        </is>
      </c>
      <c r="L207" s="7" t="inlineStr">
        <is>
          <t>TRƯỢT ❌</t>
        </is>
      </c>
      <c r="M207" s="7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5, 6, 7</t>
        </is>
      </c>
      <c r="H208" s="7" t="inlineStr">
        <is>
          <t>TRƯỢT ❌</t>
        </is>
      </c>
      <c r="I208" s="3" t="inlineStr">
        <is>
          <t>9, 4, 7</t>
        </is>
      </c>
      <c r="J208" s="7" t="inlineStr">
        <is>
          <t>TRƯỢT ❌</t>
        </is>
      </c>
      <c r="K208" s="3" t="inlineStr">
        <is>
          <t>54, 57, 59, 64, 67, 69, 74, 77, 79</t>
        </is>
      </c>
      <c r="L208" s="7" t="inlineStr">
        <is>
          <t>TRƯỢT ❌</t>
        </is>
      </c>
      <c r="M208" s="7" t="inlineStr">
        <is>
          <t>TRƯỢT KHUNG ❌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3, 6, 5</t>
        </is>
      </c>
      <c r="H209" s="7" t="inlineStr">
        <is>
          <t>TRƯỢT ❌</t>
        </is>
      </c>
      <c r="I209" s="3" t="inlineStr">
        <is>
          <t>9, 4, 7</t>
        </is>
      </c>
      <c r="J209" s="7" t="inlineStr">
        <is>
          <t>TRƯỢT ❌</t>
        </is>
      </c>
      <c r="K209" s="3" t="inlineStr">
        <is>
          <t>34, 37, 39, 54, 57, 59, 64, 67, 69</t>
        </is>
      </c>
      <c r="L209" s="7" t="inlineStr">
        <is>
          <t>TRƯỢT ❌</t>
        </is>
      </c>
      <c r="M209" s="6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3, 6, 5</t>
        </is>
      </c>
      <c r="H210" s="6" t="inlineStr">
        <is>
          <t>TRÚNG 🎯</t>
        </is>
      </c>
      <c r="I210" s="3" t="inlineStr">
        <is>
          <t>9, 8, 4</t>
        </is>
      </c>
      <c r="J210" s="6" t="inlineStr">
        <is>
          <t>TRÚNG 🎯</t>
        </is>
      </c>
      <c r="K210" s="3" t="inlineStr">
        <is>
          <t>34, 38, 39, 54, 58, 59, 64, 68, 69</t>
        </is>
      </c>
      <c r="L210" s="6" t="inlineStr">
        <is>
          <t>TRÚNG 🎯</t>
        </is>
      </c>
      <c r="M210" s="6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5, 9, 6</t>
        </is>
      </c>
      <c r="H211" s="7" t="inlineStr">
        <is>
          <t>TRƯỢT ❌</t>
        </is>
      </c>
      <c r="I211" s="3" t="inlineStr">
        <is>
          <t>9, 8, 7</t>
        </is>
      </c>
      <c r="J211" s="7" t="inlineStr">
        <is>
          <t>TRƯỢT ❌</t>
        </is>
      </c>
      <c r="K211" s="3" t="inlineStr">
        <is>
          <t>57, 58, 59, 67, 68, 69, 97, 98, 99</t>
        </is>
      </c>
      <c r="L211" s="7" t="inlineStr">
        <is>
          <t>TRƯỢT ❌</t>
        </is>
      </c>
      <c r="M211" s="7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9, 6, 7</t>
        </is>
      </c>
      <c r="H212" s="7" t="inlineStr">
        <is>
          <t>TRƯỢT ❌</t>
        </is>
      </c>
      <c r="I212" s="3" t="inlineStr">
        <is>
          <t>9, 8, 7</t>
        </is>
      </c>
      <c r="J212" s="7" t="inlineStr">
        <is>
          <t>TRƯỢT ❌</t>
        </is>
      </c>
      <c r="K212" s="3" t="inlineStr">
        <is>
          <t>67, 68, 69, 77, 78, 79, 97, 98, 99</t>
        </is>
      </c>
      <c r="L212" s="7" t="inlineStr">
        <is>
          <t>TRƯỢT ❌</t>
        </is>
      </c>
      <c r="M212" s="7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9, 7, 8</t>
        </is>
      </c>
      <c r="H213" s="7" t="inlineStr">
        <is>
          <t>TRƯỢT ❌</t>
        </is>
      </c>
      <c r="I213" s="3" t="inlineStr">
        <is>
          <t>9, 8, 7</t>
        </is>
      </c>
      <c r="J213" s="6" t="inlineStr">
        <is>
          <t>TRÚNG 🎯</t>
        </is>
      </c>
      <c r="K213" s="3" t="inlineStr">
        <is>
          <t>77, 78, 79, 87, 88, 89, 97, 98, 99</t>
        </is>
      </c>
      <c r="L213" s="7" t="inlineStr">
        <is>
          <t>TRƯỢT ❌</t>
        </is>
      </c>
      <c r="M213" s="7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9, 8, 7</t>
        </is>
      </c>
      <c r="H214" s="7" t="inlineStr">
        <is>
          <t>TRƯỢT ❌</t>
        </is>
      </c>
      <c r="I214" s="3" t="inlineStr">
        <is>
          <t>8, 4, 7</t>
        </is>
      </c>
      <c r="J214" s="6" t="inlineStr">
        <is>
          <t>TRÚNG 🎯</t>
        </is>
      </c>
      <c r="K214" s="3" t="inlineStr">
        <is>
          <t>74, 77, 78, 84, 87, 88, 94, 97, 98</t>
        </is>
      </c>
      <c r="L214" s="7" t="inlineStr">
        <is>
          <t>TRƯỢT ❌</t>
        </is>
      </c>
      <c r="M214" s="7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9, 3, 8</t>
        </is>
      </c>
      <c r="H215" s="7" t="inlineStr">
        <is>
          <t>TRƯỢT ❌</t>
        </is>
      </c>
      <c r="I215" s="3" t="inlineStr">
        <is>
          <t>4, 8, 9</t>
        </is>
      </c>
      <c r="J215" s="7" t="inlineStr">
        <is>
          <t>TRƯỢT ❌</t>
        </is>
      </c>
      <c r="K215" s="3" t="inlineStr">
        <is>
          <t>34, 38, 39, 84, 88, 89, 94, 98, 99</t>
        </is>
      </c>
      <c r="L215" s="7" t="inlineStr">
        <is>
          <t>TRƯỢT ❌</t>
        </is>
      </c>
      <c r="M215" s="7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9, 3, 1</t>
        </is>
      </c>
      <c r="H216" s="7" t="inlineStr">
        <is>
          <t>TRƯỢT ❌</t>
        </is>
      </c>
      <c r="I216" s="3" t="inlineStr">
        <is>
          <t>0, 4, 8</t>
        </is>
      </c>
      <c r="J216" s="6" t="inlineStr">
        <is>
          <t>TRÚNG 🎯</t>
        </is>
      </c>
      <c r="K216" s="3" t="inlineStr">
        <is>
          <t>10, 14, 18, 30, 34, 38, 90, 94, 98</t>
        </is>
      </c>
      <c r="L216" s="7" t="inlineStr">
        <is>
          <t>TRƯỢT ❌</t>
        </is>
      </c>
      <c r="M216" s="7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3, 9, 1</t>
        </is>
      </c>
      <c r="H217" s="7" t="inlineStr">
        <is>
          <t>TRƯỢT ❌</t>
        </is>
      </c>
      <c r="I217" s="3" t="inlineStr">
        <is>
          <t>4, 9, 8</t>
        </is>
      </c>
      <c r="J217" s="7" t="inlineStr">
        <is>
          <t>TRƯỢT ❌</t>
        </is>
      </c>
      <c r="K217" s="3" t="inlineStr">
        <is>
          <t>14, 18, 19, 34, 38, 39, 94, 98, 99</t>
        </is>
      </c>
      <c r="L217" s="7" t="inlineStr">
        <is>
          <t>TRƯỢT ❌</t>
        </is>
      </c>
      <c r="M217" s="7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3, 9, 0</t>
        </is>
      </c>
      <c r="H218" s="7" t="inlineStr">
        <is>
          <t>TRƯỢT ❌</t>
        </is>
      </c>
      <c r="I218" s="3" t="inlineStr">
        <is>
          <t>9, 4, 8</t>
        </is>
      </c>
      <c r="J218" s="6" t="inlineStr">
        <is>
          <t>TRÚNG 🎯</t>
        </is>
      </c>
      <c r="K218" s="3" t="inlineStr">
        <is>
          <t>04, 08, 09, 34, 38, 39, 94, 98, 99</t>
        </is>
      </c>
      <c r="L218" s="7" t="inlineStr">
        <is>
          <t>TRƯỢT ❌</t>
        </is>
      </c>
      <c r="M218" s="7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3, 9, 0</t>
        </is>
      </c>
      <c r="H219" s="7" t="inlineStr">
        <is>
          <t>TRƯỢT ❌</t>
        </is>
      </c>
      <c r="I219" s="3" t="inlineStr">
        <is>
          <t>4, 8, 3</t>
        </is>
      </c>
      <c r="J219" s="7" t="inlineStr">
        <is>
          <t>TRƯỢT ❌</t>
        </is>
      </c>
      <c r="K219" s="3" t="inlineStr">
        <is>
          <t>03, 04, 08, 33, 34, 38, 93, 94, 98</t>
        </is>
      </c>
      <c r="L219" s="7" t="inlineStr">
        <is>
          <t>TRƯỢT ❌</t>
        </is>
      </c>
      <c r="M219" s="7" t="inlineStr">
        <is>
          <t>TRƯỢT KHUNG ❌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3, 9, 0</t>
        </is>
      </c>
      <c r="H220" s="7" t="inlineStr">
        <is>
          <t>TRƯỢT ❌</t>
        </is>
      </c>
      <c r="I220" s="3" t="inlineStr">
        <is>
          <t>4, 8, 3</t>
        </is>
      </c>
      <c r="J220" s="7" t="inlineStr">
        <is>
          <t>TRƯỢT ❌</t>
        </is>
      </c>
      <c r="K220" s="3" t="inlineStr">
        <is>
          <t>03, 04, 08, 33, 34, 38, 93, 94, 98</t>
        </is>
      </c>
      <c r="L220" s="7" t="inlineStr">
        <is>
          <t>TRƯỢT ❌</t>
        </is>
      </c>
      <c r="M220" s="7" t="inlineStr">
        <is>
          <t>TRƯỢT KHUNG ❌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3, 9, 0</t>
        </is>
      </c>
      <c r="H221" s="7" t="inlineStr">
        <is>
          <t>TRƯỢT ❌</t>
        </is>
      </c>
      <c r="I221" s="3" t="inlineStr">
        <is>
          <t>0, 4, 8</t>
        </is>
      </c>
      <c r="J221" s="7" t="inlineStr">
        <is>
          <t>TRƯỢT ❌</t>
        </is>
      </c>
      <c r="K221" s="3" t="inlineStr">
        <is>
          <t>00, 04, 08, 30, 34, 38, 90, 94, 98</t>
        </is>
      </c>
      <c r="L221" s="7" t="inlineStr">
        <is>
          <t>TRƯỢT ❌</t>
        </is>
      </c>
      <c r="M221" s="7" t="inlineStr">
        <is>
          <t>TRƯỢT KHUNG ❌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3, 9, 6</t>
        </is>
      </c>
      <c r="H222" s="6" t="inlineStr">
        <is>
          <t>TRÚNG 🎯</t>
        </is>
      </c>
      <c r="I222" s="3" t="inlineStr">
        <is>
          <t>0, 4, 9</t>
        </is>
      </c>
      <c r="J222" s="7" t="inlineStr">
        <is>
          <t>TRƯỢT ❌</t>
        </is>
      </c>
      <c r="K222" s="3" t="inlineStr">
        <is>
          <t>30, 34, 39, 60, 64, 69, 90, 94, 99</t>
        </is>
      </c>
      <c r="L222" s="7" t="inlineStr">
        <is>
          <t>TRƯỢT ❌</t>
        </is>
      </c>
      <c r="M222" s="7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2, 3, 6</t>
        </is>
      </c>
      <c r="H223" s="6" t="inlineStr">
        <is>
          <t>TRÚNG 🎯</t>
        </is>
      </c>
      <c r="I223" s="3" t="inlineStr">
        <is>
          <t>0, 9, 3</t>
        </is>
      </c>
      <c r="J223" s="7" t="inlineStr">
        <is>
          <t>TRƯỢT ❌</t>
        </is>
      </c>
      <c r="K223" s="3" t="inlineStr">
        <is>
          <t>20, 23, 29, 30, 33, 39, 60, 63, 69</t>
        </is>
      </c>
      <c r="L223" s="7" t="inlineStr">
        <is>
          <t>TRƯỢT ❌</t>
        </is>
      </c>
      <c r="M223" s="7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3, 6, 2</t>
        </is>
      </c>
      <c r="H224" s="7" t="inlineStr">
        <is>
          <t>TRƯỢT ❌</t>
        </is>
      </c>
      <c r="I224" s="3" t="inlineStr">
        <is>
          <t>0, 9, 3</t>
        </is>
      </c>
      <c r="J224" s="7" t="inlineStr">
        <is>
          <t>TRƯỢT ❌</t>
        </is>
      </c>
      <c r="K224" s="3" t="inlineStr">
        <is>
          <t>20, 23, 29, 30, 33, 39, 60, 63, 69</t>
        </is>
      </c>
      <c r="L224" s="7" t="inlineStr">
        <is>
          <t>TRƯỢT ❌</t>
        </is>
      </c>
      <c r="M224" s="7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2, 3, 6</t>
        </is>
      </c>
      <c r="H225" s="7" t="inlineStr">
        <is>
          <t>TRƯỢT ❌</t>
        </is>
      </c>
      <c r="I225" s="3" t="inlineStr">
        <is>
          <t>0, 9, 3</t>
        </is>
      </c>
      <c r="J225" s="7" t="inlineStr">
        <is>
          <t>TRƯỢT ❌</t>
        </is>
      </c>
      <c r="K225" s="3" t="inlineStr">
        <is>
          <t>20, 23, 29, 30, 33, 39, 60, 63, 69</t>
        </is>
      </c>
      <c r="L225" s="7" t="inlineStr">
        <is>
          <t>TRƯỢT ❌</t>
        </is>
      </c>
      <c r="M225" s="7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2, 3, 5</t>
        </is>
      </c>
      <c r="H226" s="7" t="inlineStr">
        <is>
          <t>TRƯỢT ❌</t>
        </is>
      </c>
      <c r="I226" s="3" t="inlineStr">
        <is>
          <t>0, 7, 9</t>
        </is>
      </c>
      <c r="J226" s="7" t="inlineStr">
        <is>
          <t>TRƯỢT ❌</t>
        </is>
      </c>
      <c r="K226" s="3" t="inlineStr">
        <is>
          <t>20, 27, 29, 30, 37, 39, 50, 57, 59</t>
        </is>
      </c>
      <c r="L226" s="7" t="inlineStr">
        <is>
          <t>TRƯỢT ❌</t>
        </is>
      </c>
      <c r="M226" s="6" t="inlineStr">
        <is>
          <t>TRÚNG KHUNG 🎯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2, 5, 9</t>
        </is>
      </c>
      <c r="H227" s="6" t="inlineStr">
        <is>
          <t>TRÚNG 🎯</t>
        </is>
      </c>
      <c r="I227" s="3" t="inlineStr">
        <is>
          <t>0, 7, 9</t>
        </is>
      </c>
      <c r="J227" s="7" t="inlineStr">
        <is>
          <t>TRƯỢT ❌</t>
        </is>
      </c>
      <c r="K227" s="3" t="inlineStr">
        <is>
          <t>20, 27, 29, 50, 57, 59, 90, 97, 99</t>
        </is>
      </c>
      <c r="L227" s="7" t="inlineStr">
        <is>
          <t>TRƯỢT ❌</t>
        </is>
      </c>
      <c r="M227" s="7" t="inlineStr">
        <is>
          <t>TRƯỢT KHUNG ❌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2, 5, 0</t>
        </is>
      </c>
      <c r="H228" s="7" t="inlineStr">
        <is>
          <t>TRƯỢT ❌</t>
        </is>
      </c>
      <c r="I228" s="3" t="inlineStr">
        <is>
          <t>0, 7, 8</t>
        </is>
      </c>
      <c r="J228" s="7" t="inlineStr">
        <is>
          <t>TRƯỢT ❌</t>
        </is>
      </c>
      <c r="K228" s="3" t="inlineStr">
        <is>
          <t>00, 07, 08, 20, 27, 28, 50, 57, 58</t>
        </is>
      </c>
      <c r="L228" s="7" t="inlineStr">
        <is>
          <t>TRƯỢT ❌</t>
        </is>
      </c>
      <c r="M228" s="7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2, 5, 0</t>
        </is>
      </c>
      <c r="H229" s="7" t="inlineStr">
        <is>
          <t>TRƯỢT ❌</t>
        </is>
      </c>
      <c r="I229" s="3" t="inlineStr">
        <is>
          <t>4, 0, 8</t>
        </is>
      </c>
      <c r="J229" s="7" t="inlineStr">
        <is>
          <t>TRƯỢT ❌</t>
        </is>
      </c>
      <c r="K229" s="3" t="inlineStr">
        <is>
          <t>00, 04, 08, 20, 24, 28, 50, 54, 58</t>
        </is>
      </c>
      <c r="L229" s="7" t="inlineStr">
        <is>
          <t>TRƯỢT ❌</t>
        </is>
      </c>
      <c r="M229" s="7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2, 1, 5</t>
        </is>
      </c>
      <c r="H230" s="7" t="inlineStr">
        <is>
          <t>TRƯỢT ❌</t>
        </is>
      </c>
      <c r="I230" s="3" t="inlineStr">
        <is>
          <t>4, 0, 8</t>
        </is>
      </c>
      <c r="J230" s="7" t="inlineStr">
        <is>
          <t>TRƯỢT ❌</t>
        </is>
      </c>
      <c r="K230" s="3" t="inlineStr">
        <is>
          <t>10, 14, 18, 20, 24, 28, 50, 54, 58</t>
        </is>
      </c>
      <c r="L230" s="7" t="inlineStr">
        <is>
          <t>TRƯỢT ❌</t>
        </is>
      </c>
      <c r="M230" s="7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2, 1, 7</t>
        </is>
      </c>
      <c r="H231" s="6" t="inlineStr">
        <is>
          <t>TRÚNG 🎯</t>
        </is>
      </c>
      <c r="I231" s="3" t="inlineStr">
        <is>
          <t>4, 8, 0</t>
        </is>
      </c>
      <c r="J231" s="7" t="inlineStr">
        <is>
          <t>TRƯỢT ❌</t>
        </is>
      </c>
      <c r="K231" s="3" t="inlineStr">
        <is>
          <t>10, 14, 18, 20, 24, 28, 70, 74, 78</t>
        </is>
      </c>
      <c r="L231" s="7" t="inlineStr">
        <is>
          <t>TRƯỢT ❌</t>
        </is>
      </c>
      <c r="M231" s="7" t="inlineStr">
        <is>
          <t>TRƯỢT KHUNG ❌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1, 9, 2</t>
        </is>
      </c>
      <c r="H232" s="7" t="inlineStr">
        <is>
          <t>TRƯỢT ❌</t>
        </is>
      </c>
      <c r="I232" s="3" t="inlineStr">
        <is>
          <t>4, 6, 8</t>
        </is>
      </c>
      <c r="J232" s="7" t="inlineStr">
        <is>
          <t>TRƯỢT ❌</t>
        </is>
      </c>
      <c r="K232" s="3" t="inlineStr">
        <is>
          <t>14, 16, 18, 24, 26, 28, 94, 96, 98</t>
        </is>
      </c>
      <c r="L232" s="7" t="inlineStr">
        <is>
          <t>TRƯỢT ❌</t>
        </is>
      </c>
      <c r="M232" s="7" t="inlineStr">
        <is>
          <t>TRƯỢT KHUNG ❌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2, 1, 9</t>
        </is>
      </c>
      <c r="H233" s="6" t="inlineStr">
        <is>
          <t>TRÚNG 🎯</t>
        </is>
      </c>
      <c r="I233" s="3" t="inlineStr">
        <is>
          <t>6, 8, 9</t>
        </is>
      </c>
      <c r="J233" s="7" t="inlineStr">
        <is>
          <t>TRƯỢT ❌</t>
        </is>
      </c>
      <c r="K233" s="3" t="inlineStr">
        <is>
          <t>16, 18, 19, 26, 28, 29, 96, 98, 99</t>
        </is>
      </c>
      <c r="L233" s="7" t="inlineStr">
        <is>
          <t>TRƯỢT ❌</t>
        </is>
      </c>
      <c r="M233" s="7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2, 9, 7</t>
        </is>
      </c>
      <c r="H234" s="7" t="inlineStr">
        <is>
          <t>TRƯỢT ❌</t>
        </is>
      </c>
      <c r="I234" s="3" t="inlineStr">
        <is>
          <t>6, 8, 9</t>
        </is>
      </c>
      <c r="J234" s="6" t="inlineStr">
        <is>
          <t>TRÚNG 🎯</t>
        </is>
      </c>
      <c r="K234" s="3" t="inlineStr">
        <is>
          <t>26, 28, 29, 76, 78, 79, 96, 98, 99</t>
        </is>
      </c>
      <c r="L234" s="7" t="inlineStr">
        <is>
          <t>TRƯỢT ❌</t>
        </is>
      </c>
      <c r="M234" s="7" t="inlineStr">
        <is>
          <t>TRƯỢT KHUNG ❌</t>
        </is>
      </c>
    </row>
    <row r="235">
      <c r="A235" s="2" t="n">
        <v>231</v>
      </c>
      <c r="B235" s="2" t="inlineStr">
        <is>
          <t>Chủ nhật ngày 23-08-2026</t>
        </is>
      </c>
      <c r="C235" s="3" t="inlineStr">
        <is>
          <t>36917</t>
        </is>
      </c>
      <c r="D235" s="3" t="inlineStr">
        <is>
          <t>17</t>
        </is>
      </c>
      <c r="E235" s="3" t="inlineStr">
        <is>
          <t>Đầu 1</t>
        </is>
      </c>
      <c r="F235" s="3" t="inlineStr">
        <is>
          <t>Đuôi 7</t>
        </is>
      </c>
      <c r="G235" s="3" t="inlineStr">
        <is>
          <t>2, 4, 9</t>
        </is>
      </c>
      <c r="H235" s="7" t="inlineStr">
        <is>
          <t>TRƯỢT ❌</t>
        </is>
      </c>
      <c r="I235" s="3" t="inlineStr">
        <is>
          <t>6, 3, 9</t>
        </is>
      </c>
      <c r="J235" s="7" t="inlineStr">
        <is>
          <t>TRƯỢT ❌</t>
        </is>
      </c>
      <c r="K235" s="3" t="inlineStr">
        <is>
          <t>23, 26, 29, 43, 46, 49, 93, 96, 99</t>
        </is>
      </c>
      <c r="L235" s="7" t="inlineStr">
        <is>
          <t>TRƯỢT ❌</t>
        </is>
      </c>
      <c r="M235" s="7" t="inlineStr">
        <is>
          <t>TRƯỢT KHUNG ❌</t>
        </is>
      </c>
    </row>
    <row r="236">
      <c r="A236" s="2" t="n">
        <v>232</v>
      </c>
      <c r="B236" s="2" t="inlineStr">
        <is>
          <t>Thứ hai ngày 24-08-2026</t>
        </is>
      </c>
      <c r="C236" s="3" t="inlineStr">
        <is>
          <t>85080</t>
        </is>
      </c>
      <c r="D236" s="3" t="inlineStr">
        <is>
          <t>80</t>
        </is>
      </c>
      <c r="E236" s="3" t="inlineStr">
        <is>
          <t>Đầu 8</t>
        </is>
      </c>
      <c r="F236" s="3" t="inlineStr">
        <is>
          <t>Đuôi 0</t>
        </is>
      </c>
      <c r="G236" s="3" t="inlineStr">
        <is>
          <t>2, 4, 9</t>
        </is>
      </c>
      <c r="H236" s="7" t="inlineStr">
        <is>
          <t>TRƯỢT ❌</t>
        </is>
      </c>
      <c r="I236" s="3" t="inlineStr">
        <is>
          <t>3, 6, 9</t>
        </is>
      </c>
      <c r="J236" s="7" t="inlineStr">
        <is>
          <t>TRƯỢT ❌</t>
        </is>
      </c>
      <c r="K236" s="3" t="inlineStr">
        <is>
          <t>23, 26, 29, 43, 46, 49, 93, 96, 99</t>
        </is>
      </c>
      <c r="L236" s="7" t="inlineStr">
        <is>
          <t>TRƯỢT ❌</t>
        </is>
      </c>
      <c r="M236" s="7" t="inlineStr">
        <is>
          <t>TRƯỢT KHUNG ❌</t>
        </is>
      </c>
    </row>
    <row r="237">
      <c r="A237" s="2" t="n">
        <v>233</v>
      </c>
      <c r="B237" s="2" t="inlineStr">
        <is>
          <t>Thứ ba ngày 25-08-2026</t>
        </is>
      </c>
      <c r="C237" s="3" t="inlineStr">
        <is>
          <t>85361</t>
        </is>
      </c>
      <c r="D237" s="3" t="inlineStr">
        <is>
          <t>61</t>
        </is>
      </c>
      <c r="E237" s="3" t="inlineStr">
        <is>
          <t>Đầu 6</t>
        </is>
      </c>
      <c r="F237" s="3" t="inlineStr">
        <is>
          <t>Đuôi 1</t>
        </is>
      </c>
      <c r="G237" s="3" t="inlineStr">
        <is>
          <t>2, 4, 9</t>
        </is>
      </c>
      <c r="H237" s="7" t="inlineStr">
        <is>
          <t>TRƯỢT ❌</t>
        </is>
      </c>
      <c r="I237" s="3" t="inlineStr">
        <is>
          <t>3, 6, 9</t>
        </is>
      </c>
      <c r="J237" s="7" t="inlineStr">
        <is>
          <t>TRƯỢT ❌</t>
        </is>
      </c>
      <c r="K237" s="3" t="inlineStr">
        <is>
          <t>23, 26, 29, 43, 46, 49, 93, 96, 99</t>
        </is>
      </c>
      <c r="L237" s="7" t="inlineStr">
        <is>
          <t>TRƯỢT ❌</t>
        </is>
      </c>
      <c r="M237" s="7" t="inlineStr">
        <is>
          <t>TRƯỢT KHUNG ❌</t>
        </is>
      </c>
    </row>
    <row r="238">
      <c r="A238" s="2" t="n">
        <v>234</v>
      </c>
      <c r="B238" s="2" t="inlineStr">
        <is>
          <t>Thứ tư ngày 26-08-2026</t>
        </is>
      </c>
      <c r="C238" s="3" t="inlineStr">
        <is>
          <t>82645</t>
        </is>
      </c>
      <c r="D238" s="3" t="inlineStr">
        <is>
          <t>45</t>
        </is>
      </c>
      <c r="E238" s="3" t="inlineStr">
        <is>
          <t>Đầu 4</t>
        </is>
      </c>
      <c r="F238" s="3" t="inlineStr">
        <is>
          <t>Đuôi 5</t>
        </is>
      </c>
      <c r="G238" s="3" t="inlineStr">
        <is>
          <t>2, 4, 3</t>
        </is>
      </c>
      <c r="H238" s="6" t="inlineStr">
        <is>
          <t>TRÚNG 🎯</t>
        </is>
      </c>
      <c r="I238" s="3" t="inlineStr">
        <is>
          <t>3, 9, 4</t>
        </is>
      </c>
      <c r="J238" s="7" t="inlineStr">
        <is>
          <t>TRƯỢT ❌</t>
        </is>
      </c>
      <c r="K238" s="3" t="inlineStr">
        <is>
          <t>23, 24, 29, 33, 34, 39, 43, 44, 49</t>
        </is>
      </c>
      <c r="L238" s="7" t="inlineStr">
        <is>
          <t>TRƯỢT ❌</t>
        </is>
      </c>
      <c r="M238" s="7" t="inlineStr">
        <is>
          <t>TRƯỢT KHUNG ❌</t>
        </is>
      </c>
    </row>
    <row r="239">
      <c r="A239" s="2" t="n">
        <v>235</v>
      </c>
      <c r="B239" s="2" t="inlineStr">
        <is>
          <t>Thứ năm ngày 27-08-2026</t>
        </is>
      </c>
      <c r="C239" s="3" t="inlineStr">
        <is>
          <t>06168</t>
        </is>
      </c>
      <c r="D239" s="3" t="inlineStr">
        <is>
          <t>68</t>
        </is>
      </c>
      <c r="E239" s="3" t="inlineStr">
        <is>
          <t>Đầu 6</t>
        </is>
      </c>
      <c r="F239" s="3" t="inlineStr">
        <is>
          <t>Đuôi 8</t>
        </is>
      </c>
      <c r="G239" s="3" t="inlineStr">
        <is>
          <t>2, 3, 1</t>
        </is>
      </c>
      <c r="H239" s="7" t="inlineStr">
        <is>
          <t>TRƯỢT ❌</t>
        </is>
      </c>
      <c r="I239" s="3" t="inlineStr">
        <is>
          <t>3, 8, 9</t>
        </is>
      </c>
      <c r="J239" s="6" t="inlineStr">
        <is>
          <t>TRÚNG 🎯</t>
        </is>
      </c>
      <c r="K239" s="3" t="inlineStr">
        <is>
          <t>13, 18, 19, 23, 28, 29, 33, 38, 39</t>
        </is>
      </c>
      <c r="L239" s="7" t="inlineStr">
        <is>
          <t>TRƯỢT ❌</t>
        </is>
      </c>
      <c r="M239" s="7" t="inlineStr">
        <is>
          <t>TRƯỢT KHUNG ❌</t>
        </is>
      </c>
    </row>
    <row r="240">
      <c r="A240" s="2" t="n">
        <v>236</v>
      </c>
      <c r="B240" s="2" t="inlineStr">
        <is>
          <t>Thứ sáu ngày 28-08-2026</t>
        </is>
      </c>
      <c r="C240" s="3" t="inlineStr">
        <is>
          <t>90737</t>
        </is>
      </c>
      <c r="D240" s="3" t="inlineStr">
        <is>
          <t>37</t>
        </is>
      </c>
      <c r="E240" s="3" t="inlineStr">
        <is>
          <t>Đầu 3</t>
        </is>
      </c>
      <c r="F240" s="3" t="inlineStr">
        <is>
          <t>Đuôi 7</t>
        </is>
      </c>
      <c r="G240" s="3" t="inlineStr">
        <is>
          <t>2, 1, 3</t>
        </is>
      </c>
      <c r="H240" s="6" t="inlineStr">
        <is>
          <t>TRÚNG 🎯</t>
        </is>
      </c>
      <c r="I240" s="3" t="inlineStr">
        <is>
          <t>3, 7, 9</t>
        </is>
      </c>
      <c r="J240" s="6" t="inlineStr">
        <is>
          <t>TRÚNG 🎯</t>
        </is>
      </c>
      <c r="K240" s="3" t="inlineStr">
        <is>
          <t>13, 17, 19, 23, 27, 29, 33, 37, 39</t>
        </is>
      </c>
      <c r="L240" s="6" t="inlineStr">
        <is>
          <t>TRÚNG 🎯</t>
        </is>
      </c>
      <c r="M240" s="6" t="inlineStr">
        <is>
          <t>TRÚNG KHUNG 🎯</t>
        </is>
      </c>
    </row>
    <row r="241">
      <c r="A241" s="2" t="n">
        <v>237</v>
      </c>
      <c r="B241" s="2" t="inlineStr">
        <is>
          <t>Thứ bảy ngày 29-08-2026</t>
        </is>
      </c>
      <c r="C241" s="3" t="inlineStr">
        <is>
          <t>83772</t>
        </is>
      </c>
      <c r="D241" s="3" t="inlineStr">
        <is>
          <t>72</t>
        </is>
      </c>
      <c r="E241" s="3" t="inlineStr">
        <is>
          <t>Đầu 7</t>
        </is>
      </c>
      <c r="F241" s="3" t="inlineStr">
        <is>
          <t>Đuôi 2</t>
        </is>
      </c>
      <c r="G241" s="3" t="inlineStr">
        <is>
          <t>2, 1, 4</t>
        </is>
      </c>
      <c r="H241" s="7" t="inlineStr">
        <is>
          <t>TRƯỢT ❌</t>
        </is>
      </c>
      <c r="I241" s="3" t="inlineStr">
        <is>
          <t>3, 0, 9</t>
        </is>
      </c>
      <c r="J241" s="7" t="inlineStr">
        <is>
          <t>TRƯỢT ❌</t>
        </is>
      </c>
      <c r="K241" s="3" t="inlineStr">
        <is>
          <t>10, 13, 19, 20, 23, 29, 40, 43, 49</t>
        </is>
      </c>
      <c r="L241" s="7" t="inlineStr">
        <is>
          <t>TRƯỢT ❌</t>
        </is>
      </c>
      <c r="M241" s="7" t="inlineStr">
        <is>
          <t>TRƯỢT KHUNG ❌</t>
        </is>
      </c>
    </row>
    <row r="242">
      <c r="A242" s="2" t="n">
        <v>238</v>
      </c>
      <c r="B242" s="2" t="inlineStr">
        <is>
          <t>Chủ nhật ngày 30-08-2026</t>
        </is>
      </c>
      <c r="C242" s="3" t="inlineStr">
        <is>
          <t>35644</t>
        </is>
      </c>
      <c r="D242" s="3" t="inlineStr">
        <is>
          <t>44</t>
        </is>
      </c>
      <c r="E242" s="3" t="inlineStr">
        <is>
          <t>Đầu 4</t>
        </is>
      </c>
      <c r="F242" s="3" t="inlineStr">
        <is>
          <t>Đuôi 4</t>
        </is>
      </c>
      <c r="G242" s="3" t="inlineStr">
        <is>
          <t>2, 1, 4</t>
        </is>
      </c>
      <c r="H242" s="6" t="inlineStr">
        <is>
          <t>TRÚNG 🎯</t>
        </is>
      </c>
      <c r="I242" s="3" t="inlineStr">
        <is>
          <t>3, 1, 9</t>
        </is>
      </c>
      <c r="J242" s="7" t="inlineStr">
        <is>
          <t>TRƯỢT ❌</t>
        </is>
      </c>
      <c r="K242" s="3" t="inlineStr">
        <is>
          <t>11, 13, 19, 21, 23, 29, 41, 43, 49</t>
        </is>
      </c>
      <c r="L242" s="7" t="inlineStr">
        <is>
          <t>TRƯỢT ❌</t>
        </is>
      </c>
      <c r="M242" s="6" t="inlineStr">
        <is>
          <t>TRÚNG KHUNG 🎯</t>
        </is>
      </c>
    </row>
    <row r="243">
      <c r="A243" s="2" t="n">
        <v>239</v>
      </c>
      <c r="B243" s="2" t="inlineStr">
        <is>
          <t>Thứ hai ngày 31-08-2026</t>
        </is>
      </c>
      <c r="C243" s="3" t="inlineStr">
        <is>
          <t>05521</t>
        </is>
      </c>
      <c r="D243" s="3" t="inlineStr">
        <is>
          <t>21</t>
        </is>
      </c>
      <c r="E243" s="3" t="inlineStr">
        <is>
          <t>Đầu 2</t>
        </is>
      </c>
      <c r="F243" s="3" t="inlineStr">
        <is>
          <t>Đuôi 1</t>
        </is>
      </c>
      <c r="G243" s="3" t="inlineStr">
        <is>
          <t>2, 1, 6</t>
        </is>
      </c>
      <c r="H243" s="6" t="inlineStr">
        <is>
          <t>TRÚNG 🎯</t>
        </is>
      </c>
      <c r="I243" s="3" t="inlineStr">
        <is>
          <t>3, 1, 7</t>
        </is>
      </c>
      <c r="J243" s="6" t="inlineStr">
        <is>
          <t>TRÚNG 🎯</t>
        </is>
      </c>
      <c r="K243" s="3" t="inlineStr">
        <is>
          <t>11, 13, 17, 21, 23, 27, 61, 63, 67</t>
        </is>
      </c>
      <c r="L243" s="6" t="inlineStr">
        <is>
          <t>TRÚNG 🎯</t>
        </is>
      </c>
      <c r="M243" s="6" t="inlineStr">
        <is>
          <t>TRÚNG KHUNG 🎯</t>
        </is>
      </c>
    </row>
    <row r="244">
      <c r="A244" s="2" t="n">
        <v>240</v>
      </c>
      <c r="B244" s="2" t="inlineStr">
        <is>
          <t>Thứ ba ngày 01-09-2026</t>
        </is>
      </c>
      <c r="C244" s="3" t="inlineStr">
        <is>
          <t>44542</t>
        </is>
      </c>
      <c r="D244" s="3" t="inlineStr">
        <is>
          <t>42</t>
        </is>
      </c>
      <c r="E244" s="3" t="inlineStr">
        <is>
          <t>Đầu 4</t>
        </is>
      </c>
      <c r="F244" s="3" t="inlineStr">
        <is>
          <t>Đuôi 2</t>
        </is>
      </c>
      <c r="G244" s="3" t="inlineStr">
        <is>
          <t>6, 1, 2</t>
        </is>
      </c>
      <c r="H244" s="7" t="inlineStr">
        <is>
          <t>TRƯỢT ❌</t>
        </is>
      </c>
      <c r="I244" s="3" t="inlineStr">
        <is>
          <t>3, 8, 7</t>
        </is>
      </c>
      <c r="J244" s="7" t="inlineStr">
        <is>
          <t>TRƯỢT ❌</t>
        </is>
      </c>
      <c r="K244" s="3" t="inlineStr">
        <is>
          <t>13, 17, 18, 23, 27, 28, 63, 67, 68</t>
        </is>
      </c>
      <c r="L244" s="7" t="inlineStr">
        <is>
          <t>TRƯỢT ❌</t>
        </is>
      </c>
      <c r="M244" s="7" t="inlineStr">
        <is>
          <t>TRƯỢT KHUNG ❌</t>
        </is>
      </c>
    </row>
    <row r="245">
      <c r="A245" s="2" t="n">
        <v>241</v>
      </c>
      <c r="B245" s="2" t="inlineStr">
        <is>
          <t>Thứ tư ngày 02-09-2026</t>
        </is>
      </c>
      <c r="C245" s="3" t="inlineStr">
        <is>
          <t>39511</t>
        </is>
      </c>
      <c r="D245" s="3" t="inlineStr">
        <is>
          <t>11</t>
        </is>
      </c>
      <c r="E245" s="3" t="inlineStr">
        <is>
          <t>Đầu 1</t>
        </is>
      </c>
      <c r="F245" s="3" t="inlineStr">
        <is>
          <t>Đuôi 1</t>
        </is>
      </c>
      <c r="G245" s="3" t="inlineStr">
        <is>
          <t>3, 6, 2</t>
        </is>
      </c>
      <c r="H245" s="7" t="inlineStr">
        <is>
          <t>TRƯỢT ❌</t>
        </is>
      </c>
      <c r="I245" s="3" t="inlineStr">
        <is>
          <t>3, 7, 8</t>
        </is>
      </c>
      <c r="J245" s="7" t="inlineStr">
        <is>
          <t>TRƯỢT ❌</t>
        </is>
      </c>
      <c r="K245" s="3" t="inlineStr">
        <is>
          <t>23, 27, 28, 33, 37, 38, 63, 67, 68</t>
        </is>
      </c>
      <c r="L245" s="7" t="inlineStr">
        <is>
          <t>TRƯỢT ❌</t>
        </is>
      </c>
      <c r="M245" s="6" t="inlineStr">
        <is>
          <t>TRÚNG KHUNG 🎯</t>
        </is>
      </c>
    </row>
    <row r="246">
      <c r="A246" s="2" t="n">
        <v>242</v>
      </c>
      <c r="B246" s="2" t="inlineStr">
        <is>
          <t>Thứ năm ngày 03-09-2026</t>
        </is>
      </c>
      <c r="C246" s="3" t="inlineStr">
        <is>
          <t>50066</t>
        </is>
      </c>
      <c r="D246" s="3" t="inlineStr">
        <is>
          <t>66</t>
        </is>
      </c>
      <c r="E246" s="3" t="inlineStr">
        <is>
          <t>Đầu 6</t>
        </is>
      </c>
      <c r="F246" s="3" t="inlineStr">
        <is>
          <t>Đuôi 6</t>
        </is>
      </c>
      <c r="G246" s="3" t="inlineStr">
        <is>
          <t>3, 6, 7</t>
        </is>
      </c>
      <c r="H246" s="6" t="inlineStr">
        <is>
          <t>TRÚNG 🎯</t>
        </is>
      </c>
      <c r="I246" s="3" t="inlineStr">
        <is>
          <t>3, 7, 8</t>
        </is>
      </c>
      <c r="J246" s="7" t="inlineStr">
        <is>
          <t>TRƯỢT ❌</t>
        </is>
      </c>
      <c r="K246" s="3" t="inlineStr">
        <is>
          <t>33, 37, 38, 63, 67, 68, 73, 77, 78</t>
        </is>
      </c>
      <c r="L246" s="7" t="inlineStr">
        <is>
          <t>TRƯỢT ❌</t>
        </is>
      </c>
      <c r="M246" s="6" t="inlineStr">
        <is>
          <t>TRÚNG KHUNG 🎯</t>
        </is>
      </c>
    </row>
    <row r="247">
      <c r="A247" s="2" t="n">
        <v>243</v>
      </c>
      <c r="B247" s="2" t="inlineStr">
        <is>
          <t>Thứ sáu ngày 04-09-2026</t>
        </is>
      </c>
      <c r="C247" s="3" t="inlineStr">
        <is>
          <t>24037</t>
        </is>
      </c>
      <c r="D247" s="3" t="inlineStr">
        <is>
          <t>37</t>
        </is>
      </c>
      <c r="E247" s="3" t="inlineStr">
        <is>
          <t>Đầu 3</t>
        </is>
      </c>
      <c r="F247" s="3" t="inlineStr">
        <is>
          <t>Đuôi 7</t>
        </is>
      </c>
      <c r="G247" s="3" t="inlineStr">
        <is>
          <t>3, 7, 2</t>
        </is>
      </c>
      <c r="H247" s="6" t="inlineStr">
        <is>
          <t>TRÚNG 🎯</t>
        </is>
      </c>
      <c r="I247" s="3" t="inlineStr">
        <is>
          <t>3, 7, 8</t>
        </is>
      </c>
      <c r="J247" s="6" t="inlineStr">
        <is>
          <t>TRÚNG 🎯</t>
        </is>
      </c>
      <c r="K247" s="3" t="inlineStr">
        <is>
          <t>23, 27, 28, 33, 37, 38, 73, 77, 78</t>
        </is>
      </c>
      <c r="L247" s="6" t="inlineStr">
        <is>
          <t>TRÚNG 🎯</t>
        </is>
      </c>
      <c r="M247" s="6" t="inlineStr">
        <is>
          <t>TRÚNG KHUNG 🎯</t>
        </is>
      </c>
    </row>
    <row r="248">
      <c r="A248" s="2" t="n">
        <v>244</v>
      </c>
      <c r="B248" s="2" t="inlineStr">
        <is>
          <t>Thứ bảy ngày 05-09-2026</t>
        </is>
      </c>
      <c r="C248" s="3" t="inlineStr">
        <is>
          <t>61435</t>
        </is>
      </c>
      <c r="D248" s="3" t="inlineStr">
        <is>
          <t>35</t>
        </is>
      </c>
      <c r="E248" s="3" t="inlineStr">
        <is>
          <t>Đầu 3</t>
        </is>
      </c>
      <c r="F248" s="3" t="inlineStr">
        <is>
          <t>Đuôi 5</t>
        </is>
      </c>
      <c r="G248" s="3" t="inlineStr">
        <is>
          <t>2, 7, 4</t>
        </is>
      </c>
      <c r="H248" s="7" t="inlineStr">
        <is>
          <t>TRƯỢT ❌</t>
        </is>
      </c>
      <c r="I248" s="3" t="inlineStr">
        <is>
          <t>3, 8, 1</t>
        </is>
      </c>
      <c r="J248" s="7" t="inlineStr">
        <is>
          <t>TRƯỢT ❌</t>
        </is>
      </c>
      <c r="K248" s="3" t="inlineStr">
        <is>
          <t>21, 23, 28, 41, 43, 48, 71, 73, 78</t>
        </is>
      </c>
      <c r="L248" s="7" t="inlineStr">
        <is>
          <t>TRƯỢT ❌</t>
        </is>
      </c>
      <c r="M248" s="7" t="inlineStr">
        <is>
          <t>TRƯỢT KHUNG ❌</t>
        </is>
      </c>
    </row>
    <row r="249">
      <c r="A249" s="2" t="n">
        <v>245</v>
      </c>
      <c r="B249" s="2" t="inlineStr">
        <is>
          <t>Chủ nhật ngày 06-09-2026</t>
        </is>
      </c>
      <c r="C249" s="3" t="inlineStr">
        <is>
          <t>34990</t>
        </is>
      </c>
      <c r="D249" s="3" t="inlineStr">
        <is>
          <t>90</t>
        </is>
      </c>
      <c r="E249" s="3" t="inlineStr">
        <is>
          <t>Đầu 9</t>
        </is>
      </c>
      <c r="F249" s="3" t="inlineStr">
        <is>
          <t>Đuôi 0</t>
        </is>
      </c>
      <c r="G249" s="3" t="inlineStr">
        <is>
          <t>2, 4, 1</t>
        </is>
      </c>
      <c r="H249" s="7" t="inlineStr">
        <is>
          <t>TRƯỢT ❌</t>
        </is>
      </c>
      <c r="I249" s="3" t="inlineStr">
        <is>
          <t>3, 8, 2</t>
        </is>
      </c>
      <c r="J249" s="7" t="inlineStr">
        <is>
          <t>TRƯỢT ❌</t>
        </is>
      </c>
      <c r="K249" s="3" t="inlineStr">
        <is>
          <t>12, 13, 18, 22, 23, 28, 42, 43, 48</t>
        </is>
      </c>
      <c r="L249" s="7" t="inlineStr">
        <is>
          <t>TRƯỢT ❌</t>
        </is>
      </c>
      <c r="M249" s="7" t="inlineStr">
        <is>
          <t>TRƯỢT KHUNG ❌</t>
        </is>
      </c>
    </row>
    <row r="250">
      <c r="A250" s="2" t="n">
        <v>246</v>
      </c>
      <c r="B250" s="2" t="inlineStr">
        <is>
          <t>Thứ hai ngày 07-09-2026</t>
        </is>
      </c>
      <c r="C250" s="3" t="inlineStr">
        <is>
          <t>39687</t>
        </is>
      </c>
      <c r="D250" s="3" t="inlineStr">
        <is>
          <t>87</t>
        </is>
      </c>
      <c r="E250" s="3" t="inlineStr">
        <is>
          <t>Đầu 8</t>
        </is>
      </c>
      <c r="F250" s="3" t="inlineStr">
        <is>
          <t>Đuôi 7</t>
        </is>
      </c>
      <c r="G250" s="3" t="inlineStr">
        <is>
          <t>4, 1, 2</t>
        </is>
      </c>
      <c r="H250" s="7" t="inlineStr">
        <is>
          <t>TRƯỢT ❌</t>
        </is>
      </c>
      <c r="I250" s="3" t="inlineStr">
        <is>
          <t>1, 8, 3</t>
        </is>
      </c>
      <c r="J250" s="7" t="inlineStr">
        <is>
          <t>TRƯỢT ❌</t>
        </is>
      </c>
      <c r="K250" s="3" t="inlineStr">
        <is>
          <t>11, 13, 18, 21, 23, 28, 41, 43, 48</t>
        </is>
      </c>
      <c r="L250" s="7" t="inlineStr">
        <is>
          <t>TRƯỢT ❌</t>
        </is>
      </c>
      <c r="M250" s="7" t="inlineStr">
        <is>
          <t>TRƯỢT KHUNG ❌</t>
        </is>
      </c>
    </row>
    <row r="251">
      <c r="A251" s="2" t="n">
        <v>247</v>
      </c>
      <c r="B251" s="2" t="inlineStr">
        <is>
          <t>Thứ ba ngày 08-09-2026</t>
        </is>
      </c>
      <c r="C251" s="3" t="inlineStr">
        <is>
          <t>94504</t>
        </is>
      </c>
      <c r="D251" s="3" t="inlineStr">
        <is>
          <t>04</t>
        </is>
      </c>
      <c r="E251" s="3" t="inlineStr">
        <is>
          <t>Đầu 0</t>
        </is>
      </c>
      <c r="F251" s="3" t="inlineStr">
        <is>
          <t>Đuôi 4</t>
        </is>
      </c>
      <c r="G251" s="3" t="inlineStr">
        <is>
          <t>4, 1, 3</t>
        </is>
      </c>
      <c r="H251" s="7" t="inlineStr">
        <is>
          <t>TRƯỢT ❌</t>
        </is>
      </c>
      <c r="I251" s="3" t="inlineStr">
        <is>
          <t>1, 8, 6</t>
        </is>
      </c>
      <c r="J251" s="7" t="inlineStr">
        <is>
          <t>TRƯỢT ❌</t>
        </is>
      </c>
      <c r="K251" s="3" t="inlineStr">
        <is>
          <t>11, 16, 18, 31, 36, 38, 41, 46, 48</t>
        </is>
      </c>
      <c r="L251" s="7" t="inlineStr">
        <is>
          <t>TRƯỢT ❌</t>
        </is>
      </c>
      <c r="M251" s="7" t="inlineStr">
        <is>
          <t>TRƯỢT KHUNG ❌</t>
        </is>
      </c>
    </row>
    <row r="252">
      <c r="A252" s="2" t="n">
        <v>248</v>
      </c>
      <c r="B252" s="2" t="inlineStr">
        <is>
          <t>Thứ tư ngày 09-09-2026</t>
        </is>
      </c>
      <c r="C252" s="3" t="inlineStr">
        <is>
          <t>30981</t>
        </is>
      </c>
      <c r="D252" s="3" t="inlineStr">
        <is>
          <t>81</t>
        </is>
      </c>
      <c r="E252" s="3" t="inlineStr">
        <is>
          <t>Đầu 8</t>
        </is>
      </c>
      <c r="F252" s="3" t="inlineStr">
        <is>
          <t>Đuôi 1</t>
        </is>
      </c>
      <c r="G252" s="3" t="inlineStr">
        <is>
          <t>4, 1, 3</t>
        </is>
      </c>
      <c r="H252" s="7" t="inlineStr">
        <is>
          <t>TRƯỢT ❌</t>
        </is>
      </c>
      <c r="I252" s="3" t="inlineStr">
        <is>
          <t>1, 8, 6</t>
        </is>
      </c>
      <c r="J252" s="6" t="inlineStr">
        <is>
          <t>TRÚNG 🎯</t>
        </is>
      </c>
      <c r="K252" s="3" t="inlineStr">
        <is>
          <t>11, 16, 18, 31, 36, 38, 41, 46, 48</t>
        </is>
      </c>
      <c r="L252" s="7" t="inlineStr">
        <is>
          <t>TRƯỢT ❌</t>
        </is>
      </c>
      <c r="M252" s="7" t="inlineStr">
        <is>
          <t>TRƯỢT KHUNG ❌</t>
        </is>
      </c>
    </row>
    <row r="253">
      <c r="A253" s="2" t="n">
        <v>249</v>
      </c>
      <c r="B253" s="2" t="inlineStr">
        <is>
          <t>Thứ năm ngày 10-09-2026</t>
        </is>
      </c>
      <c r="C253" s="3" t="inlineStr">
        <is>
          <t>29352</t>
        </is>
      </c>
      <c r="D253" s="3" t="inlineStr">
        <is>
          <t>52</t>
        </is>
      </c>
      <c r="E253" s="3" t="inlineStr">
        <is>
          <t>Đầu 5</t>
        </is>
      </c>
      <c r="F253" s="3" t="inlineStr">
        <is>
          <t>Đuôi 2</t>
        </is>
      </c>
      <c r="G253" s="3" t="inlineStr">
        <is>
          <t>3, 4, 1</t>
        </is>
      </c>
      <c r="H253" s="7" t="inlineStr">
        <is>
          <t>TRƯỢT ❌</t>
        </is>
      </c>
      <c r="I253" s="3" t="inlineStr">
        <is>
          <t>8, 6, 3</t>
        </is>
      </c>
      <c r="J253" s="7" t="inlineStr">
        <is>
          <t>TRƯỢT ❌</t>
        </is>
      </c>
      <c r="K253" s="3" t="inlineStr">
        <is>
          <t>13, 16, 18, 33, 36, 38, 43, 46, 48</t>
        </is>
      </c>
      <c r="L253" s="7" t="inlineStr">
        <is>
          <t>TRƯỢT ❌</t>
        </is>
      </c>
      <c r="M253" s="7" t="inlineStr">
        <is>
          <t>TRƯỢT KHUNG ❌</t>
        </is>
      </c>
    </row>
    <row r="254">
      <c r="A254" s="2" t="n">
        <v>250</v>
      </c>
      <c r="B254" s="2" t="inlineStr">
        <is>
          <t>Thứ sáu ngày 11-09-2026</t>
        </is>
      </c>
      <c r="C254" s="3" t="inlineStr">
        <is>
          <t>58851</t>
        </is>
      </c>
      <c r="D254" s="3" t="inlineStr">
        <is>
          <t>51</t>
        </is>
      </c>
      <c r="E254" s="3" t="inlineStr">
        <is>
          <t>Đầu 5</t>
        </is>
      </c>
      <c r="F254" s="3" t="inlineStr">
        <is>
          <t>Đuôi 1</t>
        </is>
      </c>
      <c r="G254" s="3" t="inlineStr">
        <is>
          <t>3, 4, 1</t>
        </is>
      </c>
      <c r="H254" s="7" t="inlineStr">
        <is>
          <t>TRƯỢT ❌</t>
        </is>
      </c>
      <c r="I254" s="3" t="inlineStr">
        <is>
          <t>8, 3, 7</t>
        </is>
      </c>
      <c r="J254" s="7" t="inlineStr">
        <is>
          <t>TRƯỢT ❌</t>
        </is>
      </c>
      <c r="K254" s="3" t="inlineStr">
        <is>
          <t>13, 17, 18, 33, 37, 38, 43, 47, 48</t>
        </is>
      </c>
      <c r="L254" s="7" t="inlineStr">
        <is>
          <t>TRƯỢT ❌</t>
        </is>
      </c>
      <c r="M254" s="7" t="inlineStr">
        <is>
          <t>TRƯỢT KHUNG ❌</t>
        </is>
      </c>
    </row>
    <row r="255">
      <c r="A255" s="2" t="n">
        <v>251</v>
      </c>
      <c r="B255" s="2" t="inlineStr">
        <is>
          <t>Thứ bảy ngày 12-09-2026</t>
        </is>
      </c>
      <c r="C255" s="3" t="inlineStr">
        <is>
          <t>83799</t>
        </is>
      </c>
      <c r="D255" s="3" t="inlineStr">
        <is>
          <t>99</t>
        </is>
      </c>
      <c r="E255" s="3" t="inlineStr">
        <is>
          <t>Đầu 9</t>
        </is>
      </c>
      <c r="F255" s="3" t="inlineStr">
        <is>
          <t>Đuôi 9</t>
        </is>
      </c>
      <c r="G255" s="3" t="inlineStr">
        <is>
          <t>3, 1, 4</t>
        </is>
      </c>
      <c r="H255" s="7" t="inlineStr">
        <is>
          <t>TRƯỢT ❌</t>
        </is>
      </c>
      <c r="I255" s="3" t="inlineStr">
        <is>
          <t>7, 8, 3</t>
        </is>
      </c>
      <c r="J255" s="7" t="inlineStr">
        <is>
          <t>TRƯỢT ❌</t>
        </is>
      </c>
      <c r="K255" s="3" t="inlineStr">
        <is>
          <t>13, 17, 18, 33, 37, 38, 43, 47, 48</t>
        </is>
      </c>
      <c r="L255" s="7" t="inlineStr">
        <is>
          <t>TRƯỢT ❌</t>
        </is>
      </c>
      <c r="M255" s="7" t="inlineStr">
        <is>
          <t>TRƯỢT KHUNG ❌</t>
        </is>
      </c>
    </row>
    <row r="256">
      <c r="A256" s="2" t="n">
        <v>252</v>
      </c>
      <c r="B256" s="2" t="inlineStr">
        <is>
          <t>Chủ nhật ngày 13-09-2026</t>
        </is>
      </c>
      <c r="C256" s="3" t="inlineStr">
        <is>
          <t>74522</t>
        </is>
      </c>
      <c r="D256" s="3" t="inlineStr">
        <is>
          <t>22</t>
        </is>
      </c>
      <c r="E256" s="3" t="inlineStr">
        <is>
          <t>Đầu 2</t>
        </is>
      </c>
      <c r="F256" s="3" t="inlineStr">
        <is>
          <t>Đuôi 2</t>
        </is>
      </c>
      <c r="G256" s="3" t="inlineStr">
        <is>
          <t>3, 4, 1</t>
        </is>
      </c>
      <c r="H256" s="7" t="inlineStr">
        <is>
          <t>TRƯỢT ❌</t>
        </is>
      </c>
      <c r="I256" s="3" t="inlineStr">
        <is>
          <t>7, 3, 1</t>
        </is>
      </c>
      <c r="J256" s="7" t="inlineStr">
        <is>
          <t>TRƯỢT ❌</t>
        </is>
      </c>
      <c r="K256" s="3" t="inlineStr">
        <is>
          <t>11, 13, 17, 31, 33, 37, 41, 43, 47</t>
        </is>
      </c>
      <c r="L256" s="7" t="inlineStr">
        <is>
          <t>TRƯỢT ❌</t>
        </is>
      </c>
      <c r="M256" s="7" t="inlineStr">
        <is>
          <t>TRƯỢT KHUNG ❌</t>
        </is>
      </c>
    </row>
    <row r="257">
      <c r="A257" s="2" t="n">
        <v>253</v>
      </c>
      <c r="B257" s="2" t="inlineStr">
        <is>
          <t>Thứ hai ngày 14-09-2026</t>
        </is>
      </c>
      <c r="C257" s="3" t="inlineStr">
        <is>
          <t>31429</t>
        </is>
      </c>
      <c r="D257" s="3" t="inlineStr">
        <is>
          <t>29</t>
        </is>
      </c>
      <c r="E257" s="3" t="inlineStr">
        <is>
          <t>Đầu 2</t>
        </is>
      </c>
      <c r="F257" s="3" t="inlineStr">
        <is>
          <t>Đuôi 9</t>
        </is>
      </c>
      <c r="G257" s="3" t="inlineStr">
        <is>
          <t>3, 8, 4</t>
        </is>
      </c>
      <c r="H257" s="7" t="inlineStr">
        <is>
          <t>TRƯỢT ❌</t>
        </is>
      </c>
      <c r="I257" s="3" t="inlineStr">
        <is>
          <t>7, 3, 1</t>
        </is>
      </c>
      <c r="J257" s="7" t="inlineStr">
        <is>
          <t>TRƯỢT ❌</t>
        </is>
      </c>
      <c r="K257" s="3" t="inlineStr">
        <is>
          <t>31, 33, 37, 41, 43, 47, 81, 83, 87</t>
        </is>
      </c>
      <c r="L257" s="7" t="inlineStr">
        <is>
          <t>TRƯỢT ❌</t>
        </is>
      </c>
      <c r="M257" s="7" t="inlineStr">
        <is>
          <t>TRƯỢT KHUNG ❌</t>
        </is>
      </c>
    </row>
    <row r="258">
      <c r="A258" s="2" t="n">
        <v>254</v>
      </c>
      <c r="B258" s="2" t="inlineStr">
        <is>
          <t>Thứ ba ngày 15-09-2026</t>
        </is>
      </c>
      <c r="C258" s="3" t="inlineStr">
        <is>
          <t>96344</t>
        </is>
      </c>
      <c r="D258" s="3" t="inlineStr">
        <is>
          <t>44</t>
        </is>
      </c>
      <c r="E258" s="3" t="inlineStr">
        <is>
          <t>Đầu 4</t>
        </is>
      </c>
      <c r="F258" s="3" t="inlineStr">
        <is>
          <t>Đuôi 4</t>
        </is>
      </c>
      <c r="G258" s="3" t="inlineStr">
        <is>
          <t>3, 8, 4</t>
        </is>
      </c>
      <c r="H258" s="6" t="inlineStr">
        <is>
          <t>TRÚNG 🎯</t>
        </is>
      </c>
      <c r="I258" s="3" t="inlineStr">
        <is>
          <t>7, 1, 3</t>
        </is>
      </c>
      <c r="J258" s="7" t="inlineStr">
        <is>
          <t>TRƯỢT ❌</t>
        </is>
      </c>
      <c r="K258" s="3" t="inlineStr">
        <is>
          <t>31, 33, 37, 41, 43, 47, 81, 83, 87</t>
        </is>
      </c>
      <c r="L258" s="7" t="inlineStr">
        <is>
          <t>TRƯỢT ❌</t>
        </is>
      </c>
      <c r="M258" s="7" t="inlineStr">
        <is>
          <t>TRƯỢT KHUNG ❌</t>
        </is>
      </c>
    </row>
    <row r="259">
      <c r="A259" s="2" t="n">
        <v>255</v>
      </c>
      <c r="B259" s="2" t="inlineStr">
        <is>
          <t>Thứ tư ngày 16-09-2026</t>
        </is>
      </c>
      <c r="C259" s="3" t="inlineStr">
        <is>
          <t>71960</t>
        </is>
      </c>
      <c r="D259" s="3" t="inlineStr">
        <is>
          <t>60</t>
        </is>
      </c>
      <c r="E259" s="3" t="inlineStr">
        <is>
          <t>Đầu 6</t>
        </is>
      </c>
      <c r="F259" s="3" t="inlineStr">
        <is>
          <t>Đuôi 0</t>
        </is>
      </c>
      <c r="G259" s="3" t="inlineStr">
        <is>
          <t>3, 8, 1</t>
        </is>
      </c>
      <c r="H259" s="7" t="inlineStr">
        <is>
          <t>TRƯỢT ❌</t>
        </is>
      </c>
      <c r="I259" s="3" t="inlineStr">
        <is>
          <t>1, 7, 3</t>
        </is>
      </c>
      <c r="J259" s="7" t="inlineStr">
        <is>
          <t>TRƯỢT ❌</t>
        </is>
      </c>
      <c r="K259" s="3" t="inlineStr">
        <is>
          <t>11, 13, 17, 31, 33, 37, 81, 83, 87</t>
        </is>
      </c>
      <c r="L259" s="7" t="inlineStr">
        <is>
          <t>TRƯỢT ❌</t>
        </is>
      </c>
      <c r="M259" s="7" t="inlineStr">
        <is>
          <t>TRƯỢT KHUNG ❌</t>
        </is>
      </c>
    </row>
    <row r="260">
      <c r="A260" s="2" t="n">
        <v>256</v>
      </c>
      <c r="B260" s="2" t="inlineStr">
        <is>
          <t>Thứ năm ngày 17-09-2026</t>
        </is>
      </c>
      <c r="C260" s="3" t="inlineStr">
        <is>
          <t>27367</t>
        </is>
      </c>
      <c r="D260" s="3" t="inlineStr">
        <is>
          <t>67</t>
        </is>
      </c>
      <c r="E260" s="3" t="inlineStr">
        <is>
          <t>Đầu 6</t>
        </is>
      </c>
      <c r="F260" s="3" t="inlineStr">
        <is>
          <t>Đuôi 7</t>
        </is>
      </c>
      <c r="G260" s="3" t="inlineStr">
        <is>
          <t>3, 8, 1</t>
        </is>
      </c>
      <c r="H260" s="7" t="inlineStr">
        <is>
          <t>TRƯỢT ❌</t>
        </is>
      </c>
      <c r="I260" s="3" t="inlineStr">
        <is>
          <t>1, 7, 2</t>
        </is>
      </c>
      <c r="J260" s="6" t="inlineStr">
        <is>
          <t>TRÚNG 🎯</t>
        </is>
      </c>
      <c r="K260" s="3" t="inlineStr">
        <is>
          <t>11, 12, 17, 31, 32, 37, 81, 82, 87</t>
        </is>
      </c>
      <c r="L260" s="7" t="inlineStr">
        <is>
          <t>TRƯỢT ❌</t>
        </is>
      </c>
      <c r="M260" s="6" t="inlineStr">
        <is>
          <t>TRÚNG KHUNG 🎯</t>
        </is>
      </c>
    </row>
    <row r="261">
      <c r="A261" s="2" t="n">
        <v>257</v>
      </c>
      <c r="B261" s="2" t="inlineStr">
        <is>
          <t>Thứ sáu ngày 18-09-2026</t>
        </is>
      </c>
      <c r="C261" s="3" t="inlineStr">
        <is>
          <t>73412</t>
        </is>
      </c>
      <c r="D261" s="3" t="inlineStr">
        <is>
          <t>12</t>
        </is>
      </c>
      <c r="E261" s="3" t="inlineStr">
        <is>
          <t>Đầu 1</t>
        </is>
      </c>
      <c r="F261" s="3" t="inlineStr">
        <is>
          <t>Đuôi 2</t>
        </is>
      </c>
      <c r="G261" s="3" t="inlineStr">
        <is>
          <t>3, 1, 8</t>
        </is>
      </c>
      <c r="H261" s="6" t="inlineStr">
        <is>
          <t>TRÚNG 🎯</t>
        </is>
      </c>
      <c r="I261" s="3" t="inlineStr">
        <is>
          <t>1, 2, 5</t>
        </is>
      </c>
      <c r="J261" s="6" t="inlineStr">
        <is>
          <t>TRÚNG 🎯</t>
        </is>
      </c>
      <c r="K261" s="3" t="inlineStr">
        <is>
          <t>11, 12, 15, 31, 32, 35, 81, 82, 85</t>
        </is>
      </c>
      <c r="L261" s="6" t="inlineStr">
        <is>
          <t>TRÚNG 🎯</t>
        </is>
      </c>
      <c r="M261" s="6" t="inlineStr">
        <is>
          <t>TRÚNG KHUNG 🎯</t>
        </is>
      </c>
    </row>
    <row r="262">
      <c r="A262" s="2" t="n">
        <v>258</v>
      </c>
      <c r="B262" s="2" t="inlineStr">
        <is>
          <t>Thứ bảy ngày 19-09-2026</t>
        </is>
      </c>
      <c r="C262" s="3" t="inlineStr">
        <is>
          <t>21538</t>
        </is>
      </c>
      <c r="D262" s="3" t="inlineStr">
        <is>
          <t>38</t>
        </is>
      </c>
      <c r="E262" s="3" t="inlineStr">
        <is>
          <t>Đầu 3</t>
        </is>
      </c>
      <c r="F262" s="3" t="inlineStr">
        <is>
          <t>Đuôi 8</t>
        </is>
      </c>
      <c r="G262" s="3" t="inlineStr">
        <is>
          <t>3, 2, 8</t>
        </is>
      </c>
      <c r="H262" s="6" t="inlineStr">
        <is>
          <t>TRÚNG 🎯</t>
        </is>
      </c>
      <c r="I262" s="3" t="inlineStr">
        <is>
          <t>1, 7, 5</t>
        </is>
      </c>
      <c r="J262" s="7" t="inlineStr">
        <is>
          <t>TRƯỢT ❌</t>
        </is>
      </c>
      <c r="K262" s="3" t="inlineStr">
        <is>
          <t>21, 25, 27, 31, 35, 37, 81, 85, 87</t>
        </is>
      </c>
      <c r="L262" s="7" t="inlineStr">
        <is>
          <t>TRƯỢT ❌</t>
        </is>
      </c>
      <c r="M262" s="7" t="inlineStr">
        <is>
          <t>TRƯỢT KHUNG ❌</t>
        </is>
      </c>
    </row>
    <row r="263">
      <c r="A263" s="2" t="n">
        <v>259</v>
      </c>
      <c r="B263" s="2" t="inlineStr">
        <is>
          <t>Chủ nhật ngày 20-09-2026</t>
        </is>
      </c>
      <c r="C263" s="3" t="inlineStr">
        <is>
          <t>40432</t>
        </is>
      </c>
      <c r="D263" s="3" t="inlineStr">
        <is>
          <t>32</t>
        </is>
      </c>
      <c r="E263" s="3" t="inlineStr">
        <is>
          <t>Đầu 3</t>
        </is>
      </c>
      <c r="F263" s="3" t="inlineStr">
        <is>
          <t>Đuôi 2</t>
        </is>
      </c>
      <c r="G263" s="3" t="inlineStr">
        <is>
          <t>4, 2, 6</t>
        </is>
      </c>
      <c r="H263" s="7" t="inlineStr">
        <is>
          <t>TRƯỢT ❌</t>
        </is>
      </c>
      <c r="I263" s="3" t="inlineStr">
        <is>
          <t>1, 4, 7</t>
        </is>
      </c>
      <c r="J263" s="7" t="inlineStr">
        <is>
          <t>TRƯỢT ❌</t>
        </is>
      </c>
      <c r="K263" s="3" t="inlineStr">
        <is>
          <t>21, 24, 27, 41, 44, 47, 61, 64, 67</t>
        </is>
      </c>
      <c r="L263" s="7" t="inlineStr">
        <is>
          <t>TRƯỢT ❌</t>
        </is>
      </c>
      <c r="M263" s="7" t="inlineStr">
        <is>
          <t>TRƯỢT KHUNG ❌</t>
        </is>
      </c>
    </row>
    <row r="264">
      <c r="A264" s="2" t="n">
        <v>260</v>
      </c>
      <c r="B264" s="2" t="inlineStr">
        <is>
          <t>Thứ hai ngày 21-09-2026</t>
        </is>
      </c>
      <c r="C264" s="3" t="inlineStr">
        <is>
          <t>31922</t>
        </is>
      </c>
      <c r="D264" s="3" t="inlineStr">
        <is>
          <t>22</t>
        </is>
      </c>
      <c r="E264" s="3" t="inlineStr">
        <is>
          <t>Đầu 2</t>
        </is>
      </c>
      <c r="F264" s="3" t="inlineStr">
        <is>
          <t>Đuôi 2</t>
        </is>
      </c>
      <c r="G264" s="3" t="inlineStr">
        <is>
          <t>4, 2, 6</t>
        </is>
      </c>
      <c r="H264" s="6" t="inlineStr">
        <is>
          <t>TRÚNG 🎯</t>
        </is>
      </c>
      <c r="I264" s="3" t="inlineStr">
        <is>
          <t>1, 0, 4</t>
        </is>
      </c>
      <c r="J264" s="7" t="inlineStr">
        <is>
          <t>TRƯỢT ❌</t>
        </is>
      </c>
      <c r="K264" s="3" t="inlineStr">
        <is>
          <t>20, 21, 24, 40, 41, 44, 60, 61, 64</t>
        </is>
      </c>
      <c r="L264" s="7" t="inlineStr">
        <is>
          <t>TRƯỢT ❌</t>
        </is>
      </c>
      <c r="M264" s="7" t="inlineStr">
        <is>
          <t>TRƯỢT KHUNG ❌</t>
        </is>
      </c>
    </row>
    <row r="265">
      <c r="A265" s="2" t="n">
        <v>261</v>
      </c>
      <c r="B265" s="2" t="inlineStr">
        <is>
          <t>Thứ ba ngày 22-09-2026</t>
        </is>
      </c>
      <c r="C265" s="3" t="inlineStr">
        <is>
          <t>76406</t>
        </is>
      </c>
      <c r="D265" s="3" t="inlineStr">
        <is>
          <t>06</t>
        </is>
      </c>
      <c r="E265" s="3" t="inlineStr">
        <is>
          <t>Đầu 0</t>
        </is>
      </c>
      <c r="F265" s="3" t="inlineStr">
        <is>
          <t>Đuôi 6</t>
        </is>
      </c>
      <c r="G265" s="3" t="inlineStr">
        <is>
          <t>6, 4, 8</t>
        </is>
      </c>
      <c r="H265" s="7" t="inlineStr">
        <is>
          <t>TRƯỢT ❌</t>
        </is>
      </c>
      <c r="I265" s="3" t="inlineStr">
        <is>
          <t>7, 1, 0</t>
        </is>
      </c>
      <c r="J265" s="7" t="inlineStr">
        <is>
          <t>TRƯỢT ❌</t>
        </is>
      </c>
      <c r="K265" s="3" t="inlineStr">
        <is>
          <t>40, 41, 47, 60, 61, 67, 80, 81, 87</t>
        </is>
      </c>
      <c r="L265" s="7" t="inlineStr">
        <is>
          <t>TRƯỢT ❌</t>
        </is>
      </c>
      <c r="M265" s="7" t="inlineStr">
        <is>
          <t>TRƯỢT KHUNG ❌</t>
        </is>
      </c>
    </row>
    <row r="266">
      <c r="A266" s="2" t="n">
        <v>262</v>
      </c>
      <c r="B266" s="2" t="inlineStr">
        <is>
          <t>Thứ tư ngày 23-09-2026</t>
        </is>
      </c>
      <c r="C266" s="3" t="inlineStr">
        <is>
          <t>78196</t>
        </is>
      </c>
      <c r="D266" s="3" t="inlineStr">
        <is>
          <t>96</t>
        </is>
      </c>
      <c r="E266" s="3" t="inlineStr">
        <is>
          <t>Đầu 9</t>
        </is>
      </c>
      <c r="F266" s="3" t="inlineStr">
        <is>
          <t>Đuôi 6</t>
        </is>
      </c>
      <c r="G266" s="3" t="inlineStr">
        <is>
          <t>6, 4, 3</t>
        </is>
      </c>
      <c r="H266" s="7" t="inlineStr">
        <is>
          <t>TRƯỢT ❌</t>
        </is>
      </c>
      <c r="I266" s="3" t="inlineStr">
        <is>
          <t>1, 7, 2</t>
        </is>
      </c>
      <c r="J266" s="7" t="inlineStr">
        <is>
          <t>TRƯỢT ❌</t>
        </is>
      </c>
      <c r="K266" s="3" t="inlineStr">
        <is>
          <t>31, 32, 37, 41, 42, 47, 61, 62, 67</t>
        </is>
      </c>
      <c r="L266" s="7" t="inlineStr">
        <is>
          <t>TRƯỢT ❌</t>
        </is>
      </c>
      <c r="M266" s="6" t="inlineStr">
        <is>
          <t>TRÚNG KHUNG 🎯</t>
        </is>
      </c>
    </row>
    <row r="267">
      <c r="A267" s="2" t="n">
        <v>263</v>
      </c>
      <c r="B267" s="2" t="inlineStr">
        <is>
          <t>Thứ năm ngày 24-09-2026</t>
        </is>
      </c>
      <c r="C267" s="3" t="inlineStr">
        <is>
          <t>34465</t>
        </is>
      </c>
      <c r="D267" s="3" t="inlineStr">
        <is>
          <t>65</t>
        </is>
      </c>
      <c r="E267" s="3" t="inlineStr">
        <is>
          <t>Đầu 6</t>
        </is>
      </c>
      <c r="F267" s="3" t="inlineStr">
        <is>
          <t>Đuôi 5</t>
        </is>
      </c>
      <c r="G267" s="3" t="inlineStr">
        <is>
          <t>6, 4, 3</t>
        </is>
      </c>
      <c r="H267" s="6" t="inlineStr">
        <is>
          <t>TRÚNG 🎯</t>
        </is>
      </c>
      <c r="I267" s="3" t="inlineStr">
        <is>
          <t>1, 2, 7</t>
        </is>
      </c>
      <c r="J267" s="7" t="inlineStr">
        <is>
          <t>TRƯỢT ❌</t>
        </is>
      </c>
      <c r="K267" s="3" t="inlineStr">
        <is>
          <t>31, 32, 37, 41, 42, 47, 61, 62, 67</t>
        </is>
      </c>
      <c r="L267" s="7" t="inlineStr">
        <is>
          <t>TRƯỢT ❌</t>
        </is>
      </c>
      <c r="M267" s="6" t="inlineStr">
        <is>
          <t>TRÚNG KHUNG 🎯</t>
        </is>
      </c>
    </row>
    <row r="268">
      <c r="A268" s="2" t="n">
        <v>264</v>
      </c>
      <c r="B268" s="2" t="inlineStr">
        <is>
          <t>Thứ sáu ngày 25-09-2026</t>
        </is>
      </c>
      <c r="C268" s="3" t="inlineStr">
        <is>
          <t>18132</t>
        </is>
      </c>
      <c r="D268" s="3" t="inlineStr">
        <is>
          <t>32</t>
        </is>
      </c>
      <c r="E268" s="3" t="inlineStr">
        <is>
          <t>Đầu 3</t>
        </is>
      </c>
      <c r="F268" s="3" t="inlineStr">
        <is>
          <t>Đuôi 2</t>
        </is>
      </c>
      <c r="G268" s="3" t="inlineStr">
        <is>
          <t>3, 4, 2</t>
        </is>
      </c>
      <c r="H268" s="6" t="inlineStr">
        <is>
          <t>TRÚNG 🎯</t>
        </is>
      </c>
      <c r="I268" s="3" t="inlineStr">
        <is>
          <t>2, 7, 1</t>
        </is>
      </c>
      <c r="J268" s="6" t="inlineStr">
        <is>
          <t>TRÚNG 🎯</t>
        </is>
      </c>
      <c r="K268" s="3" t="inlineStr">
        <is>
          <t>21, 22, 27, 31, 32, 37, 41, 42, 47</t>
        </is>
      </c>
      <c r="L268" s="6" t="inlineStr">
        <is>
          <t>TRÚNG 🎯</t>
        </is>
      </c>
      <c r="M268" s="6" t="inlineStr">
        <is>
          <t>TRÚNG KHUNG 🎯</t>
        </is>
      </c>
    </row>
    <row r="269">
      <c r="A269" s="2" t="n">
        <v>265</v>
      </c>
      <c r="B269" s="2" t="inlineStr">
        <is>
          <t>Thứ bảy ngày 26-09-2026</t>
        </is>
      </c>
      <c r="C269" s="3" t="inlineStr">
        <is>
          <t>55473</t>
        </is>
      </c>
      <c r="D269" s="3" t="inlineStr">
        <is>
          <t>73</t>
        </is>
      </c>
      <c r="E269" s="3" t="inlineStr">
        <is>
          <t>Đầu 7</t>
        </is>
      </c>
      <c r="F269" s="3" t="inlineStr">
        <is>
          <t>Đuôi 3</t>
        </is>
      </c>
      <c r="G269" s="3" t="inlineStr">
        <is>
          <t>2, 4, 3</t>
        </is>
      </c>
      <c r="H269" s="7" t="inlineStr">
        <is>
          <t>TRƯỢT ❌</t>
        </is>
      </c>
      <c r="I269" s="3" t="inlineStr">
        <is>
          <t>2, 1, 7</t>
        </is>
      </c>
      <c r="J269" s="7" t="inlineStr">
        <is>
          <t>TRƯỢT ❌</t>
        </is>
      </c>
      <c r="K269" s="3" t="inlineStr">
        <is>
          <t>21, 22, 27, 31, 32, 37, 41, 42, 47</t>
        </is>
      </c>
      <c r="L269" s="7" t="inlineStr">
        <is>
          <t>TRƯỢT ❌</t>
        </is>
      </c>
      <c r="M269" s="7" t="inlineStr">
        <is>
          <t>TRƯỢT KHUNG ❌</t>
        </is>
      </c>
    </row>
    <row r="270">
      <c r="A270" s="2" t="n">
        <v>266</v>
      </c>
      <c r="B270" s="2" t="inlineStr">
        <is>
          <t>Chủ nhật ngày 27-09-2026</t>
        </is>
      </c>
      <c r="C270" s="3" t="inlineStr">
        <is>
          <t>77115</t>
        </is>
      </c>
      <c r="D270" s="3" t="inlineStr">
        <is>
          <t>15</t>
        </is>
      </c>
      <c r="E270" s="3" t="inlineStr">
        <is>
          <t>Đầu 1</t>
        </is>
      </c>
      <c r="F270" s="3" t="inlineStr">
        <is>
          <t>Đuôi 5</t>
        </is>
      </c>
      <c r="G270" s="3" t="inlineStr">
        <is>
          <t>2, 3, 4</t>
        </is>
      </c>
      <c r="H270" s="7" t="inlineStr">
        <is>
          <t>TRƯỢT ❌</t>
        </is>
      </c>
      <c r="I270" s="3" t="inlineStr">
        <is>
          <t>2, 1, 7</t>
        </is>
      </c>
      <c r="J270" s="7" t="inlineStr">
        <is>
          <t>TRƯỢT ❌</t>
        </is>
      </c>
      <c r="K270" s="3" t="inlineStr">
        <is>
          <t>21, 22, 27, 31, 32, 37, 41, 42, 47</t>
        </is>
      </c>
      <c r="L270" s="7" t="inlineStr">
        <is>
          <t>TRƯỢT ❌</t>
        </is>
      </c>
      <c r="M270" s="6" t="inlineStr">
        <is>
          <t>TRÚNG KHUNG 🎯</t>
        </is>
      </c>
    </row>
    <row r="271">
      <c r="A271" s="2" t="n">
        <v>267</v>
      </c>
      <c r="B271" s="2" t="inlineStr">
        <is>
          <t>Thứ Hai ngày 28-09-2026</t>
        </is>
      </c>
      <c r="C271" s="3" t="inlineStr">
        <is>
          <t>05651</t>
        </is>
      </c>
      <c r="D271" s="3" t="inlineStr">
        <is>
          <t>51</t>
        </is>
      </c>
      <c r="E271" s="3" t="inlineStr">
        <is>
          <t>Đầu 5</t>
        </is>
      </c>
      <c r="F271" s="3" t="inlineStr">
        <is>
          <t>Đuôi 1</t>
        </is>
      </c>
      <c r="G271" s="3" t="inlineStr">
        <is>
          <t>2, 9, 3</t>
        </is>
      </c>
      <c r="H271" s="7" t="inlineStr">
        <is>
          <t>TRƯỢT ❌</t>
        </is>
      </c>
      <c r="I271" s="3" t="inlineStr">
        <is>
          <t>2, 6, 4</t>
        </is>
      </c>
      <c r="J271" s="7" t="inlineStr">
        <is>
          <t>TRƯỢT ❌</t>
        </is>
      </c>
      <c r="K271" s="3" t="inlineStr">
        <is>
          <t>22, 24, 26, 32, 34, 36, 92, 94, 96</t>
        </is>
      </c>
      <c r="L271" s="7" t="inlineStr">
        <is>
          <t>TRƯỢT ❌</t>
        </is>
      </c>
      <c r="M271" s="7" t="inlineStr">
        <is>
          <t>TRƯỢT KHUNG ❌</t>
        </is>
      </c>
    </row>
    <row r="272">
      <c r="A272" s="2" t="n">
        <v>268</v>
      </c>
      <c r="B272" s="2" t="inlineStr">
        <is>
          <t>Thứ Ba ngày 29-09-2026</t>
        </is>
      </c>
      <c r="C272" s="3" t="inlineStr">
        <is>
          <t>95242</t>
        </is>
      </c>
      <c r="D272" s="3" t="inlineStr">
        <is>
          <t>42</t>
        </is>
      </c>
      <c r="E272" s="3" t="inlineStr">
        <is>
          <t>Đầu 4</t>
        </is>
      </c>
      <c r="F272" s="3" t="inlineStr">
        <is>
          <t>Đuôi 2</t>
        </is>
      </c>
      <c r="G272" s="3" t="inlineStr">
        <is>
          <t>2, 6, 9</t>
        </is>
      </c>
      <c r="H272" s="7" t="inlineStr">
        <is>
          <t>TRƯỢT ❌</t>
        </is>
      </c>
      <c r="I272" s="3" t="inlineStr">
        <is>
          <t>2, 6, 4</t>
        </is>
      </c>
      <c r="J272" s="6" t="inlineStr">
        <is>
          <t>TRÚNG 🎯</t>
        </is>
      </c>
      <c r="K272" s="3" t="inlineStr">
        <is>
          <t>22, 24, 26, 62, 64, 66, 92, 94, 96</t>
        </is>
      </c>
      <c r="L272" s="7" t="inlineStr">
        <is>
          <t>TRƯỢT ❌</t>
        </is>
      </c>
      <c r="M272" s="7" t="inlineStr">
        <is>
          <t>TRƯỢT KHUNG ❌</t>
        </is>
      </c>
    </row>
    <row r="273">
      <c r="A273" s="2" t="n">
        <v>269</v>
      </c>
      <c r="B273" s="2" t="inlineStr">
        <is>
          <t>Thứ Tư ngày 30-09-2026</t>
        </is>
      </c>
      <c r="C273" s="3" t="inlineStr">
        <is>
          <t>40208</t>
        </is>
      </c>
      <c r="D273" s="3" t="inlineStr">
        <is>
          <t>08</t>
        </is>
      </c>
      <c r="E273" s="3" t="inlineStr">
        <is>
          <t>Đầu 0</t>
        </is>
      </c>
      <c r="F273" s="3" t="inlineStr">
        <is>
          <t>Đuôi 8</t>
        </is>
      </c>
      <c r="G273" s="3" t="inlineStr">
        <is>
          <t>3, 6, 2</t>
        </is>
      </c>
      <c r="H273" s="7" t="inlineStr">
        <is>
          <t>TRƯỢT ❌</t>
        </is>
      </c>
      <c r="I273" s="3" t="inlineStr">
        <is>
          <t>2, 6, 7</t>
        </is>
      </c>
      <c r="J273" s="7" t="inlineStr">
        <is>
          <t>TRƯỢT ❌</t>
        </is>
      </c>
      <c r="K273" s="3" t="inlineStr">
        <is>
          <t>22, 26, 27, 32, 36, 37, 62, 66, 67</t>
        </is>
      </c>
      <c r="L273" s="7" t="inlineStr">
        <is>
          <t>TRƯỢT ❌</t>
        </is>
      </c>
      <c r="M273" s="7" t="inlineStr">
        <is>
          <t>TRƯỢT KHUNG ❌</t>
        </is>
      </c>
    </row>
    <row r="274">
      <c r="A274" s="2" t="n">
        <v>270</v>
      </c>
      <c r="B274" s="2" t="inlineStr">
        <is>
          <t>Thứ Năm ngày 01-10-2026</t>
        </is>
      </c>
      <c r="C274" s="3" t="inlineStr">
        <is>
          <t>24483</t>
        </is>
      </c>
      <c r="D274" s="3" t="inlineStr">
        <is>
          <t>83</t>
        </is>
      </c>
      <c r="E274" s="3" t="inlineStr">
        <is>
          <t>Đầu 8</t>
        </is>
      </c>
      <c r="F274" s="3" t="inlineStr">
        <is>
          <t>Đuôi 3</t>
        </is>
      </c>
      <c r="G274" s="3" t="inlineStr">
        <is>
          <t>3, 6, 9</t>
        </is>
      </c>
      <c r="H274" s="7" t="inlineStr">
        <is>
          <t>TRƯỢT ❌</t>
        </is>
      </c>
      <c r="I274" s="3" t="inlineStr">
        <is>
          <t>2, 6, 7</t>
        </is>
      </c>
      <c r="J274" s="7" t="inlineStr">
        <is>
          <t>TRƯỢT ❌</t>
        </is>
      </c>
      <c r="K274" s="3" t="inlineStr">
        <is>
          <t>32, 36, 37, 62, 66, 67, 92, 96, 97</t>
        </is>
      </c>
      <c r="L274" s="7" t="inlineStr">
        <is>
          <t>TRƯỢT ❌</t>
        </is>
      </c>
      <c r="M274" s="7" t="inlineStr">
        <is>
          <t>TRƯỢT KHUNG ❌</t>
        </is>
      </c>
    </row>
    <row r="275">
      <c r="A275" s="2" t="n">
        <v>271</v>
      </c>
      <c r="B275" s="2" t="inlineStr">
        <is>
          <t>Thứ Sáu ngày 02-10-2026</t>
        </is>
      </c>
      <c r="C275" s="3" t="inlineStr">
        <is>
          <t>77961</t>
        </is>
      </c>
      <c r="D275" s="3" t="inlineStr">
        <is>
          <t>61</t>
        </is>
      </c>
      <c r="E275" s="3" t="inlineStr">
        <is>
          <t>Đầu 6</t>
        </is>
      </c>
      <c r="F275" s="3" t="inlineStr">
        <is>
          <t>Đuôi 1</t>
        </is>
      </c>
      <c r="G275" s="3" t="inlineStr">
        <is>
          <t>3, 6, 1</t>
        </is>
      </c>
      <c r="H275" s="6" t="inlineStr">
        <is>
          <t>TRÚNG 🎯</t>
        </is>
      </c>
      <c r="I275" s="3" t="inlineStr">
        <is>
          <t>2, 5, 6</t>
        </is>
      </c>
      <c r="J275" s="7" t="inlineStr">
        <is>
          <t>TRƯỢT ❌</t>
        </is>
      </c>
      <c r="K275" s="3" t="inlineStr">
        <is>
          <t>12, 15, 16, 32, 35, 36, 62, 65, 66</t>
        </is>
      </c>
      <c r="L275" s="7" t="inlineStr">
        <is>
          <t>TRƯỢT ❌</t>
        </is>
      </c>
      <c r="M275" s="7" t="inlineStr">
        <is>
          <t>TRƯỢT KHUNG ❌</t>
        </is>
      </c>
    </row>
    <row r="276">
      <c r="A276" s="2" t="n">
        <v>272</v>
      </c>
      <c r="B276" s="2" t="inlineStr">
        <is>
          <t>Thứ Bảy ngày 03-10-2026</t>
        </is>
      </c>
      <c r="C276" s="3" t="inlineStr">
        <is>
          <t>82951</t>
        </is>
      </c>
      <c r="D276" s="3" t="inlineStr">
        <is>
          <t>51</t>
        </is>
      </c>
      <c r="E276" s="3" t="inlineStr">
        <is>
          <t>Đầu 5</t>
        </is>
      </c>
      <c r="F276" s="3" t="inlineStr">
        <is>
          <t>Đuôi 1</t>
        </is>
      </c>
      <c r="G276" s="3" t="inlineStr">
        <is>
          <t>3, 5, 2</t>
        </is>
      </c>
      <c r="H276" s="6" t="inlineStr">
        <is>
          <t>TRÚNG 🎯</t>
        </is>
      </c>
      <c r="I276" s="3" t="inlineStr">
        <is>
          <t>2, 5, 6</t>
        </is>
      </c>
      <c r="J276" s="7" t="inlineStr">
        <is>
          <t>TRƯỢT ❌</t>
        </is>
      </c>
      <c r="K276" s="3" t="inlineStr">
        <is>
          <t>22, 25, 26, 32, 35, 36, 52, 55, 56</t>
        </is>
      </c>
      <c r="L276" s="7" t="inlineStr">
        <is>
          <t>TRƯỢT ❌</t>
        </is>
      </c>
      <c r="M276" s="7" t="inlineStr">
        <is>
          <t>TRƯỢT KHUNG ❌</t>
        </is>
      </c>
    </row>
    <row r="277">
      <c r="A277" s="2" t="n">
        <v>273</v>
      </c>
      <c r="B277" s="2" t="inlineStr">
        <is>
          <t>Chủ Nhật ngày 04-10-2026</t>
        </is>
      </c>
      <c r="C277" s="3" t="inlineStr">
        <is>
          <t>19654</t>
        </is>
      </c>
      <c r="D277" s="3" t="inlineStr">
        <is>
          <t>54</t>
        </is>
      </c>
      <c r="E277" s="3" t="inlineStr">
        <is>
          <t>Đầu 5</t>
        </is>
      </c>
      <c r="F277" s="3" t="inlineStr">
        <is>
          <t>Đuôi 4</t>
        </is>
      </c>
      <c r="G277" s="3" t="inlineStr">
        <is>
          <t>3, 2, 9</t>
        </is>
      </c>
      <c r="H277" s="7" t="inlineStr">
        <is>
          <t>TRƯỢT ❌</t>
        </is>
      </c>
      <c r="I277" s="3" t="inlineStr">
        <is>
          <t>2, 5, 6</t>
        </is>
      </c>
      <c r="J277" s="7" t="inlineStr">
        <is>
          <t>TRƯỢT ❌</t>
        </is>
      </c>
      <c r="K277" s="3" t="inlineStr">
        <is>
          <t>22, 25, 26, 32, 35, 36, 92, 95, 96</t>
        </is>
      </c>
      <c r="L277" s="7" t="inlineStr">
        <is>
          <t>TRƯỢT ❌</t>
        </is>
      </c>
      <c r="M277" s="7" t="inlineStr">
        <is>
          <t>TRƯỢT KHUNG ❌</t>
        </is>
      </c>
    </row>
    <row r="278">
      <c r="A278" s="2" t="n">
        <v>274</v>
      </c>
      <c r="B278" s="2" t="inlineStr">
        <is>
          <t>Thứ Hai ngày 05-10-2026</t>
        </is>
      </c>
      <c r="C278" s="3" t="inlineStr">
        <is>
          <t>12554</t>
        </is>
      </c>
      <c r="D278" s="3" t="inlineStr">
        <is>
          <t>54</t>
        </is>
      </c>
      <c r="E278" s="3" t="inlineStr">
        <is>
          <t>Đầu 5</t>
        </is>
      </c>
      <c r="F278" s="3" t="inlineStr">
        <is>
          <t>Đuôi 4</t>
        </is>
      </c>
      <c r="G278" s="3" t="inlineStr">
        <is>
          <t>3, 0, 2</t>
        </is>
      </c>
      <c r="H278" s="7" t="inlineStr">
        <is>
          <t>TRƯỢT ❌</t>
        </is>
      </c>
      <c r="I278" s="3" t="inlineStr">
        <is>
          <t>2, 5, 1</t>
        </is>
      </c>
      <c r="J278" s="7" t="inlineStr">
        <is>
          <t>TRƯỢT ❌</t>
        </is>
      </c>
      <c r="K278" s="3" t="inlineStr">
        <is>
          <t>01, 02, 05, 21, 22, 25, 31, 32, 35</t>
        </is>
      </c>
      <c r="L278" s="7" t="inlineStr">
        <is>
          <t>TRƯỢT ❌</t>
        </is>
      </c>
      <c r="M278" s="7" t="inlineStr">
        <is>
          <t>TRƯỢT KHUNG ❌</t>
        </is>
      </c>
    </row>
    <row r="279">
      <c r="A279" s="2" t="n">
        <v>275</v>
      </c>
      <c r="B279" s="2" t="inlineStr">
        <is>
          <t>Thứ Ba ngày 06-10-2026</t>
        </is>
      </c>
      <c r="C279" s="3" t="inlineStr">
        <is>
          <t>56488</t>
        </is>
      </c>
      <c r="D279" s="3" t="inlineStr">
        <is>
          <t>88</t>
        </is>
      </c>
      <c r="E279" s="3" t="inlineStr">
        <is>
          <t>Đầu 8</t>
        </is>
      </c>
      <c r="F279" s="3" t="inlineStr">
        <is>
          <t>Đuôi 8</t>
        </is>
      </c>
      <c r="G279" s="3" t="inlineStr">
        <is>
          <t>0, 8, 2</t>
        </is>
      </c>
      <c r="H279" s="6" t="inlineStr">
        <is>
          <t>TRÚNG 🎯</t>
        </is>
      </c>
      <c r="I279" s="3" t="inlineStr">
        <is>
          <t>2, 1, 3</t>
        </is>
      </c>
      <c r="J279" s="7" t="inlineStr">
        <is>
          <t>TRƯỢT ❌</t>
        </is>
      </c>
      <c r="K279" s="3" t="inlineStr">
        <is>
          <t>01, 02, 03, 21, 22, 23, 81, 82, 83</t>
        </is>
      </c>
      <c r="L279" s="7" t="inlineStr">
        <is>
          <t>TRƯỢT ❌</t>
        </is>
      </c>
      <c r="M279" s="7" t="inlineStr">
        <is>
          <t>TRƯỢT KHUNG ❌</t>
        </is>
      </c>
    </row>
    <row r="280">
      <c r="A280" s="2" t="n">
        <v>276</v>
      </c>
      <c r="B280" s="2" t="inlineStr">
        <is>
          <t>Thứ Tư ngày 07-10-2026</t>
        </is>
      </c>
      <c r="C280" s="3" t="inlineStr">
        <is>
          <t>43339</t>
        </is>
      </c>
      <c r="D280" s="3" t="inlineStr">
        <is>
          <t>39</t>
        </is>
      </c>
      <c r="E280" s="3" t="inlineStr">
        <is>
          <t>Đầu 3</t>
        </is>
      </c>
      <c r="F280" s="3" t="inlineStr">
        <is>
          <t>Đuôi 9</t>
        </is>
      </c>
      <c r="G280" s="3" t="inlineStr">
        <is>
          <t>6, 0, 5</t>
        </is>
      </c>
      <c r="H280" s="7" t="inlineStr">
        <is>
          <t>TRƯỢT ❌</t>
        </is>
      </c>
      <c r="I280" s="3" t="inlineStr">
        <is>
          <t>2, 1, 3</t>
        </is>
      </c>
      <c r="J280" s="7" t="inlineStr">
        <is>
          <t>TRƯỢT ❌</t>
        </is>
      </c>
      <c r="K280" s="3" t="inlineStr">
        <is>
          <t>01, 02, 03, 51, 52, 53, 61, 62, 63</t>
        </is>
      </c>
      <c r="L280" s="7" t="inlineStr">
        <is>
          <t>TRƯỢT ❌</t>
        </is>
      </c>
      <c r="M280" s="6" t="inlineStr">
        <is>
          <t>TRÚNG KHUNG 🎯</t>
        </is>
      </c>
    </row>
    <row r="281">
      <c r="A281" s="2" t="n">
        <v>277</v>
      </c>
      <c r="B281" s="2" t="inlineStr">
        <is>
          <t>Thứ Năm ngày 08-10-2026</t>
        </is>
      </c>
      <c r="C281" s="3" t="inlineStr">
        <is>
          <t>20635</t>
        </is>
      </c>
      <c r="D281" s="3" t="inlineStr">
        <is>
          <t>35</t>
        </is>
      </c>
      <c r="E281" s="3" t="inlineStr">
        <is>
          <t>Đầu 3</t>
        </is>
      </c>
      <c r="F281" s="3" t="inlineStr">
        <is>
          <t>Đuôi 5</t>
        </is>
      </c>
      <c r="G281" s="3" t="inlineStr">
        <is>
          <t>6, 5, 0</t>
        </is>
      </c>
      <c r="H281" s="7" t="inlineStr">
        <is>
          <t>TRƯỢT ❌</t>
        </is>
      </c>
      <c r="I281" s="3" t="inlineStr">
        <is>
          <t>2, 1, 3</t>
        </is>
      </c>
      <c r="J281" s="7" t="inlineStr">
        <is>
          <t>TRƯỢT ❌</t>
        </is>
      </c>
      <c r="K281" s="3" t="inlineStr">
        <is>
          <t>01, 02, 03, 51, 52, 53, 61, 62, 63</t>
        </is>
      </c>
      <c r="L281" s="7" t="inlineStr">
        <is>
          <t>TRƯỢT ❌</t>
        </is>
      </c>
      <c r="M281" s="6" t="inlineStr">
        <is>
          <t>TRÚNG KHUNG 🎯</t>
        </is>
      </c>
    </row>
    <row r="282">
      <c r="A282" s="2" t="n">
        <v>278</v>
      </c>
      <c r="B282" s="2" t="inlineStr">
        <is>
          <t>Thứ Sáu ngày 09-10-2026</t>
        </is>
      </c>
      <c r="C282" s="3" t="inlineStr">
        <is>
          <t>82153</t>
        </is>
      </c>
      <c r="D282" s="3" t="inlineStr">
        <is>
          <t>53</t>
        </is>
      </c>
      <c r="E282" s="3" t="inlineStr">
        <is>
          <t>Đầu 5</t>
        </is>
      </c>
      <c r="F282" s="3" t="inlineStr">
        <is>
          <t>Đuôi 3</t>
        </is>
      </c>
      <c r="G282" s="3" t="inlineStr">
        <is>
          <t>6, 5, 0</t>
        </is>
      </c>
      <c r="H282" s="6" t="inlineStr">
        <is>
          <t>TRÚNG 🎯</t>
        </is>
      </c>
      <c r="I282" s="3" t="inlineStr">
        <is>
          <t>2, 1, 3</t>
        </is>
      </c>
      <c r="J282" s="6" t="inlineStr">
        <is>
          <t>TRÚNG 🎯</t>
        </is>
      </c>
      <c r="K282" s="3" t="inlineStr">
        <is>
          <t>01, 02, 03, 51, 52, 53, 61, 62, 63</t>
        </is>
      </c>
      <c r="L282" s="6" t="inlineStr">
        <is>
          <t>TRÚNG 🎯</t>
        </is>
      </c>
      <c r="M282" s="6" t="inlineStr">
        <is>
          <t>TRÚNG KHUNG 🎯</t>
        </is>
      </c>
    </row>
    <row r="283">
      <c r="A283" s="2" t="n">
        <v>279</v>
      </c>
      <c r="B283" s="2" t="inlineStr">
        <is>
          <t>Thứ Bảy ngày 10-10-2026</t>
        </is>
      </c>
      <c r="C283" s="3" t="inlineStr">
        <is>
          <t>07363</t>
        </is>
      </c>
      <c r="D283" s="3" t="inlineStr">
        <is>
          <t>63</t>
        </is>
      </c>
      <c r="E283" s="3" t="inlineStr">
        <is>
          <t>Đầu 6</t>
        </is>
      </c>
      <c r="F283" s="3" t="inlineStr">
        <is>
          <t>Đuôi 3</t>
        </is>
      </c>
      <c r="G283" s="3" t="inlineStr">
        <is>
          <t>6, 5, 3</t>
        </is>
      </c>
      <c r="H283" s="6" t="inlineStr">
        <is>
          <t>TRÚNG 🎯</t>
        </is>
      </c>
      <c r="I283" s="3" t="inlineStr">
        <is>
          <t>2, 1, 4</t>
        </is>
      </c>
      <c r="J283" s="7" t="inlineStr">
        <is>
          <t>TRƯỢT ❌</t>
        </is>
      </c>
      <c r="K283" s="3" t="inlineStr">
        <is>
          <t>31, 32, 34, 51, 52, 54, 61, 62, 64</t>
        </is>
      </c>
      <c r="L283" s="7" t="inlineStr">
        <is>
          <t>TRƯỢT ❌</t>
        </is>
      </c>
      <c r="M283" s="7" t="inlineStr">
        <is>
          <t>TRƯỢT KHUNG ❌</t>
        </is>
      </c>
    </row>
    <row r="284">
      <c r="A284" s="2" t="n">
        <v>280</v>
      </c>
      <c r="B284" s="2" t="inlineStr">
        <is>
          <t>Chủ Nhật ngày 11-10-2026</t>
        </is>
      </c>
      <c r="C284" s="3" t="inlineStr">
        <is>
          <t>38287</t>
        </is>
      </c>
      <c r="D284" s="3" t="inlineStr">
        <is>
          <t>87</t>
        </is>
      </c>
      <c r="E284" s="3" t="inlineStr">
        <is>
          <t>Đầu 8</t>
        </is>
      </c>
      <c r="F284" s="3" t="inlineStr">
        <is>
          <t>Đuôi 7</t>
        </is>
      </c>
      <c r="G284" s="3" t="inlineStr">
        <is>
          <t>5, 3, 0</t>
        </is>
      </c>
      <c r="H284" s="7" t="inlineStr">
        <is>
          <t>TRƯỢT ❌</t>
        </is>
      </c>
      <c r="I284" s="3" t="inlineStr">
        <is>
          <t>2, 1, 4</t>
        </is>
      </c>
      <c r="J284" s="7" t="inlineStr">
        <is>
          <t>TRƯỢT ❌</t>
        </is>
      </c>
      <c r="K284" s="3" t="inlineStr">
        <is>
          <t>01, 02, 04, 31, 32, 34, 51, 52, 54</t>
        </is>
      </c>
      <c r="L284" s="7" t="inlineStr">
        <is>
          <t>TRƯỢT ❌</t>
        </is>
      </c>
      <c r="M284" s="7" t="inlineStr">
        <is>
          <t>TRƯỢT KHUNG ❌</t>
        </is>
      </c>
    </row>
    <row r="285">
      <c r="A285" s="2" t="n">
        <v>281</v>
      </c>
      <c r="B285" s="2" t="inlineStr">
        <is>
          <t>Thứ Hai ngày 12-10-2026</t>
        </is>
      </c>
      <c r="C285" s="3" t="inlineStr">
        <is>
          <t>53618</t>
        </is>
      </c>
      <c r="D285" s="3" t="inlineStr">
        <is>
          <t>18</t>
        </is>
      </c>
      <c r="E285" s="3" t="inlineStr">
        <is>
          <t>Đầu 1</t>
        </is>
      </c>
      <c r="F285" s="3" t="inlineStr">
        <is>
          <t>Đuôi 8</t>
        </is>
      </c>
      <c r="G285" s="3" t="inlineStr">
        <is>
          <t>3, 5, 6</t>
        </is>
      </c>
      <c r="H285" s="7" t="inlineStr">
        <is>
          <t>TRƯỢT ❌</t>
        </is>
      </c>
      <c r="I285" s="3" t="inlineStr">
        <is>
          <t>2, 4, 8</t>
        </is>
      </c>
      <c r="J285" s="6" t="inlineStr">
        <is>
          <t>TRÚNG 🎯</t>
        </is>
      </c>
      <c r="K285" s="3" t="inlineStr">
        <is>
          <t>32, 34, 38, 52, 54, 58, 62, 64, 68</t>
        </is>
      </c>
      <c r="L285" s="7" t="inlineStr">
        <is>
          <t>TRƯỢT ❌</t>
        </is>
      </c>
      <c r="M285" s="7" t="inlineStr">
        <is>
          <t>TRƯỢT KHUNG ❌</t>
        </is>
      </c>
    </row>
    <row r="286">
      <c r="A286" s="2" t="n">
        <v>282</v>
      </c>
      <c r="B286" s="2" t="inlineStr">
        <is>
          <t>Thứ Ba ngày 13-10-2026</t>
        </is>
      </c>
      <c r="C286" s="3" t="inlineStr">
        <is>
          <t>28259</t>
        </is>
      </c>
      <c r="D286" s="3" t="inlineStr">
        <is>
          <t>59</t>
        </is>
      </c>
      <c r="E286" s="3" t="inlineStr">
        <is>
          <t>Đầu 5</t>
        </is>
      </c>
      <c r="F286" s="3" t="inlineStr">
        <is>
          <t>Đuôi 9</t>
        </is>
      </c>
      <c r="G286" s="3" t="inlineStr">
        <is>
          <t>3, 5, 6</t>
        </is>
      </c>
      <c r="H286" s="6" t="inlineStr">
        <is>
          <t>TRÚNG 🎯</t>
        </is>
      </c>
      <c r="I286" s="3" t="inlineStr">
        <is>
          <t>2, 4, 5</t>
        </is>
      </c>
      <c r="J286" s="7" t="inlineStr">
        <is>
          <t>TRƯỢT ❌</t>
        </is>
      </c>
      <c r="K286" s="3" t="inlineStr">
        <is>
          <t>32, 34, 35, 52, 54, 55, 62, 64, 65</t>
        </is>
      </c>
      <c r="L286" s="7" t="inlineStr">
        <is>
          <t>TRƯỢT ❌</t>
        </is>
      </c>
      <c r="M286" s="7" t="inlineStr">
        <is>
          <t>TRƯỢT KHUNG ❌</t>
        </is>
      </c>
    </row>
    <row r="287">
      <c r="A287" s="2" t="n">
        <v>283</v>
      </c>
      <c r="B287" s="2" t="inlineStr">
        <is>
          <t>Thứ Tư ngày 14-10-2026</t>
        </is>
      </c>
      <c r="C287" s="3" t="inlineStr">
        <is>
          <t>62066</t>
        </is>
      </c>
      <c r="D287" s="3" t="inlineStr">
        <is>
          <t>66</t>
        </is>
      </c>
      <c r="E287" s="3" t="inlineStr">
        <is>
          <t>Đầu 6</t>
        </is>
      </c>
      <c r="F287" s="3" t="inlineStr">
        <is>
          <t>Đuôi 6</t>
        </is>
      </c>
      <c r="G287" s="3" t="inlineStr">
        <is>
          <t>3, 6, 5</t>
        </is>
      </c>
      <c r="H287" s="6" t="inlineStr">
        <is>
          <t>TRÚNG 🎯</t>
        </is>
      </c>
      <c r="I287" s="3" t="inlineStr">
        <is>
          <t>2, 5, 1</t>
        </is>
      </c>
      <c r="J287" s="7" t="inlineStr">
        <is>
          <t>TRƯỢT ❌</t>
        </is>
      </c>
      <c r="K287" s="3" t="inlineStr">
        <is>
          <t>31, 32, 35, 51, 52, 55, 61, 62, 65</t>
        </is>
      </c>
      <c r="L287" s="7" t="inlineStr">
        <is>
          <t>TRƯỢT ❌</t>
        </is>
      </c>
      <c r="M287" s="7" t="inlineStr">
        <is>
          <t>TRƯỢT KHUNG ❌</t>
        </is>
      </c>
    </row>
    <row r="288">
      <c r="A288" s="2" t="n">
        <v>284</v>
      </c>
      <c r="B288" s="2" t="inlineStr">
        <is>
          <t>Thứ Năm ngày 15-10-2026</t>
        </is>
      </c>
      <c r="C288" s="3" t="inlineStr">
        <is>
          <t>63756</t>
        </is>
      </c>
      <c r="D288" s="3" t="inlineStr">
        <is>
          <t>56</t>
        </is>
      </c>
      <c r="E288" s="3" t="inlineStr">
        <is>
          <t>Đầu 5</t>
        </is>
      </c>
      <c r="F288" s="3" t="inlineStr">
        <is>
          <t>Đuôi 6</t>
        </is>
      </c>
      <c r="G288" s="3" t="inlineStr">
        <is>
          <t>3, 5, 6</t>
        </is>
      </c>
      <c r="H288" s="6" t="inlineStr">
        <is>
          <t>TRÚNG 🎯</t>
        </is>
      </c>
      <c r="I288" s="3" t="inlineStr">
        <is>
          <t>2, 3, 5</t>
        </is>
      </c>
      <c r="J288" s="7" t="inlineStr">
        <is>
          <t>TRƯỢT ❌</t>
        </is>
      </c>
      <c r="K288" s="3" t="inlineStr">
        <is>
          <t>32, 33, 35, 52, 53, 55, 62, 63, 65</t>
        </is>
      </c>
      <c r="L288" s="7" t="inlineStr">
        <is>
          <t>TRƯỢT ❌</t>
        </is>
      </c>
      <c r="M288" s="7" t="inlineStr">
        <is>
          <t>TRƯỢT KHUNG ❌</t>
        </is>
      </c>
    </row>
    <row r="289">
      <c r="A289" s="2" t="n">
        <v>285</v>
      </c>
      <c r="B289" s="2" t="inlineStr">
        <is>
          <t>Thứ Sáu ngày 16-10-2026</t>
        </is>
      </c>
      <c r="C289" s="3" t="inlineStr">
        <is>
          <t>64538</t>
        </is>
      </c>
      <c r="D289" s="3" t="inlineStr">
        <is>
          <t>38</t>
        </is>
      </c>
      <c r="E289" s="3" t="inlineStr">
        <is>
          <t>Đầu 3</t>
        </is>
      </c>
      <c r="F289" s="3" t="inlineStr">
        <is>
          <t>Đuôi 8</t>
        </is>
      </c>
      <c r="G289" s="3" t="inlineStr">
        <is>
          <t>3, 8, 5</t>
        </is>
      </c>
      <c r="H289" s="6" t="inlineStr">
        <is>
          <t>TRÚNG 🎯</t>
        </is>
      </c>
      <c r="I289" s="3" t="inlineStr">
        <is>
          <t>3, 5, 2</t>
        </is>
      </c>
      <c r="J289" s="7" t="inlineStr">
        <is>
          <t>TRƯỢT ❌</t>
        </is>
      </c>
      <c r="K289" s="3" t="inlineStr">
        <is>
          <t>32, 33, 35, 52, 53, 55, 82, 83, 85</t>
        </is>
      </c>
      <c r="L289" s="7" t="inlineStr">
        <is>
          <t>TRƯỢT ❌</t>
        </is>
      </c>
      <c r="M289" s="7" t="inlineStr">
        <is>
          <t>TRƯỢT KHUNG ❌</t>
        </is>
      </c>
    </row>
    <row r="290">
      <c r="A290" s="2" t="n">
        <v>286</v>
      </c>
      <c r="B290" s="2" t="inlineStr">
        <is>
          <t>Thứ Bảy ngày 17-10-2026</t>
        </is>
      </c>
      <c r="C290" s="3" t="inlineStr">
        <is>
          <t>84642</t>
        </is>
      </c>
      <c r="D290" s="3" t="inlineStr">
        <is>
          <t>42</t>
        </is>
      </c>
      <c r="E290" s="3" t="inlineStr">
        <is>
          <t>Đầu 4</t>
        </is>
      </c>
      <c r="F290" s="3" t="inlineStr">
        <is>
          <t>Đuôi 2</t>
        </is>
      </c>
      <c r="G290" s="3" t="inlineStr">
        <is>
          <t>5, 1, 8</t>
        </is>
      </c>
      <c r="H290" s="7" t="inlineStr">
        <is>
          <t>TRƯỢT ❌</t>
        </is>
      </c>
      <c r="I290" s="3" t="inlineStr">
        <is>
          <t>3, 2, 1</t>
        </is>
      </c>
      <c r="J290" s="6" t="inlineStr">
        <is>
          <t>TRÚNG 🎯</t>
        </is>
      </c>
      <c r="K290" s="3" t="inlineStr">
        <is>
          <t>11, 12, 13, 51, 52, 53, 81, 82, 83</t>
        </is>
      </c>
      <c r="L290" s="7" t="inlineStr">
        <is>
          <t>TRƯỢT ❌</t>
        </is>
      </c>
      <c r="M290" s="7" t="inlineStr">
        <is>
          <t>TRƯỢT KHUNG ❌</t>
        </is>
      </c>
    </row>
    <row r="291">
      <c r="A291" s="2" t="n">
        <v>287</v>
      </c>
      <c r="B291" s="2" t="inlineStr">
        <is>
          <t>Chủ Nhật ngày 18-10-2026</t>
        </is>
      </c>
      <c r="C291" s="3" t="inlineStr">
        <is>
          <t>55390</t>
        </is>
      </c>
      <c r="D291" s="3" t="inlineStr">
        <is>
          <t>90</t>
        </is>
      </c>
      <c r="E291" s="3" t="inlineStr">
        <is>
          <t>Đầu 9</t>
        </is>
      </c>
      <c r="F291" s="3" t="inlineStr">
        <is>
          <t>Đuôi 0</t>
        </is>
      </c>
      <c r="G291" s="3" t="inlineStr">
        <is>
          <t>5, 1, 8</t>
        </is>
      </c>
      <c r="H291" s="7" t="inlineStr">
        <is>
          <t>TRƯỢT ❌</t>
        </is>
      </c>
      <c r="I291" s="3" t="inlineStr">
        <is>
          <t>3, 1, 5</t>
        </is>
      </c>
      <c r="J291" s="7" t="inlineStr">
        <is>
          <t>TRƯỢT ❌</t>
        </is>
      </c>
      <c r="K291" s="3" t="inlineStr">
        <is>
          <t>11, 13, 15, 51, 53, 55, 81, 83, 85</t>
        </is>
      </c>
      <c r="L291" s="7" t="inlineStr">
        <is>
          <t>TRƯỢT ❌</t>
        </is>
      </c>
      <c r="M291" s="7" t="inlineStr">
        <is>
          <t>TRƯỢT KHUNG ❌</t>
        </is>
      </c>
    </row>
    <row r="292">
      <c r="A292" s="2" t="n">
        <v>288</v>
      </c>
      <c r="B292" s="2" t="inlineStr">
        <is>
          <t>Thứ Hai ngày 19-10-2026</t>
        </is>
      </c>
      <c r="C292" s="3" t="inlineStr">
        <is>
          <t>86809</t>
        </is>
      </c>
      <c r="D292" s="3" t="inlineStr">
        <is>
          <t>09</t>
        </is>
      </c>
      <c r="E292" s="3" t="inlineStr">
        <is>
          <t>Đầu 0</t>
        </is>
      </c>
      <c r="F292" s="3" t="inlineStr">
        <is>
          <t>Đuôi 9</t>
        </is>
      </c>
      <c r="G292" s="3" t="inlineStr">
        <is>
          <t>5, 6, 3</t>
        </is>
      </c>
      <c r="H292" s="7" t="inlineStr">
        <is>
          <t>TRƯỢT ❌</t>
        </is>
      </c>
      <c r="I292" s="3" t="inlineStr">
        <is>
          <t>3, 1, 5</t>
        </is>
      </c>
      <c r="J292" s="7" t="inlineStr">
        <is>
          <t>TRƯỢT ❌</t>
        </is>
      </c>
      <c r="K292" s="3" t="inlineStr">
        <is>
          <t>31, 33, 35, 51, 53, 55, 61, 63, 65</t>
        </is>
      </c>
      <c r="L292" s="7" t="inlineStr">
        <is>
          <t>TRƯỢT ❌</t>
        </is>
      </c>
      <c r="M292" s="7" t="inlineStr">
        <is>
          <t>TRƯỢT KHUNG ❌</t>
        </is>
      </c>
    </row>
    <row r="293">
      <c r="A293" s="2" t="n">
        <v>289</v>
      </c>
      <c r="B293" s="2" t="inlineStr">
        <is>
          <t>Thứ Ba ngày 20-10-2026</t>
        </is>
      </c>
      <c r="C293" s="3" t="inlineStr">
        <is>
          <t>94163</t>
        </is>
      </c>
      <c r="D293" s="3" t="inlineStr">
        <is>
          <t>63</t>
        </is>
      </c>
      <c r="E293" s="3" t="inlineStr">
        <is>
          <t>Đầu 6</t>
        </is>
      </c>
      <c r="F293" s="3" t="inlineStr">
        <is>
          <t>Đuôi 3</t>
        </is>
      </c>
      <c r="G293" s="3" t="inlineStr">
        <is>
          <t>5, 6, 3</t>
        </is>
      </c>
      <c r="H293" s="6" t="inlineStr">
        <is>
          <t>TRÚNG 🎯</t>
        </is>
      </c>
      <c r="I293" s="3" t="inlineStr">
        <is>
          <t>6, 3, 2</t>
        </is>
      </c>
      <c r="J293" s="6" t="inlineStr">
        <is>
          <t>TRÚNG 🎯</t>
        </is>
      </c>
      <c r="K293" s="3" t="inlineStr">
        <is>
          <t>32, 33, 36, 52, 53, 56, 62, 63, 66</t>
        </is>
      </c>
      <c r="L293" s="6" t="inlineStr">
        <is>
          <t>TRÚNG 🎯</t>
        </is>
      </c>
      <c r="M293" s="7" t="inlineStr">
        <is>
          <t>TRƯỢT KHUNG ❌</t>
        </is>
      </c>
    </row>
    <row r="294">
      <c r="A294" s="4" t="inlineStr">
        <is>
          <t>BẢNG PHÂN TÍCH CHUYÊN SÂU</t>
        </is>
      </c>
      <c r="B294" s="4" t="inlineStr">
        <is>
          <t>TỪNG ĐẦU DỰ ĐOÁN (0-9)</t>
        </is>
      </c>
      <c r="C294" s="5" t="inlineStr">
        <is>
          <t>Số Lần Dự Đoán</t>
        </is>
      </c>
      <c r="D294" s="6" t="inlineStr">
        <is>
          <t>Số Lần TRÚNG Thực Tế</t>
        </is>
      </c>
      <c r="E294" s="5" t="inlineStr">
        <is>
          <t>Tỷ Lệ Trúng %</t>
        </is>
      </c>
      <c r="F294" s="5" t="inlineStr">
        <is>
          <t>---</t>
        </is>
      </c>
      <c r="G294" s="5" t="inlineStr">
        <is>
          <t>---</t>
        </is>
      </c>
      <c r="H294" s="5" t="inlineStr">
        <is>
          <t>---</t>
        </is>
      </c>
      <c r="I294" s="5" t="inlineStr">
        <is>
          <t>---</t>
        </is>
      </c>
      <c r="J294" s="5" t="inlineStr">
        <is>
          <t>---</t>
        </is>
      </c>
      <c r="K294" s="5" t="inlineStr">
        <is>
          <t>---</t>
        </is>
      </c>
      <c r="L294" s="5" t="inlineStr">
        <is>
          <t>---</t>
        </is>
      </c>
      <c r="M294" s="5" t="inlineStr">
        <is>
          <t>---</t>
        </is>
      </c>
    </row>
    <row r="295">
      <c r="A295" s="2" t="inlineStr">
        <is>
          <t>ĐẦU CHI TIẾT</t>
        </is>
      </c>
      <c r="B295" s="2" t="inlineStr">
        <is>
          <t>Đầu 0</t>
        </is>
      </c>
      <c r="C295" s="3" t="inlineStr">
        <is>
          <t>56 lần</t>
        </is>
      </c>
      <c r="D295" s="3" t="inlineStr">
        <is>
          <t>2 lần</t>
        </is>
      </c>
      <c r="E295" s="3" t="inlineStr">
        <is>
          <t>3.57%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</row>
    <row r="296">
      <c r="A296" s="2" t="inlineStr">
        <is>
          <t>ĐẦU CHI TIẾT</t>
        </is>
      </c>
      <c r="B296" s="2" t="inlineStr">
        <is>
          <t>Đầu 1</t>
        </is>
      </c>
      <c r="C296" s="3" t="inlineStr">
        <is>
          <t>73 lần</t>
        </is>
      </c>
      <c r="D296" s="3" t="inlineStr">
        <is>
          <t>7 lần</t>
        </is>
      </c>
      <c r="E296" s="3" t="inlineStr">
        <is>
          <t>9.59%</t>
        </is>
      </c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</row>
    <row r="297">
      <c r="A297" s="2" t="inlineStr">
        <is>
          <t>ĐẦU CHI TIẾT</t>
        </is>
      </c>
      <c r="B297" s="2" t="inlineStr">
        <is>
          <t>Đầu 2</t>
        </is>
      </c>
      <c r="C297" s="3" t="inlineStr">
        <is>
          <t>97 lần</t>
        </is>
      </c>
      <c r="D297" s="3" t="inlineStr">
        <is>
          <t>9 lần</t>
        </is>
      </c>
      <c r="E297" s="3" t="inlineStr">
        <is>
          <t>9.28%</t>
        </is>
      </c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</row>
    <row r="298">
      <c r="A298" s="2" t="inlineStr">
        <is>
          <t>ĐẦU CHI TIẾT</t>
        </is>
      </c>
      <c r="B298" s="2" t="inlineStr">
        <is>
          <t>Đầu 3</t>
        </is>
      </c>
      <c r="C298" s="3" t="inlineStr">
        <is>
          <t>120 lần</t>
        </is>
      </c>
      <c r="D298" s="3" t="inlineStr">
        <is>
          <t>15 lần</t>
        </is>
      </c>
      <c r="E298" s="3" t="inlineStr">
        <is>
          <t>12.5%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</row>
    <row r="299">
      <c r="A299" s="2" t="inlineStr">
        <is>
          <t>ĐẦU CHI TIẾT</t>
        </is>
      </c>
      <c r="B299" s="2" t="inlineStr">
        <is>
          <t>Đầu 4</t>
        </is>
      </c>
      <c r="C299" s="3" t="inlineStr">
        <is>
          <t>92 lần</t>
        </is>
      </c>
      <c r="D299" s="3" t="inlineStr">
        <is>
          <t>6 lần</t>
        </is>
      </c>
      <c r="E299" s="3" t="inlineStr">
        <is>
          <t>6.52%</t>
        </is>
      </c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</row>
    <row r="300">
      <c r="A300" s="2" t="inlineStr">
        <is>
          <t>ĐẦU CHI TIẾT</t>
        </is>
      </c>
      <c r="B300" s="2" t="inlineStr">
        <is>
          <t>Đầu 5</t>
        </is>
      </c>
      <c r="C300" s="3" t="inlineStr">
        <is>
          <t>104 lần</t>
        </is>
      </c>
      <c r="D300" s="3" t="inlineStr">
        <is>
          <t>13 lần</t>
        </is>
      </c>
      <c r="E300" s="3" t="inlineStr">
        <is>
          <t>12.5%</t>
        </is>
      </c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</row>
    <row r="301">
      <c r="A301" s="2" t="inlineStr">
        <is>
          <t>ĐẦU CHI TIẾT</t>
        </is>
      </c>
      <c r="B301" s="2" t="inlineStr">
        <is>
          <t>Đầu 6</t>
        </is>
      </c>
      <c r="C301" s="3" t="inlineStr">
        <is>
          <t>118 lần</t>
        </is>
      </c>
      <c r="D301" s="3" t="inlineStr">
        <is>
          <t>12 lần</t>
        </is>
      </c>
      <c r="E301" s="3" t="inlineStr">
        <is>
          <t>10.17%</t>
        </is>
      </c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</row>
    <row r="302">
      <c r="A302" s="2" t="inlineStr">
        <is>
          <t>ĐẦU CHI TIẾT</t>
        </is>
      </c>
      <c r="B302" s="2" t="inlineStr">
        <is>
          <t>Đầu 7</t>
        </is>
      </c>
      <c r="C302" s="3" t="inlineStr">
        <is>
          <t>38 lần</t>
        </is>
      </c>
      <c r="D302" s="3" t="inlineStr">
        <is>
          <t>2 lần</t>
        </is>
      </c>
      <c r="E302" s="3" t="inlineStr">
        <is>
          <t>5.26%</t>
        </is>
      </c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</row>
    <row r="303">
      <c r="A303" s="2" t="inlineStr">
        <is>
          <t>ĐẦU CHI TIẾT</t>
        </is>
      </c>
      <c r="B303" s="2" t="inlineStr">
        <is>
          <t>Đầu 8</t>
        </is>
      </c>
      <c r="C303" s="3" t="inlineStr">
        <is>
          <t>103 lần</t>
        </is>
      </c>
      <c r="D303" s="3" t="inlineStr">
        <is>
          <t>12 lần</t>
        </is>
      </c>
      <c r="E303" s="3" t="inlineStr">
        <is>
          <t>11.65%</t>
        </is>
      </c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</row>
    <row r="304">
      <c r="A304" s="2" t="inlineStr">
        <is>
          <t>ĐẦU CHI TIẾT</t>
        </is>
      </c>
      <c r="B304" s="2" t="inlineStr">
        <is>
          <t>Đầu 9</t>
        </is>
      </c>
      <c r="C304" s="3" t="inlineStr">
        <is>
          <t>66 lần</t>
        </is>
      </c>
      <c r="D304" s="3" t="inlineStr">
        <is>
          <t>7 lần</t>
        </is>
      </c>
      <c r="E304" s="3" t="inlineStr">
        <is>
          <t>10.61%</t>
        </is>
      </c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</row>
    <row r="305">
      <c r="A305" s="4" t="inlineStr">
        <is>
          <t>BẢNG PHÂN TÍCH CHUYÊN SÂU</t>
        </is>
      </c>
      <c r="B305" s="4" t="inlineStr">
        <is>
          <t>TỪNG ĐUÔI DỰ ĐOÁN (0-9)</t>
        </is>
      </c>
      <c r="C305" s="5" t="inlineStr">
        <is>
          <t>Số Lần Dự Đoán</t>
        </is>
      </c>
      <c r="D305" s="6" t="inlineStr">
        <is>
          <t>Số Lần TRÚNG Thực Tế</t>
        </is>
      </c>
      <c r="E305" s="5" t="inlineStr">
        <is>
          <t>Tỷ Lệ Trúng %</t>
        </is>
      </c>
      <c r="F305" s="5" t="inlineStr">
        <is>
          <t>---</t>
        </is>
      </c>
      <c r="G305" s="5" t="inlineStr">
        <is>
          <t>---</t>
        </is>
      </c>
      <c r="H305" s="5" t="inlineStr">
        <is>
          <t>---</t>
        </is>
      </c>
      <c r="I305" s="5" t="inlineStr">
        <is>
          <t>---</t>
        </is>
      </c>
      <c r="J305" s="5" t="inlineStr">
        <is>
          <t>---</t>
        </is>
      </c>
      <c r="K305" s="5" t="inlineStr">
        <is>
          <t>---</t>
        </is>
      </c>
      <c r="L305" s="5" t="inlineStr">
        <is>
          <t>---</t>
        </is>
      </c>
      <c r="M305" s="5" t="inlineStr">
        <is>
          <t>---</t>
        </is>
      </c>
    </row>
    <row r="306">
      <c r="A306" s="2" t="inlineStr">
        <is>
          <t>ĐUÔI CHI TIẾT</t>
        </is>
      </c>
      <c r="B306" s="2" t="inlineStr">
        <is>
          <t>Đuôi 0</t>
        </is>
      </c>
      <c r="C306" s="3" t="inlineStr">
        <is>
          <t>50 lần</t>
        </is>
      </c>
      <c r="D306" s="3" t="inlineStr">
        <is>
          <t>3 lần</t>
        </is>
      </c>
      <c r="E306" s="3" t="inlineStr">
        <is>
          <t>6.0%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</row>
    <row r="307">
      <c r="A307" s="2" t="inlineStr">
        <is>
          <t>ĐUÔI CHI TIẾT</t>
        </is>
      </c>
      <c r="B307" s="2" t="inlineStr">
        <is>
          <t>Đuôi 1</t>
        </is>
      </c>
      <c r="C307" s="3" t="inlineStr">
        <is>
          <t>94 lần</t>
        </is>
      </c>
      <c r="D307" s="3" t="inlineStr">
        <is>
          <t>8 lần</t>
        </is>
      </c>
      <c r="E307" s="3" t="inlineStr">
        <is>
          <t>8.51%</t>
        </is>
      </c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</row>
    <row r="308">
      <c r="A308" s="2" t="inlineStr">
        <is>
          <t>ĐUÔI CHI TIẾT</t>
        </is>
      </c>
      <c r="B308" s="2" t="inlineStr">
        <is>
          <t>Đuôi 2</t>
        </is>
      </c>
      <c r="C308" s="3" t="inlineStr">
        <is>
          <t>89 lần</t>
        </is>
      </c>
      <c r="D308" s="3" t="inlineStr">
        <is>
          <t>8 lần</t>
        </is>
      </c>
      <c r="E308" s="3" t="inlineStr">
        <is>
          <t>8.99%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</row>
    <row r="309">
      <c r="A309" s="2" t="inlineStr">
        <is>
          <t>ĐUÔI CHI TIẾT</t>
        </is>
      </c>
      <c r="B309" s="2" t="inlineStr">
        <is>
          <t>Đuôi 3</t>
        </is>
      </c>
      <c r="C309" s="3" t="inlineStr">
        <is>
          <t>110 lần</t>
        </is>
      </c>
      <c r="D309" s="3" t="inlineStr">
        <is>
          <t>9 lần</t>
        </is>
      </c>
      <c r="E309" s="3" t="inlineStr">
        <is>
          <t>8.18%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</row>
    <row r="310">
      <c r="A310" s="2" t="inlineStr">
        <is>
          <t>ĐUÔI CHI TIẾT</t>
        </is>
      </c>
      <c r="B310" s="2" t="inlineStr">
        <is>
          <t>Đuôi 4</t>
        </is>
      </c>
      <c r="C310" s="3" t="inlineStr">
        <is>
          <t>121 lần</t>
        </is>
      </c>
      <c r="D310" s="3" t="inlineStr">
        <is>
          <t>12 lần</t>
        </is>
      </c>
      <c r="E310" s="3" t="inlineStr">
        <is>
          <t>9.92%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</row>
    <row r="311">
      <c r="A311" s="2" t="inlineStr">
        <is>
          <t>ĐUÔI CHI TIẾT</t>
        </is>
      </c>
      <c r="B311" s="2" t="inlineStr">
        <is>
          <t>Đuôi 5</t>
        </is>
      </c>
      <c r="C311" s="3" t="inlineStr">
        <is>
          <t>70 lần</t>
        </is>
      </c>
      <c r="D311" s="3" t="inlineStr">
        <is>
          <t>4 lần</t>
        </is>
      </c>
      <c r="E311" s="3" t="inlineStr">
        <is>
          <t>5.71%</t>
        </is>
      </c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</row>
    <row r="312">
      <c r="A312" s="2" t="inlineStr">
        <is>
          <t>ĐUÔI CHI TIẾT</t>
        </is>
      </c>
      <c r="B312" s="2" t="inlineStr">
        <is>
          <t>Đuôi 6</t>
        </is>
      </c>
      <c r="C312" s="3" t="inlineStr">
        <is>
          <t>29 lần</t>
        </is>
      </c>
      <c r="D312" s="3" t="inlineStr">
        <is>
          <t>0 lần</t>
        </is>
      </c>
      <c r="E312" s="3" t="inlineStr">
        <is>
          <t>0.0%</t>
        </is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</row>
    <row r="313">
      <c r="A313" s="2" t="inlineStr">
        <is>
          <t>ĐUÔI CHI TIẾT</t>
        </is>
      </c>
      <c r="B313" s="2" t="inlineStr">
        <is>
          <t>Đuôi 7</t>
        </is>
      </c>
      <c r="C313" s="3" t="inlineStr">
        <is>
          <t>111 lần</t>
        </is>
      </c>
      <c r="D313" s="3" t="inlineStr">
        <is>
          <t>13 lần</t>
        </is>
      </c>
      <c r="E313" s="3" t="inlineStr">
        <is>
          <t>11.71%</t>
        </is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</row>
    <row r="314">
      <c r="A314" s="2" t="inlineStr">
        <is>
          <t>ĐUÔI CHI TIẾT</t>
        </is>
      </c>
      <c r="B314" s="2" t="inlineStr">
        <is>
          <t>Đuôi 8</t>
        </is>
      </c>
      <c r="C314" s="3" t="inlineStr">
        <is>
          <t>119 lần</t>
        </is>
      </c>
      <c r="D314" s="3" t="inlineStr">
        <is>
          <t>11 lần</t>
        </is>
      </c>
      <c r="E314" s="3" t="inlineStr">
        <is>
          <t>9.24%</t>
        </is>
      </c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</row>
    <row r="315">
      <c r="A315" s="2" t="inlineStr">
        <is>
          <t>ĐUÔI CHI TIẾT</t>
        </is>
      </c>
      <c r="B315" s="2" t="inlineStr">
        <is>
          <t>Đuôi 9</t>
        </is>
      </c>
      <c r="C315" s="3" t="inlineStr">
        <is>
          <t>74 lần</t>
        </is>
      </c>
      <c r="D315" s="3" t="inlineStr">
        <is>
          <t>7 lần</t>
        </is>
      </c>
      <c r="E315" s="3" t="inlineStr">
        <is>
          <t>9.46%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23" customWidth="1" min="5" max="5"/>
    <col width="43" customWidth="1" min="6" max="6"/>
    <col width="35" customWidth="1" min="7" max="7"/>
    <col width="34" customWidth="1" min="8" max="8"/>
    <col width="65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(Gốc 60 số)</t>
        </is>
      </c>
      <c r="D1" s="1" t="inlineStr">
        <is>
          <t>N2 (Siêu Lọc 28 số)</t>
        </is>
      </c>
      <c r="E1" s="1" t="inlineStr">
        <is>
          <t>N3 (Siêu Lọc 28 số)</t>
        </is>
      </c>
      <c r="F1" s="1" t="inlineStr">
        <is>
          <t>Tỷ Lệ Trúng N2/N3 (Khi N1 Trượt)</t>
        </is>
      </c>
      <c r="G1" s="1" t="inlineStr">
        <is>
          <t>Song Thủ Lô Rơi (N2/N3)</t>
        </is>
      </c>
      <c r="H1" s="1" t="inlineStr">
        <is>
          <t>Kết Quả Khung 3 Ngày</t>
        </is>
      </c>
      <c r="I1" s="1" t="inlineStr">
        <is>
          <t>Dàn N1 (60 Số)</t>
        </is>
      </c>
      <c r="J1" s="1" t="inlineStr">
        <is>
          <t>Dàn Siêu Lọc N2 (28 Số)</t>
        </is>
      </c>
      <c r="K1" s="1" t="inlineStr">
        <is>
          <t>Dàn Siêu Lọc N3 (28 Số)</t>
        </is>
      </c>
    </row>
    <row r="2">
      <c r="A2" s="2" t="inlineStr">
        <is>
          <t>TỔNG KẾT KHUNG 3 NGÀY</t>
        </is>
      </c>
      <c r="B2" s="2" t="inlineStr">
        <is>
          <t>Tổng Khung: 287 Khung</t>
        </is>
      </c>
      <c r="C2" s="3" t="inlineStr">
        <is>
          <t>Trúng N1: 136 Khung</t>
        </is>
      </c>
      <c r="D2" s="3" t="inlineStr">
        <is>
          <t>Trúng N2: 40 Khung</t>
        </is>
      </c>
      <c r="E2" s="3" t="inlineStr">
        <is>
          <t>Trúng N3: 28 Khung</t>
        </is>
      </c>
      <c r="F2" s="3" t="inlineStr">
        <is>
          <t>Trúng N2/N3 Siêu Lọc: 68 Khung (45.03%)</t>
        </is>
      </c>
      <c r="G2" s="3" t="inlineStr">
        <is>
          <t>Trúng STL Rơi: 20 Khung (6.97%)</t>
        </is>
      </c>
      <c r="H2" s="6" t="inlineStr">
        <is>
          <t>TỔNG TRÚNG: 204 Khung (71.08%)</t>
        </is>
      </c>
      <c r="I2" s="3" t="inlineStr">
        <is>
          <t>---</t>
        </is>
      </c>
      <c r="J2" s="3" t="inlineStr">
        <is>
          <t>---</t>
        </is>
      </c>
      <c r="K2" s="3" t="inlineStr">
        <is>
          <t>---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(Trúng)</t>
        </is>
      </c>
      <c r="D3" s="3" t="inlineStr">
        <is>
          <t>49 (Không)</t>
        </is>
      </c>
      <c r="E3" s="3" t="inlineStr">
        <is>
          <t>97 (Không)</t>
        </is>
      </c>
      <c r="F3" s="3" t="inlineStr">
        <is>
          <t>---</t>
        </is>
      </c>
      <c r="G3" s="7" t="inlineStr">
        <is>
          <t>25, 69 (TRƯỢT ❌)</t>
        </is>
      </c>
      <c r="H3" s="6" t="inlineStr">
        <is>
          <t>TRÚNG N1 🎯</t>
        </is>
      </c>
      <c r="I3" s="3" t="inlineStr">
        <is>
          <t>00, 02, 05, 07, 11, 14, 16, 19, 20, 23, 25, 28, 32, 34, 37, 39, 41, 43, 46, 48, 50, 52, 55, 57, 61, 64, 66, 69, 70, 73, 75, 78, 82, 84, 87, 89, 91, 93, 96, 98 (40 số)</t>
        </is>
      </c>
      <c r="J3" s="3" t="inlineStr">
        <is>
          <t>50, 52, 55, 57, 61, 64, 66, 69, 70, 73, 75, 78, 82, 84, 87, 89, 91, 93, 96, 98 (20 số)</t>
        </is>
      </c>
      <c r="K3" s="3" t="inlineStr">
        <is>
          <t>50, 52, 55, 57, 61, 64, 66, 69, 70, 73, 75, 78, 82, 84, 87, 89, 91, 93, 96, 98 (20 số)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3" t="inlineStr">
        <is>
          <t>---</t>
        </is>
      </c>
      <c r="G4" s="7" t="inlineStr">
        <is>
          <t>24, 29 (TRƯỢT ❌)</t>
        </is>
      </c>
      <c r="H4" s="6" t="inlineStr">
        <is>
          <t>TRÚNG N2 (Siêu Lọc 🎯)</t>
        </is>
      </c>
      <c r="I4" s="3" t="inlineStr">
        <is>
          <t>01, 06, 10, 15, 24, 29, 33, 38, 42, 47, 51, 56, 60, 65, 74, 79, 83, 88, 92, 97 (20 số)</t>
        </is>
      </c>
      <c r="J4" s="3" t="inlineStr">
        <is>
          <t>51, 56, 60, 65, 74, 79, 83, 88, 92, 97 (10 số)</t>
        </is>
      </c>
      <c r="K4" s="3" t="inlineStr">
        <is>
          <t>51, 56, 60, 65, 74, 79, 83, 88, 92, 97 (10 số)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(Trúng)</t>
        </is>
      </c>
      <c r="E5" s="3" t="inlineStr">
        <is>
          <t>47 (Trúng)</t>
        </is>
      </c>
      <c r="F5" s="3" t="inlineStr">
        <is>
          <t>---</t>
        </is>
      </c>
      <c r="G5" s="7" t="inlineStr">
        <is>
          <t>33, 46 (TRƯỢT ❌)</t>
        </is>
      </c>
      <c r="H5" s="6" t="inlineStr">
        <is>
          <t>TRÚNG N1 🎯</t>
        </is>
      </c>
      <c r="I5" s="3" t="inlineStr">
        <is>
          <t>00, 01, 05, 06, 10, 14, 15, 19, 23, 24, 28, 29, 32, 33, 37, 38, 41, 42, 46, 47, 50, 51, 55, 56, 60, 64, 65, 69, 73, 74, 78, 79, 82, 83, 87, 88, 91, 92, 96, 97 (40 số)</t>
        </is>
      </c>
      <c r="J5" s="3" t="inlineStr">
        <is>
          <t>00, 01, 05, 06, 10, 14, 15, 19, 23, 24, 28, 29, 32, 33, 37, 38, 41, 42, 46, 47 (20 số)</t>
        </is>
      </c>
      <c r="K5" s="3" t="inlineStr">
        <is>
          <t>00, 01, 05, 06, 10, 14, 15, 19, 23, 24, 28, 29, 32, 33, 37, 38, 41, 42, 46, 47 (20 số)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3" t="inlineStr">
        <is>
          <t>---</t>
        </is>
      </c>
      <c r="G6" s="7" t="inlineStr">
        <is>
          <t>25, 34 (TRƯỢT ❌)</t>
        </is>
      </c>
      <c r="H6" s="6" t="inlineStr">
        <is>
          <t>TRÚNG N3 (Siêu Lọc 🎯)</t>
        </is>
      </c>
      <c r="I6" s="3" t="inlineStr">
        <is>
          <t>02, 04, 07, 09, 11, 13, 16, 18, 20, 22, 25, 27, 31, 34, 36, 39, 40, 43, 45, 48, 52, 54, 57, 59, 61, 63, 66, 68, 70, 72, 75, 77, 81, 84, 86, 89, 90, 93, 95, 98 (40 số)</t>
        </is>
      </c>
      <c r="J6" s="3" t="inlineStr">
        <is>
          <t>52, 54, 57, 59, 61, 63, 66, 68, 70, 72, 75, 77, 81, 84, 86, 89, 90, 93, 95, 98 (20 số)</t>
        </is>
      </c>
      <c r="K6" s="3" t="inlineStr">
        <is>
          <t>52, 54, 57, 59, 61, 63, 66, 68, 70, 72, 75, 77, 81, 84, 86, 89, 90, 93, 95, 98 (20 số)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(Trúng)</t>
        </is>
      </c>
      <c r="E7" s="3" t="inlineStr">
        <is>
          <t>62 (Không)</t>
        </is>
      </c>
      <c r="F7" s="3" t="inlineStr">
        <is>
          <t>---</t>
        </is>
      </c>
      <c r="G7" s="6" t="inlineStr">
        <is>
          <t>43, 47 (TRÚNG 🎯)</t>
        </is>
      </c>
      <c r="H7" s="6" t="inlineStr">
        <is>
          <t>TRÚNG N1 🎯</t>
        </is>
      </c>
      <c r="I7" s="3" t="inlineStr">
        <is>
          <t>01, 02, 06, 07, 10, 11, 15, 16, 20, 24, 25, 29, 33, 34, 38, 39, 42, 43, 47, 48, 51, 52, 56, 57, 60, 61, 65, 66, 70, 74, 75, 79, 83, 84, 88, 89, 92, 93, 97, 98 (40 số)</t>
        </is>
      </c>
      <c r="J7" s="3" t="inlineStr">
        <is>
          <t>51, 52, 56, 57, 60, 61, 65, 66, 70, 74, 75, 79, 83, 84, 88, 89, 92, 93, 97, 98 (20 số)</t>
        </is>
      </c>
      <c r="K7" s="3" t="inlineStr">
        <is>
          <t>51, 52, 56, 57, 60, 61, 65, 66, 70, 74, 75, 79, 83, 84, 88, 89, 92, 93, 97, 98 (20 số)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(Không)</t>
        </is>
      </c>
      <c r="E8" s="3" t="inlineStr">
        <is>
          <t>23 (Trúng)</t>
        </is>
      </c>
      <c r="F8" s="3" t="inlineStr">
        <is>
          <t>---</t>
        </is>
      </c>
      <c r="G8" s="7" t="inlineStr">
        <is>
          <t>10, 47 (TRƯỢT ❌)</t>
        </is>
      </c>
      <c r="H8" s="6" t="inlineStr">
        <is>
          <t>TRÚNG N3 (Siêu Lọc 🎯)</t>
        </is>
      </c>
      <c r="I8" s="3" t="inlineStr">
        <is>
          <t>00, 01, 05, 06, 10, 14, 15, 19, 23, 24, 28, 29, 32, 33, 37, 38, 41, 42, 46, 47, 50, 51, 55, 56, 60, 64, 65, 69, 73, 74, 78, 79, 82, 83, 87, 88, 91, 92, 96, 97 (40 số)</t>
        </is>
      </c>
      <c r="J8" s="3" t="inlineStr">
        <is>
          <t>00, 01, 05, 06, 10, 14, 15, 19, 23, 24, 28, 29, 32, 33, 37, 38, 41, 42, 46, 47 (20 số)</t>
        </is>
      </c>
      <c r="K8" s="3" t="inlineStr">
        <is>
          <t>00, 01, 05, 06, 10, 14, 15, 19, 23, 24, 28, 29, 32, 33, 37, 38, 41, 42, 46, 47 (20 số)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(Trúng)</t>
        </is>
      </c>
      <c r="E9" s="3" t="inlineStr">
        <is>
          <t>93 (Không)</t>
        </is>
      </c>
      <c r="F9" s="3" t="inlineStr">
        <is>
          <t>---</t>
        </is>
      </c>
      <c r="G9" s="7" t="inlineStr">
        <is>
          <t>24, 39 (TRƯỢT ❌)</t>
        </is>
      </c>
      <c r="H9" s="6" t="inlineStr">
        <is>
          <t>TRÚNG N2 (Siêu Lọc 🎯)</t>
        </is>
      </c>
      <c r="I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" s="3" t="inlineStr">
        <is>
          <t>01, 02, 05, 06, 07, 10, 11, 14, 15, 19, 20, 23, 24, 25, 28, 29, 32, 33, 34, 37, 38, 39, 41, 42, 43, 46, 47, 48 (28 số)</t>
        </is>
      </c>
      <c r="K9" s="3" t="inlineStr">
        <is>
          <t>01, 02, 05, 06, 07, 10, 11, 14, 15, 19, 20, 23, 24, 25, 28, 29, 32, 33, 34, 37, 38, 39, 41, 42, 43, 46, 47, 48 (28 số)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(Trúng)</t>
        </is>
      </c>
      <c r="D10" s="3" t="inlineStr">
        <is>
          <t>93 (Không)</t>
        </is>
      </c>
      <c r="E10" s="3" t="inlineStr">
        <is>
          <t>38 (Không)</t>
        </is>
      </c>
      <c r="F10" s="3" t="inlineStr">
        <is>
          <t>---</t>
        </is>
      </c>
      <c r="G10" s="7" t="inlineStr">
        <is>
          <t>13, 54 (TRƯỢT ❌)</t>
        </is>
      </c>
      <c r="H10" s="6" t="inlineStr">
        <is>
          <t>TRÚNG N1 🎯</t>
        </is>
      </c>
      <c r="I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" s="3" t="inlineStr">
        <is>
          <t>50, 51, 54, 55, 56, 59, 60, 63, 64, 65, 68, 69, 72, 73, 74, 77, 78, 79, 81, 82, 83, 86, 87, 88, 90, 92, 95, 97 (28 số)</t>
        </is>
      </c>
      <c r="K10" s="3" t="inlineStr">
        <is>
          <t>50, 51, 54, 55, 56, 59, 60, 63, 64, 65, 68, 69, 72, 73, 74, 77, 78, 79, 81, 82, 83, 86, 87, 88, 90, 92, 95, 97 (28 số)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(Trúng)</t>
        </is>
      </c>
      <c r="D11" s="3" t="inlineStr">
        <is>
          <t>38 (Trúng)</t>
        </is>
      </c>
      <c r="E11" s="3" t="inlineStr">
        <is>
          <t>94 (Không)</t>
        </is>
      </c>
      <c r="F11" s="3" t="inlineStr">
        <is>
          <t>---</t>
        </is>
      </c>
      <c r="G11" s="7" t="inlineStr">
        <is>
          <t>23, 46 (TRƯỢT ❌)</t>
        </is>
      </c>
      <c r="H11" s="6" t="inlineStr">
        <is>
          <t>TRÚNG N1 🎯</t>
        </is>
      </c>
      <c r="I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" s="3" t="inlineStr">
        <is>
          <t>01, 02, 05, 06, 07, 10, 11, 14, 15, 19, 20, 23, 24, 25, 28, 29, 32, 33, 34, 37, 38, 39, 41, 42, 43, 46, 47, 48 (28 số)</t>
        </is>
      </c>
      <c r="K11" s="3" t="inlineStr">
        <is>
          <t>01, 02, 05, 06, 07, 10, 11, 14, 15, 19, 20, 23, 24, 25, 28, 29, 32, 33, 34, 37, 38, 39, 41, 42, 43, 46, 47, 48 (28 số)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(Không)</t>
        </is>
      </c>
      <c r="F12" s="3" t="inlineStr">
        <is>
          <t>---</t>
        </is>
      </c>
      <c r="G12" s="7" t="inlineStr">
        <is>
          <t>13, 14 (TRƯỢT ❌)</t>
        </is>
      </c>
      <c r="H12" s="7" t="inlineStr">
        <is>
          <t>TRƯỢT KHUNG ❌</t>
        </is>
      </c>
      <c r="I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2" s="3" t="inlineStr">
        <is>
          <t>50, 52, 54, 55, 57, 59, 61, 63, 64, 66, 68, 69, 72, 73, 77, 78, 81, 82, 84, 86, 87, 89, 90, 91, 93, 95, 96, 98 (28 số)</t>
        </is>
      </c>
      <c r="K12" s="3" t="inlineStr">
        <is>
          <t>50, 52, 54, 55, 57, 59, 61, 63, 64, 66, 68, 69, 72, 73, 77, 78, 81, 82, 84, 86, 87, 89, 90, 91, 93, 95, 96, 98 (28 số)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(Trúng)</t>
        </is>
      </c>
      <c r="E13" s="3" t="inlineStr">
        <is>
          <t>17 (Không)</t>
        </is>
      </c>
      <c r="F13" s="3" t="inlineStr">
        <is>
          <t>---</t>
        </is>
      </c>
      <c r="G13" s="7" t="inlineStr">
        <is>
          <t>10, 38 (TRƯỢT ❌)</t>
        </is>
      </c>
      <c r="H13" s="6" t="inlineStr">
        <is>
          <t>TRÚNG N2 (Siêu Lọc 🎯)</t>
        </is>
      </c>
      <c r="I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" s="3" t="inlineStr">
        <is>
          <t>01, 02, 04, 06, 07, 09, 10, 13, 15, 18, 20, 22, 24, 25, 27, 29, 31, 33, 34, 36, 38, 39, 40, 42, 43, 45, 47, 48 (28 số)</t>
        </is>
      </c>
      <c r="K13" s="3" t="inlineStr">
        <is>
          <t>01, 02, 04, 06, 07, 09, 10, 13, 15, 18, 20, 22, 24, 25, 27, 29, 31, 33, 34, 36, 38, 39, 40, 42, 43, 45, 47, 48 (28 số)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(Không)</t>
        </is>
      </c>
      <c r="F14" s="3" t="inlineStr">
        <is>
          <t>---</t>
        </is>
      </c>
      <c r="G14" s="7" t="inlineStr">
        <is>
          <t>20, 31 (TRƯỢT ❌)</t>
        </is>
      </c>
      <c r="H14" s="6" t="inlineStr">
        <is>
          <t>TRÚNG N1 🎯</t>
        </is>
      </c>
      <c r="I14" s="3" t="inlineStr">
        <is>
          <t>02, 04, 07, 09, 11, 13, 16, 18, 20, 22, 25, 27, 31, 34, 36, 39, 40, 43, 45, 48, 52, 54, 57, 59, 61, 63, 66, 68, 70, 72, 75, 77, 81, 84, 86, 89, 90, 93, 95, 98 (40 số)</t>
        </is>
      </c>
      <c r="J14" s="3" t="inlineStr">
        <is>
          <t>52, 54, 57, 59, 61, 63, 66, 68, 70, 72, 75, 77, 81, 84, 86, 89, 90, 93, 95, 98 (20 số)</t>
        </is>
      </c>
      <c r="K14" s="3" t="inlineStr">
        <is>
          <t>52, 54, 57, 59, 61, 63, 66, 68, 70, 72, 75, 77, 81, 84, 86, 89, 90, 93, 95, 98 (20 số)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(Không)</t>
        </is>
      </c>
      <c r="F15" s="3" t="inlineStr">
        <is>
          <t>---</t>
        </is>
      </c>
      <c r="G15" s="7" t="inlineStr">
        <is>
          <t>16, 24 (TRƯỢT ❌)</t>
        </is>
      </c>
      <c r="H15" s="7" t="inlineStr">
        <is>
          <t>TRƯỢT KHUNG ❌</t>
        </is>
      </c>
      <c r="I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5" s="3" t="inlineStr">
        <is>
          <t>50, 51, 52, 55, 56, 57, 60, 61, 64, 65, 66, 69, 73, 74, 78, 79, 82, 83, 84, 87, 88, 89, 91, 92, 93, 96, 97, 98 (28 số)</t>
        </is>
      </c>
      <c r="K15" s="3" t="inlineStr">
        <is>
          <t>50, 51, 52, 55, 56, 57, 60, 61, 64, 65, 66, 69, 73, 74, 78, 79, 82, 83, 84, 87, 88, 89, 91, 92, 93, 96, 97, 98 (28 số)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(Không)</t>
        </is>
      </c>
      <c r="E16" s="3" t="inlineStr">
        <is>
          <t>24 (Không)</t>
        </is>
      </c>
      <c r="F16" s="3" t="inlineStr">
        <is>
          <t>---</t>
        </is>
      </c>
      <c r="G16" s="7" t="inlineStr">
        <is>
          <t>15, 17 (TRƯỢT ❌)</t>
        </is>
      </c>
      <c r="H16" s="7" t="inlineStr">
        <is>
          <t>TRƯỢT KHUNG ❌</t>
        </is>
      </c>
      <c r="I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" s="3" t="inlineStr">
        <is>
          <t>51, 52, 53, 56, 57, 58, 60, 61, 62, 65, 66, 67, 71, 74, 76, 79, 80, 83, 84, 85, 88, 89, 92, 93, 94, 97, 98, 99 (28 số)</t>
        </is>
      </c>
      <c r="K16" s="3" t="inlineStr">
        <is>
          <t>51, 52, 53, 56, 57, 58, 60, 61, 62, 65, 66, 67, 71, 74, 76, 79, 80, 83, 84, 85, 88, 89, 92, 93, 94, 97, 98, 99 (28 số)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3" t="inlineStr">
        <is>
          <t>---</t>
        </is>
      </c>
      <c r="G17" s="7" t="inlineStr">
        <is>
          <t>00, 14 (TRƯỢT ❌)</t>
        </is>
      </c>
      <c r="H17" s="6" t="inlineStr">
        <is>
          <t>TRÚNG N1 🎯</t>
        </is>
      </c>
      <c r="I17" s="3" t="inlineStr">
        <is>
          <t>00, 03, 05, 08, 12, 14, 17, 19, 21, 23, 26, 28, 30, 32, 35, 37, 41, 44, 46, 49, 50, 53, 55, 58, 62, 64, 67, 69, 71, 73, 76, 78, 80, 82, 85, 87, 91, 94, 96, 99 (40 số)</t>
        </is>
      </c>
      <c r="J17" s="3" t="inlineStr">
        <is>
          <t>50, 53, 55, 58, 62, 64, 67, 69, 71, 73, 76, 78, 80, 82, 85, 87, 91, 94, 96, 99 (20 số)</t>
        </is>
      </c>
      <c r="K17" s="3" t="inlineStr">
        <is>
          <t>50, 53, 55, 58, 62, 64, 67, 69, 71, 73, 76, 78, 80, 82, 85, 87, 91, 94, 96, 99 (20 số)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(Không)</t>
        </is>
      </c>
      <c r="F18" s="3" t="inlineStr">
        <is>
          <t>---</t>
        </is>
      </c>
      <c r="G18" s="7" t="inlineStr">
        <is>
          <t>33, 79 (TRƯỢT ❌)</t>
        </is>
      </c>
      <c r="H18" s="6" t="inlineStr">
        <is>
          <t>TRÚNG N1 🎯</t>
        </is>
      </c>
      <c r="I18" s="3" t="inlineStr">
        <is>
          <t>01, 03, 06, 08, 10, 12, 15, 17, 21, 24, 26, 29, 30, 33, 35, 38, 42, 44, 47, 49, 51, 53, 56, 58, 60, 62, 65, 67, 71, 74, 76, 79, 80, 83, 85, 88, 92, 94, 97, 99 (40 số)</t>
        </is>
      </c>
      <c r="J18" s="3" t="inlineStr">
        <is>
          <t>51, 53, 56, 58, 60, 62, 65, 67, 71, 74, 76, 79, 80, 83, 85, 88, 92, 94, 97, 99 (20 số)</t>
        </is>
      </c>
      <c r="K18" s="3" t="inlineStr">
        <is>
          <t>51, 53, 56, 58, 60, 62, 65, 67, 71, 74, 76, 79, 80, 83, 85, 88, 92, 94, 97, 99 (20 số)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(Trúng)</t>
        </is>
      </c>
      <c r="D19" s="3" t="inlineStr">
        <is>
          <t>86 (Không)</t>
        </is>
      </c>
      <c r="E19" s="3" t="inlineStr">
        <is>
          <t>78 (Không)</t>
        </is>
      </c>
      <c r="F19" s="3" t="inlineStr">
        <is>
          <t>---</t>
        </is>
      </c>
      <c r="G19" s="7" t="inlineStr">
        <is>
          <t>24, 43 (TRƯỢT ❌)</t>
        </is>
      </c>
      <c r="H19" s="6" t="inlineStr">
        <is>
          <t>TRÚNG N1 🎯</t>
        </is>
      </c>
      <c r="I1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9" s="3" t="inlineStr">
        <is>
          <t>01, 02, 04, 06, 07, 09, 10, 13, 15, 18, 20, 22, 24, 25, 27, 29, 31, 33, 34, 36, 38, 39, 40, 42, 43, 45, 47, 48 (28 số)</t>
        </is>
      </c>
      <c r="K19" s="3" t="inlineStr">
        <is>
          <t>01, 02, 04, 06, 07, 09, 10, 13, 15, 18, 20, 22, 24, 25, 27, 29, 31, 33, 34, 36, 38, 39, 40, 42, 43, 45, 47, 48 (28 số)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3" t="inlineStr">
        <is>
          <t>---</t>
        </is>
      </c>
      <c r="G20" s="7" t="inlineStr">
        <is>
          <t>16, 25 (TRƯỢT ❌)</t>
        </is>
      </c>
      <c r="H20" s="7" t="inlineStr">
        <is>
          <t>TRƯỢT KHUNG ❌</t>
        </is>
      </c>
      <c r="I20" s="3" t="inlineStr">
        <is>
          <t>02, 03, 07, 08, 11, 12, 16, 17, 20, 21, 25, 26, 30, 34, 35, 39, 43, 44, 48, 49, 52, 53, 57, 58, 61, 62, 66, 67, 70, 71, 75, 76, 80, 84, 85, 89, 93, 94, 98, 99 (40 số)</t>
        </is>
      </c>
      <c r="J20" s="3" t="inlineStr">
        <is>
          <t>02, 03, 07, 08, 11, 12, 16, 17, 20, 21, 25, 26, 30, 34, 35, 39, 43, 44, 48, 49 (20 số)</t>
        </is>
      </c>
      <c r="K20" s="3" t="inlineStr">
        <is>
          <t>02, 03, 07, 08, 11, 12, 16, 17, 20, 21, 25, 26, 30, 34, 35, 39, 43, 44, 48, 49 (20 số)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3" t="inlineStr">
        <is>
          <t>---</t>
        </is>
      </c>
      <c r="G21" s="7" t="inlineStr">
        <is>
          <t>23, 24 (TRƯỢT ❌)</t>
        </is>
      </c>
      <c r="H21" s="6" t="inlineStr">
        <is>
          <t>TRÚNG N1 🎯</t>
        </is>
      </c>
      <c r="I21" s="3" t="inlineStr">
        <is>
          <t>00, 01, 05, 06, 10, 14, 15, 19, 23, 24, 28, 29, 32, 33, 37, 38, 41, 42, 46, 47, 50, 51, 55, 56, 60, 64, 65, 69, 73, 74, 78, 79, 82, 83, 87, 88, 91, 92, 96, 97 (40 số)</t>
        </is>
      </c>
      <c r="J21" s="3" t="inlineStr">
        <is>
          <t>00, 01, 05, 06, 10, 14, 15, 19, 23, 24, 28, 29, 32, 33, 37, 38, 41, 42, 46, 47 (20 số)</t>
        </is>
      </c>
      <c r="K21" s="3" t="inlineStr">
        <is>
          <t>00, 01, 05, 06, 10, 14, 15, 19, 23, 24, 28, 29, 32, 33, 37, 38, 41, 42, 46, 47 (20 số)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(Trúng)</t>
        </is>
      </c>
      <c r="D22" s="3" t="inlineStr">
        <is>
          <t>63 (Không)</t>
        </is>
      </c>
      <c r="E22" s="3" t="inlineStr">
        <is>
          <t>22 (Trúng)</t>
        </is>
      </c>
      <c r="F22" s="3" t="inlineStr">
        <is>
          <t>---</t>
        </is>
      </c>
      <c r="G22" s="7" t="inlineStr">
        <is>
          <t>09, 12 (TRƯỢT ❌)</t>
        </is>
      </c>
      <c r="H22" s="6" t="inlineStr">
        <is>
          <t>TRÚNG N1 🎯</t>
        </is>
      </c>
      <c r="I2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2" s="3" t="inlineStr">
        <is>
          <t>03, 04, 08, 09, 12, 13, 14, 17, 18, 19, 21, 22, 23, 26, 27, 28, 30, 31, 32, 35, 36, 37, 40, 41, 44, 45, 46, 49 (28 số)</t>
        </is>
      </c>
      <c r="K22" s="3" t="inlineStr">
        <is>
          <t>03, 04, 08, 09, 12, 13, 14, 17, 18, 19, 21, 22, 23, 26, 27, 28, 30, 31, 32, 35, 36, 37, 40, 41, 44, 45, 46, 49 (28 số)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(Không)</t>
        </is>
      </c>
      <c r="F23" s="3" t="inlineStr">
        <is>
          <t>---</t>
        </is>
      </c>
      <c r="G23" s="7" t="inlineStr">
        <is>
          <t>26, 32 (TRƯỢT ❌)</t>
        </is>
      </c>
      <c r="H23" s="7" t="inlineStr">
        <is>
          <t>TRƯỢT KHUNG ❌</t>
        </is>
      </c>
      <c r="I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3" s="3" t="inlineStr">
        <is>
          <t>01, 03, 06, 08, 10, 12, 14, 15, 17, 19, 21, 23, 24, 26, 28, 29, 30, 32, 33, 35, 37, 38, 41, 42, 44, 46, 47, 49 (28 số)</t>
        </is>
      </c>
      <c r="K23" s="3" t="inlineStr">
        <is>
          <t>01, 03, 06, 08, 10, 12, 14, 15, 17, 19, 21, 23, 24, 26, 28, 29, 30, 32, 33, 35, 37, 38, 41, 42, 44, 46, 47, 49 (28 số)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(Không)</t>
        </is>
      </c>
      <c r="F24" s="3" t="inlineStr">
        <is>
          <t>---</t>
        </is>
      </c>
      <c r="G24" s="7" t="inlineStr">
        <is>
          <t>39, 43 (TRƯỢT ❌)</t>
        </is>
      </c>
      <c r="H24" s="6" t="inlineStr">
        <is>
          <t>TRÚNG N2 (Siêu Lọc 🎯)</t>
        </is>
      </c>
      <c r="I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" s="3" t="inlineStr">
        <is>
          <t>50, 52, 53, 55, 57, 58, 61, 62, 64, 66, 67, 69, 71, 73, 76, 78, 80, 82, 84, 85, 87, 89, 91, 93, 94, 96, 98, 99 (28 số)</t>
        </is>
      </c>
      <c r="K24" s="3" t="inlineStr">
        <is>
          <t>50, 52, 53, 55, 57, 58, 61, 62, 64, 66, 67, 69, 71, 73, 76, 78, 80, 82, 84, 85, 87, 89, 91, 93, 94, 96, 98, 99 (28 số)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(Không)</t>
        </is>
      </c>
      <c r="F25" s="3" t="inlineStr">
        <is>
          <t>---</t>
        </is>
      </c>
      <c r="G25" s="7" t="inlineStr">
        <is>
          <t>19, 22 (TRƯỢT ❌)</t>
        </is>
      </c>
      <c r="H25" s="7" t="inlineStr">
        <is>
          <t>TRƯỢT KHUNG ❌</t>
        </is>
      </c>
      <c r="I25" s="3" t="inlineStr">
        <is>
          <t>00, 04, 05, 09, 13, 14, 18, 19, 22, 23, 27, 28, 31, 32, 36, 37, 40, 41, 45, 46, 50, 54, 55, 59, 63, 64, 68, 69, 72, 73, 77, 78, 81, 82, 86, 87, 90, 91, 95, 96 (40 số)</t>
        </is>
      </c>
      <c r="J25" s="3" t="inlineStr">
        <is>
          <t>00, 04, 05, 09, 13, 14, 18, 19, 22, 23, 27, 28, 31, 32, 36, 37, 40, 41, 45, 46 (20 số)</t>
        </is>
      </c>
      <c r="K25" s="3" t="inlineStr">
        <is>
          <t>00, 04, 05, 09, 13, 14, 18, 19, 22, 23, 27, 28, 31, 32, 36, 37, 40, 41, 45, 46 (20 số)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(Trúng)</t>
        </is>
      </c>
      <c r="E26" s="3" t="inlineStr">
        <is>
          <t>80 (Không)</t>
        </is>
      </c>
      <c r="F26" s="3" t="inlineStr">
        <is>
          <t>---</t>
        </is>
      </c>
      <c r="G26" s="7" t="inlineStr">
        <is>
          <t>34, 51 (TRƯỢT ❌)</t>
        </is>
      </c>
      <c r="H26" s="6" t="inlineStr">
        <is>
          <t>TRÚNG N2 (Siêu Lọc 🎯)</t>
        </is>
      </c>
      <c r="I26" s="3" t="inlineStr">
        <is>
          <t>01, 02, 06, 07, 10, 11, 15, 16, 20, 24, 25, 29, 33, 34, 38, 39, 42, 43, 47, 48, 51, 52, 56, 57, 60, 61, 65, 66, 70, 74, 75, 79, 83, 84, 88, 89, 92, 93, 97, 98 (40 số)</t>
        </is>
      </c>
      <c r="J26" s="3" t="inlineStr">
        <is>
          <t>51, 52, 56, 57, 60, 61, 65, 66, 70, 74, 75, 79, 83, 84, 88, 89, 92, 93, 97, 98 (20 số)</t>
        </is>
      </c>
      <c r="K26" s="3" t="inlineStr">
        <is>
          <t>51, 52, 56, 57, 60, 61, 65, 66, 70, 74, 75, 79, 83, 84, 88, 89, 92, 93, 97, 98 (20 số)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3" t="inlineStr">
        <is>
          <t>---</t>
        </is>
      </c>
      <c r="G27" s="7" t="inlineStr">
        <is>
          <t>33, 63 (TRƯỢT ❌)</t>
        </is>
      </c>
      <c r="H27" s="6" t="inlineStr">
        <is>
          <t>TRÚNG N1 🎯</t>
        </is>
      </c>
      <c r="I27" s="3" t="inlineStr">
        <is>
          <t>01, 04, 06, 09, 10, 13, 15, 18, 22, 24, 27, 29, 31, 33, 36, 38, 40, 42, 45, 47, 51, 54, 56, 59, 60, 63, 65, 68, 72, 74, 77, 79, 81, 83, 86, 88, 90, 92, 95, 97 (40 số)</t>
        </is>
      </c>
      <c r="J27" s="3" t="inlineStr">
        <is>
          <t>01, 04, 06, 09, 10, 13, 15, 18, 22, 24, 27, 29, 31, 33, 36, 38, 40, 42, 45, 47 (20 số)</t>
        </is>
      </c>
      <c r="K27" s="3" t="inlineStr">
        <is>
          <t>01, 04, 06, 09, 10, 13, 15, 18, 22, 24, 27, 29, 31, 33, 36, 38, 40, 42, 45, 47 (20 số)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3" t="inlineStr">
        <is>
          <t>---</t>
        </is>
      </c>
      <c r="G28" s="7" t="inlineStr">
        <is>
          <t>56, 67 (TRƯỢT ❌)</t>
        </is>
      </c>
      <c r="H28" s="6" t="inlineStr">
        <is>
          <t>TRÚNG N1 🎯</t>
        </is>
      </c>
      <c r="I28" s="3" t="inlineStr">
        <is>
          <t>01, 03, 06, 08, 10, 12, 15, 17, 21, 24, 26, 29, 30, 33, 35, 38, 42, 44, 47, 49, 51, 53, 56, 58, 60, 62, 65, 67, 71, 74, 76, 79, 80, 83, 85, 88, 92, 94, 97, 99 (40 số)</t>
        </is>
      </c>
      <c r="J28" s="3" t="inlineStr">
        <is>
          <t>01, 03, 06, 08, 10, 12, 15, 17, 21, 24, 26, 29, 30, 33, 35, 38, 42, 44, 47, 49 (20 số)</t>
        </is>
      </c>
      <c r="K28" s="3" t="inlineStr">
        <is>
          <t>01, 03, 06, 08, 10, 12, 15, 17, 21, 24, 26, 29, 30, 33, 35, 38, 42, 44, 47, 49 (20 số)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(Không)</t>
        </is>
      </c>
      <c r="F29" s="3" t="inlineStr">
        <is>
          <t>---</t>
        </is>
      </c>
      <c r="G29" s="7" t="inlineStr">
        <is>
          <t>16, 20 (TRƯỢT ❌)</t>
        </is>
      </c>
      <c r="H29" s="7" t="inlineStr">
        <is>
          <t>TRƯỢT KHUNG ❌</t>
        </is>
      </c>
      <c r="I29" s="3" t="inlineStr">
        <is>
          <t>02, 04, 07, 09, 11, 13, 16, 18, 20, 22, 25, 27, 31, 34, 36, 39, 40, 43, 45, 48, 52, 54, 57, 59, 61, 63, 66, 68, 70, 72, 75, 77, 81, 84, 86, 89, 90, 93, 95, 98 (40 số)</t>
        </is>
      </c>
      <c r="J29" s="3" t="inlineStr">
        <is>
          <t>52, 54, 57, 59, 61, 63, 66, 68, 70, 72, 75, 77, 81, 84, 86, 89, 90, 93, 95, 98 (20 số)</t>
        </is>
      </c>
      <c r="K29" s="3" t="inlineStr">
        <is>
          <t>52, 54, 57, 59, 61, 63, 66, 68, 70, 72, 75, 77, 81, 84, 86, 89, 90, 93, 95, 98 (20 số)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(Không)</t>
        </is>
      </c>
      <c r="E30" s="3" t="inlineStr">
        <is>
          <t>54 (Không)</t>
        </is>
      </c>
      <c r="F30" s="3" t="inlineStr">
        <is>
          <t>---</t>
        </is>
      </c>
      <c r="G30" s="7" t="inlineStr">
        <is>
          <t>21, 47 (TRƯỢT ❌)</t>
        </is>
      </c>
      <c r="H30" s="7" t="inlineStr">
        <is>
          <t>TRƯỢT KHUNG ❌</t>
        </is>
      </c>
      <c r="I30" s="3" t="inlineStr">
        <is>
          <t>01, 03, 06, 08, 10, 12, 15, 17, 21, 24, 26, 29, 30, 33, 35, 38, 42, 44, 47, 49, 51, 53, 56, 58, 60, 62, 65, 67, 71, 74, 76, 79, 80, 83, 85, 88, 92, 94, 97, 99 (40 số)</t>
        </is>
      </c>
      <c r="J30" s="3" t="inlineStr">
        <is>
          <t>51, 53, 56, 58, 60, 62, 65, 67, 71, 74, 76, 79, 80, 83, 85, 88, 92, 94, 97, 99 (20 số)</t>
        </is>
      </c>
      <c r="K30" s="3" t="inlineStr">
        <is>
          <t>51, 53, 56, 58, 60, 62, 65, 67, 71, 74, 76, 79, 80, 83, 85, 88, 92, 94, 97, 99 (20 số)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3" t="inlineStr">
        <is>
          <t>---</t>
        </is>
      </c>
      <c r="G31" s="7" t="inlineStr">
        <is>
          <t>14, 32 (TRƯỢT ❌)</t>
        </is>
      </c>
      <c r="H31" s="6" t="inlineStr">
        <is>
          <t>TRÚNG N1 🎯</t>
        </is>
      </c>
      <c r="I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31" s="3" t="inlineStr">
        <is>
          <t>50, 51, 54, 55, 56, 59, 60, 63, 64, 65, 68, 69, 72, 73, 74, 77, 78, 79, 81, 82, 83, 86, 87, 88, 90, 92, 95, 97 (28 số)</t>
        </is>
      </c>
      <c r="K31" s="3" t="inlineStr">
        <is>
          <t>50, 51, 54, 55, 56, 59, 60, 63, 64, 65, 68, 69, 72, 73, 74, 77, 78, 79, 81, 82, 83, 86, 87, 88, 90, 92, 95, 97 (28 số)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(Không)</t>
        </is>
      </c>
      <c r="D32" s="3" t="inlineStr">
        <is>
          <t>77 (Không)</t>
        </is>
      </c>
      <c r="E32" s="3" t="inlineStr">
        <is>
          <t>61 (Không)</t>
        </is>
      </c>
      <c r="F32" s="3" t="inlineStr">
        <is>
          <t>---</t>
        </is>
      </c>
      <c r="G32" s="7" t="inlineStr">
        <is>
          <t>03, 82 (TRƯỢT ❌)</t>
        </is>
      </c>
      <c r="H32" s="7" t="inlineStr">
        <is>
          <t>TRƯỢT KHUNG ❌</t>
        </is>
      </c>
      <c r="I32" s="3" t="inlineStr">
        <is>
          <t>00, 03, 05, 08, 12, 14, 17, 19, 21, 23, 26, 28, 30, 32, 35, 37, 41, 44, 46, 49, 50, 53, 55, 58, 62, 64, 67, 69, 71, 73, 76, 78, 80, 82, 85, 87, 91, 94, 96, 99 (40 số)</t>
        </is>
      </c>
      <c r="J32" s="3" t="inlineStr">
        <is>
          <t>00, 03, 05, 08, 12, 14, 17, 19, 21, 23, 26, 28, 30, 32, 35, 37, 41, 44, 46, 49 (20 số)</t>
        </is>
      </c>
      <c r="K32" s="3" t="inlineStr">
        <is>
          <t>00, 03, 05, 08, 12, 14, 17, 19, 21, 23, 26, 28, 30, 32, 35, 37, 41, 44, 46, 49 (20 số)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3" t="inlineStr">
        <is>
          <t>---</t>
        </is>
      </c>
      <c r="G33" s="7" t="inlineStr">
        <is>
          <t>47, 51 (TRƯỢT ❌)</t>
        </is>
      </c>
      <c r="H33" s="6" t="inlineStr">
        <is>
          <t>TRÚNG N1 🎯</t>
        </is>
      </c>
      <c r="I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3" s="3" t="inlineStr">
        <is>
          <t>01, 03, 04, 06, 08, 09, 10, 12, 15, 17, 18, 21, 22, 24, 26, 27, 29, 30, 31, 33, 35, 38, 40, 42, 44, 45, 47, 49 (28 số)</t>
        </is>
      </c>
      <c r="K33" s="3" t="inlineStr">
        <is>
          <t>01, 03, 04, 06, 08, 09, 10, 12, 15, 17, 18, 21, 22, 24, 26, 27, 29, 30, 31, 33, 35, 38, 40, 42, 44, 45, 47, 49 (28 số)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3" t="inlineStr">
        <is>
          <t>---</t>
        </is>
      </c>
      <c r="G34" s="7" t="inlineStr">
        <is>
          <t>03, 47 (TRƯỢT ❌)</t>
        </is>
      </c>
      <c r="H34" s="6" t="inlineStr">
        <is>
          <t>TRÚNG N3 (Siêu Lọc 🎯)</t>
        </is>
      </c>
      <c r="I34" s="3" t="inlineStr">
        <is>
          <t>01, 03, 06, 08, 10, 12, 15, 17, 21, 24, 26, 29, 30, 33, 35, 38, 42, 44, 47, 49, 51, 53, 56, 58, 60, 62, 65, 67, 71, 74, 76, 79, 80, 83, 85, 88, 92, 94, 97, 99 (40 số)</t>
        </is>
      </c>
      <c r="J34" s="3" t="inlineStr">
        <is>
          <t>01, 03, 06, 08, 10, 12, 15, 17, 21, 24, 26, 29, 30, 33, 35, 38, 42, 44, 47, 49 (20 số)</t>
        </is>
      </c>
      <c r="K34" s="3" t="inlineStr">
        <is>
          <t>01, 03, 06, 08, 10, 12, 15, 17, 21, 24, 26, 29, 30, 33, 35, 38, 42, 44, 47, 49 (20 số)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(Trúng)</t>
        </is>
      </c>
      <c r="D35" s="3" t="inlineStr">
        <is>
          <t>17 (Không)</t>
        </is>
      </c>
      <c r="E35" s="3" t="inlineStr">
        <is>
          <t>68 (Không)</t>
        </is>
      </c>
      <c r="F35" s="3" t="inlineStr">
        <is>
          <t>---</t>
        </is>
      </c>
      <c r="G35" s="7" t="inlineStr">
        <is>
          <t>06, 07 (TRƯỢT ❌)</t>
        </is>
      </c>
      <c r="H35" s="6" t="inlineStr">
        <is>
          <t>TRÚNG N1 🎯</t>
        </is>
      </c>
      <c r="I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35" s="3" t="inlineStr">
        <is>
          <t>50, 51, 52, 55, 56, 57, 60, 61, 64, 65, 66, 69, 73, 74, 78, 79, 82, 83, 84, 87, 88, 89, 91, 92, 93, 96, 97, 98 (28 số)</t>
        </is>
      </c>
      <c r="K35" s="3" t="inlineStr">
        <is>
          <t>50, 51, 52, 55, 56, 57, 60, 61, 64, 65, 66, 69, 73, 74, 78, 79, 82, 83, 84, 87, 88, 89, 91, 92, 93, 96, 97, 98 (28 số)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(Trúng)</t>
        </is>
      </c>
      <c r="D36" s="3" t="inlineStr">
        <is>
          <t>68 (Không)</t>
        </is>
      </c>
      <c r="E36" s="3" t="inlineStr">
        <is>
          <t>33 (Không)</t>
        </is>
      </c>
      <c r="F36" s="3" t="inlineStr">
        <is>
          <t>---</t>
        </is>
      </c>
      <c r="G36" s="7" t="inlineStr">
        <is>
          <t>41, 48 (TRƯỢT ❌)</t>
        </is>
      </c>
      <c r="H36" s="6" t="inlineStr">
        <is>
          <t>TRÚNG N1 🎯</t>
        </is>
      </c>
      <c r="I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6" s="3" t="inlineStr">
        <is>
          <t>50, 52, 53, 55, 57, 58, 61, 62, 64, 66, 67, 69, 71, 73, 76, 78, 80, 82, 84, 85, 87, 89, 91, 93, 94, 96, 98, 99 (28 số)</t>
        </is>
      </c>
      <c r="K36" s="3" t="inlineStr">
        <is>
          <t>50, 52, 53, 55, 57, 58, 61, 62, 64, 66, 67, 69, 71, 73, 76, 78, 80, 82, 84, 85, 87, 89, 91, 93, 94, 96, 98, 99 (28 số)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(Không)</t>
        </is>
      </c>
      <c r="F37" s="3" t="inlineStr">
        <is>
          <t>---</t>
        </is>
      </c>
      <c r="G37" s="7" t="inlineStr">
        <is>
          <t>17, 30 (TRƯỢT ❌)</t>
        </is>
      </c>
      <c r="H37" s="6" t="inlineStr">
        <is>
          <t>TRÚNG N2 (Siêu Lọc 🎯)</t>
        </is>
      </c>
      <c r="I37" s="3" t="inlineStr">
        <is>
          <t>01, 03, 06, 08, 10, 12, 15, 17, 21, 24, 26, 29, 30, 33, 35, 38, 42, 44, 47, 49, 51, 53, 56, 58, 60, 62, 65, 67, 71, 74, 76, 79, 80, 83, 85, 88, 92, 94, 97, 99 (40 số)</t>
        </is>
      </c>
      <c r="J37" s="3" t="inlineStr">
        <is>
          <t>01, 03, 06, 08, 10, 12, 15, 17, 21, 24, 26, 29, 30, 33, 35, 38, 42, 44, 47, 49 (20 số)</t>
        </is>
      </c>
      <c r="K37" s="3" t="inlineStr">
        <is>
          <t>01, 03, 06, 08, 10, 12, 15, 17, 21, 24, 26, 29, 30, 33, 35, 38, 42, 44, 47, 49 (20 số)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(Trúng)</t>
        </is>
      </c>
      <c r="D38" s="3" t="inlineStr">
        <is>
          <t>85 (Trúng)</t>
        </is>
      </c>
      <c r="E38" s="3" t="inlineStr">
        <is>
          <t>77 (Không)</t>
        </is>
      </c>
      <c r="F38" s="3" t="inlineStr">
        <is>
          <t>---</t>
        </is>
      </c>
      <c r="G38" s="6" t="inlineStr">
        <is>
          <t>33, 58 (TRÚNG 🎯)</t>
        </is>
      </c>
      <c r="H38" s="6" t="inlineStr">
        <is>
          <t>TRÚNG N1 🎯</t>
        </is>
      </c>
      <c r="I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38" s="3" t="inlineStr">
        <is>
          <t>50, 51, 53, 55, 56, 58, 60, 62, 64, 65, 67, 69, 71, 73, 74, 76, 78, 79, 80, 82, 83, 85, 87, 88, 92, 94, 97, 99 (28 số)</t>
        </is>
      </c>
      <c r="K38" s="3" t="inlineStr">
        <is>
          <t>50, 51, 53, 55, 56, 58, 60, 62, 64, 65, 67, 69, 71, 73, 74, 76, 78, 79, 80, 82, 83, 85, 87, 88, 92, 94, 97, 99 (28 số)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(Không)</t>
        </is>
      </c>
      <c r="E39" s="3" t="inlineStr">
        <is>
          <t>01 (Không)</t>
        </is>
      </c>
      <c r="F39" s="3" t="inlineStr">
        <is>
          <t>---</t>
        </is>
      </c>
      <c r="G39" s="7" t="inlineStr">
        <is>
          <t>05, 18 (TRƯỢT ❌)</t>
        </is>
      </c>
      <c r="H39" s="7" t="inlineStr">
        <is>
          <t>TRƯỢT KHUNG ❌</t>
        </is>
      </c>
      <c r="I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39" s="3" t="inlineStr">
        <is>
          <t>02, 04, 05, 07, 09, 11, 13, 14, 18, 19, 20, 22, 23, 25, 27, 28, 31, 32, 34, 36, 37, 39, 40, 41, 43, 45, 46, 48 (28 số)</t>
        </is>
      </c>
      <c r="K39" s="3" t="inlineStr">
        <is>
          <t>02, 04, 05, 07, 09, 11, 13, 14, 18, 19, 20, 22, 23, 25, 27, 28, 31, 32, 34, 36, 37, 39, 40, 41, 43, 45, 46, 48 (28 số)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(Trúng)</t>
        </is>
      </c>
      <c r="D40" s="3" t="inlineStr">
        <is>
          <t>01 (Không)</t>
        </is>
      </c>
      <c r="E40" s="3" t="inlineStr">
        <is>
          <t>90 (Không)</t>
        </is>
      </c>
      <c r="F40" s="3" t="inlineStr">
        <is>
          <t>---</t>
        </is>
      </c>
      <c r="G40" s="6" t="inlineStr">
        <is>
          <t>17, 77 (TRÚNG 🎯)</t>
        </is>
      </c>
      <c r="H40" s="6" t="inlineStr">
        <is>
          <t>TRÚNG N1 🎯</t>
        </is>
      </c>
      <c r="I40" s="3" t="inlineStr">
        <is>
          <t>03, 04, 08, 09, 12, 13, 17, 18, 21, 22, 26, 27, 30, 31, 35, 36, 40, 44, 45, 49, 53, 54, 58, 59, 62, 63, 67, 68, 71, 72, 76, 77, 80, 81, 85, 86, 90, 94, 95, 99 (40 số)</t>
        </is>
      </c>
      <c r="J40" s="3" t="inlineStr">
        <is>
          <t>03, 04, 08, 09, 12, 13, 17, 18, 21, 22, 26, 27, 30, 31, 35, 36, 40, 44, 45, 49 (20 số)</t>
        </is>
      </c>
      <c r="K40" s="3" t="inlineStr">
        <is>
          <t>03, 04, 08, 09, 12, 13, 17, 18, 21, 22, 26, 27, 30, 31, 35, 36, 40, 44, 45, 49 (20 số)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(Trúng)</t>
        </is>
      </c>
      <c r="D41" s="3" t="inlineStr">
        <is>
          <t>90 (Trúng)</t>
        </is>
      </c>
      <c r="E41" s="3" t="inlineStr">
        <is>
          <t>92 (Trúng)</t>
        </is>
      </c>
      <c r="F41" s="3" t="inlineStr">
        <is>
          <t>---</t>
        </is>
      </c>
      <c r="G41" s="7" t="inlineStr">
        <is>
          <t>04, 35 (TRƯỢT ❌)</t>
        </is>
      </c>
      <c r="H41" s="6" t="inlineStr">
        <is>
          <t>TRÚNG N1 🎯</t>
        </is>
      </c>
      <c r="I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41" s="3" t="inlineStr">
        <is>
          <t>51, 53, 54, 56, 58, 59, 60, 62, 63, 65, 67, 68, 71, 72, 74, 77, 79, 80, 81, 83, 85, 86, 88, 90, 92, 94, 97, 99 (28 số)</t>
        </is>
      </c>
      <c r="K41" s="3" t="inlineStr">
        <is>
          <t>51, 53, 54, 56, 58, 59, 60, 62, 63, 65, 67, 68, 71, 72, 74, 77, 79, 80, 81, 83, 85, 86, 88, 90, 92, 94, 97, 99 (28 số)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3" t="inlineStr">
        <is>
          <t>---</t>
        </is>
      </c>
      <c r="G42" s="7" t="inlineStr">
        <is>
          <t>14, 25 (TRƯỢT ❌)</t>
        </is>
      </c>
      <c r="H42" s="7" t="inlineStr">
        <is>
          <t>TRƯỢT KHUNG ❌</t>
        </is>
      </c>
      <c r="I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42" s="3" t="inlineStr">
        <is>
          <t>02, 03, 05, 07, 08, 11, 12, 14, 17, 19, 20, 21, 23, 25, 26, 28, 30, 32, 34, 35, 37, 39, 41, 43, 44, 46, 48, 49 (28 số)</t>
        </is>
      </c>
      <c r="K42" s="3" t="inlineStr">
        <is>
          <t>02, 03, 05, 07, 08, 11, 12, 14, 17, 19, 20, 21, 23, 25, 26, 28, 30, 32, 34, 35, 37, 39, 41, 43, 44, 46, 48, 49 (28 số)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(Không)</t>
        </is>
      </c>
      <c r="E43" s="3" t="inlineStr">
        <is>
          <t>77 (Không)</t>
        </is>
      </c>
      <c r="F43" s="3" t="inlineStr">
        <is>
          <t>---</t>
        </is>
      </c>
      <c r="G43" s="7" t="inlineStr">
        <is>
          <t>14, 55 (TRƯỢT ❌)</t>
        </is>
      </c>
      <c r="H43" s="7" t="inlineStr">
        <is>
          <t>TRƯỢT KHUNG ❌</t>
        </is>
      </c>
      <c r="I43" s="3" t="inlineStr">
        <is>
          <t>00, 04, 05, 09, 13, 14, 18, 19, 22, 23, 27, 28, 31, 32, 36, 37, 40, 41, 45, 46, 50, 54, 55, 59, 63, 64, 68, 69, 72, 73, 77, 78, 81, 82, 86, 87, 90, 91, 95, 96 (40 số)</t>
        </is>
      </c>
      <c r="J43" s="3" t="inlineStr">
        <is>
          <t>00, 04, 05, 09, 13, 14, 18, 19, 22, 23, 27, 28, 31, 32, 36, 37, 40, 41, 45, 46 (20 số)</t>
        </is>
      </c>
      <c r="K43" s="3" t="inlineStr">
        <is>
          <t>00, 04, 05, 09, 13, 14, 18, 19, 22, 23, 27, 28, 31, 32, 36, 37, 40, 41, 45, 46 (20 số)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3" t="inlineStr">
        <is>
          <t>---</t>
        </is>
      </c>
      <c r="G44" s="7" t="inlineStr">
        <is>
          <t>32, 47 (TRƯỢT ❌)</t>
        </is>
      </c>
      <c r="H44" s="6" t="inlineStr">
        <is>
          <t>TRÚNG N1 🎯</t>
        </is>
      </c>
      <c r="I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44" s="3" t="inlineStr">
        <is>
          <t>01, 02, 05, 06, 07, 10, 11, 14, 15, 19, 20, 23, 24, 25, 28, 29, 32, 33, 34, 37, 38, 39, 41, 42, 43, 46, 47, 48 (28 số)</t>
        </is>
      </c>
      <c r="K44" s="3" t="inlineStr">
        <is>
          <t>01, 02, 05, 06, 07, 10, 11, 14, 15, 19, 20, 23, 24, 25, 28, 29, 32, 33, 34, 37, 38, 39, 41, 42, 43, 46, 47, 48 (28 số)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(Không)</t>
        </is>
      </c>
      <c r="F45" s="3" t="inlineStr">
        <is>
          <t>---</t>
        </is>
      </c>
      <c r="G45" s="7" t="inlineStr">
        <is>
          <t>16, 50 (TRƯỢT ❌)</t>
        </is>
      </c>
      <c r="H45" s="6" t="inlineStr">
        <is>
          <t>TRÚNG N1 🎯</t>
        </is>
      </c>
      <c r="I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45" s="3" t="inlineStr">
        <is>
          <t>02, 04, 05, 07, 09, 11, 13, 14, 18, 19, 20, 22, 23, 25, 27, 28, 31, 32, 34, 36, 37, 39, 40, 41, 43, 45, 46, 48 (28 số)</t>
        </is>
      </c>
      <c r="K45" s="3" t="inlineStr">
        <is>
          <t>02, 04, 05, 07, 09, 11, 13, 14, 18, 19, 20, 22, 23, 25, 27, 28, 31, 32, 34, 36, 37, 39, 40, 41, 43, 45, 46, 48 (28 số)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(Không)</t>
        </is>
      </c>
      <c r="E46" s="3" t="inlineStr">
        <is>
          <t>81 (Trúng)</t>
        </is>
      </c>
      <c r="F46" s="3" t="inlineStr">
        <is>
          <t>---</t>
        </is>
      </c>
      <c r="G46" s="6" t="inlineStr">
        <is>
          <t>01, 09 (TRÚNG 🎯)</t>
        </is>
      </c>
      <c r="H46" s="6" t="inlineStr">
        <is>
          <t>TRÚNG N3 (Siêu Lọc 🎯)</t>
        </is>
      </c>
      <c r="I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6" s="3" t="inlineStr">
        <is>
          <t>50, 51, 54, 55, 56, 59, 60, 63, 64, 65, 68, 69, 72, 73, 74, 77, 78, 79, 81, 82, 83, 86, 87, 88, 90, 92, 95, 97 (28 số)</t>
        </is>
      </c>
      <c r="K46" s="3" t="inlineStr">
        <is>
          <t>50, 51, 54, 55, 56, 59, 60, 63, 64, 65, 68, 69, 72, 73, 74, 77, 78, 79, 81, 82, 83, 86, 87, 88, 90, 92, 95, 97 (28 số)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(Trúng)</t>
        </is>
      </c>
      <c r="D47" s="3" t="inlineStr">
        <is>
          <t>81 (Trúng)</t>
        </is>
      </c>
      <c r="E47" s="3" t="inlineStr">
        <is>
          <t>13 (Không)</t>
        </is>
      </c>
      <c r="F47" s="3" t="inlineStr">
        <is>
          <t>---</t>
        </is>
      </c>
      <c r="G47" s="7" t="inlineStr">
        <is>
          <t>09, 18 (TRƯỢT ❌)</t>
        </is>
      </c>
      <c r="H47" s="6" t="inlineStr">
        <is>
          <t>TRÚNG N1 🎯</t>
        </is>
      </c>
      <c r="I47" s="3" t="inlineStr">
        <is>
          <t>01, 04, 06, 09, 10, 13, 15, 18, 22, 24, 27, 29, 31, 33, 36, 38, 40, 42, 45, 47, 51, 54, 56, 59, 60, 63, 65, 68, 72, 74, 77, 79, 81, 83, 86, 88, 90, 92, 95, 97 (40 số)</t>
        </is>
      </c>
      <c r="J47" s="3" t="inlineStr">
        <is>
          <t>51, 54, 56, 59, 60, 63, 65, 68, 72, 74, 77, 79, 81, 83, 86, 88, 90, 92, 95, 97 (20 số)</t>
        </is>
      </c>
      <c r="K47" s="3" t="inlineStr">
        <is>
          <t>51, 54, 56, 59, 60, 63, 65, 68, 72, 74, 77, 79, 81, 83, 86, 88, 90, 92, 95, 97 (20 số)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(Không)</t>
        </is>
      </c>
      <c r="D48" s="3" t="inlineStr">
        <is>
          <t>13 (Không)</t>
        </is>
      </c>
      <c r="E48" s="3" t="inlineStr">
        <is>
          <t>12 (Trúng)</t>
        </is>
      </c>
      <c r="F48" s="3" t="inlineStr">
        <is>
          <t>---</t>
        </is>
      </c>
      <c r="G48" s="7" t="inlineStr">
        <is>
          <t>01, 03 (TRƯỢT ❌)</t>
        </is>
      </c>
      <c r="H48" s="6" t="inlineStr">
        <is>
          <t>TRÚNG N3 (Siêu Lọc 🎯)</t>
        </is>
      </c>
      <c r="I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48" s="3" t="inlineStr">
        <is>
          <t>01, 02, 03, 06, 07, 08, 10, 12, 15, 17, 20, 21, 24, 25, 26, 29, 30, 33, 34, 35, 38, 39, 42, 43, 44, 47, 48, 49 (28 số)</t>
        </is>
      </c>
      <c r="K48" s="3" t="inlineStr">
        <is>
          <t>01, 02, 03, 06, 07, 08, 10, 12, 15, 17, 20, 21, 24, 25, 26, 29, 30, 33, 34, 35, 38, 39, 42, 43, 44, 47, 48, 49 (28 số)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3" t="inlineStr">
        <is>
          <t>---</t>
        </is>
      </c>
      <c r="G49" s="7" t="inlineStr">
        <is>
          <t>09, 42 (TRƯỢT ❌)</t>
        </is>
      </c>
      <c r="H49" s="6" t="inlineStr">
        <is>
          <t>TRÚNG N1 🎯</t>
        </is>
      </c>
      <c r="I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49" s="3" t="inlineStr">
        <is>
          <t>51, 52, 54, 56, 57, 59, 60, 61, 63, 65, 66, 68, 72, 74, 77, 79, 81, 83, 84, 86, 88, 89, 90, 92, 93, 95, 97, 98 (28 số)</t>
        </is>
      </c>
      <c r="K49" s="3" t="inlineStr">
        <is>
          <t>51, 52, 54, 56, 57, 59, 60, 61, 63, 65, 66, 68, 72, 74, 77, 79, 81, 83, 84, 86, 88, 89, 90, 92, 93, 95, 97, 98 (28 số)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(Không)</t>
        </is>
      </c>
      <c r="F50" s="3" t="inlineStr">
        <is>
          <t>---</t>
        </is>
      </c>
      <c r="G50" s="7" t="inlineStr">
        <is>
          <t>14, 91 (TRƯỢT ❌)</t>
        </is>
      </c>
      <c r="H50" s="6" t="inlineStr">
        <is>
          <t>TRÚNG N2 (Siêu Lọc 🎯)</t>
        </is>
      </c>
      <c r="I50" s="3" t="inlineStr">
        <is>
          <t>00, 05, 14, 19, 23, 28, 32, 37, 41, 46, 50, 55, 64, 69, 73, 78, 82, 87, 91, 96 (20 số)</t>
        </is>
      </c>
      <c r="J50" s="3" t="inlineStr">
        <is>
          <t>50, 55, 64, 69, 73, 78, 82, 87, 91, 96 (10 số)</t>
        </is>
      </c>
      <c r="K50" s="3" t="inlineStr">
        <is>
          <t>50, 55, 64, 69, 73, 78, 82, 87, 91, 96 (10 số)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(Không)</t>
        </is>
      </c>
      <c r="F51" s="3" t="inlineStr">
        <is>
          <t>---</t>
        </is>
      </c>
      <c r="G51" s="7" t="inlineStr">
        <is>
          <t>09, 12 (TRƯỢT ❌)</t>
        </is>
      </c>
      <c r="H51" s="7" t="inlineStr">
        <is>
          <t>TRƯỢT KHUNG ❌</t>
        </is>
      </c>
      <c r="I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51" s="3" t="inlineStr">
        <is>
          <t>01, 03, 04, 06, 08, 09, 10, 12, 15, 17, 18, 21, 22, 24, 26, 27, 29, 30, 31, 33, 35, 38, 40, 42, 44, 45, 47, 49 (28 số)</t>
        </is>
      </c>
      <c r="K51" s="3" t="inlineStr">
        <is>
          <t>01, 03, 04, 06, 08, 09, 10, 12, 15, 17, 18, 21, 22, 24, 26, 27, 29, 30, 31, 33, 35, 38, 40, 42, 44, 45, 47, 49 (28 số)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(Trúng)</t>
        </is>
      </c>
      <c r="D52" s="3" t="inlineStr">
        <is>
          <t>53 (Không)</t>
        </is>
      </c>
      <c r="E52" s="3" t="inlineStr">
        <is>
          <t>08 (Không)</t>
        </is>
      </c>
      <c r="F52" s="3" t="inlineStr">
        <is>
          <t>---</t>
        </is>
      </c>
      <c r="G52" s="7" t="inlineStr">
        <is>
          <t>00, 43 (TRƯỢT ❌)</t>
        </is>
      </c>
      <c r="H52" s="6" t="inlineStr">
        <is>
          <t>TRÚNG N1 🎯</t>
        </is>
      </c>
      <c r="I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2" s="3" t="inlineStr">
        <is>
          <t>50, 52, 54, 55, 57, 59, 61, 63, 64, 66, 68, 69, 72, 73, 77, 78, 81, 82, 84, 86, 87, 89, 90, 91, 93, 95, 96, 98 (28 số)</t>
        </is>
      </c>
      <c r="K52" s="3" t="inlineStr">
        <is>
          <t>50, 52, 54, 55, 57, 59, 61, 63, 64, 66, 68, 69, 72, 73, 77, 78, 81, 82, 84, 86, 87, 89, 90, 91, 93, 95, 96, 98 (28 số)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(Không)</t>
        </is>
      </c>
      <c r="F53" s="3" t="inlineStr">
        <is>
          <t>---</t>
        </is>
      </c>
      <c r="G53" s="7" t="inlineStr">
        <is>
          <t>36, 37 (TRƯỢT ❌)</t>
        </is>
      </c>
      <c r="H53" s="7" t="inlineStr">
        <is>
          <t>TRƯỢT KHUNG ❌</t>
        </is>
      </c>
      <c r="I53" s="3" t="inlineStr">
        <is>
          <t>00, 04, 05, 09, 13, 14, 18, 19, 22, 23, 27, 28, 31, 32, 36, 37, 40, 41, 45, 46, 50, 54, 55, 59, 63, 64, 68, 69, 72, 73, 77, 78, 81, 82, 86, 87, 90, 91, 95, 96 (40 số)</t>
        </is>
      </c>
      <c r="J53" s="3" t="inlineStr">
        <is>
          <t>00, 04, 05, 09, 13, 14, 18, 19, 22, 23, 27, 28, 31, 32, 36, 37, 40, 41, 45, 46 (20 số)</t>
        </is>
      </c>
      <c r="K53" s="3" t="inlineStr">
        <is>
          <t>00, 04, 05, 09, 13, 14, 18, 19, 22, 23, 27, 28, 31, 32, 36, 37, 40, 41, 45, 46 (20 số)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3" t="inlineStr">
        <is>
          <t>---</t>
        </is>
      </c>
      <c r="G54" s="7" t="inlineStr">
        <is>
          <t>13, 30 (TRƯỢT ❌)</t>
        </is>
      </c>
      <c r="H54" s="6" t="inlineStr">
        <is>
          <t>TRÚNG N1 🎯</t>
        </is>
      </c>
      <c r="I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54" s="3" t="inlineStr">
        <is>
          <t>52, 53, 54, 57, 58, 59, 61, 62, 63, 66, 67, 68, 71, 72, 76, 77, 80, 81, 84, 85, 86, 89, 90, 93, 94, 95, 98, 99 (28 số)</t>
        </is>
      </c>
      <c r="K54" s="3" t="inlineStr">
        <is>
          <t>52, 53, 54, 57, 58, 59, 61, 62, 63, 66, 67, 68, 71, 72, 76, 77, 80, 81, 84, 85, 86, 89, 90, 93, 94, 95, 98, 99 (28 số)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(Trúng)</t>
        </is>
      </c>
      <c r="D55" s="3" t="inlineStr">
        <is>
          <t>91 (Không)</t>
        </is>
      </c>
      <c r="E55" s="3" t="inlineStr">
        <is>
          <t>48 (Không)</t>
        </is>
      </c>
      <c r="F55" s="3" t="inlineStr">
        <is>
          <t>---</t>
        </is>
      </c>
      <c r="G55" s="7" t="inlineStr">
        <is>
          <t>41, 50 (TRƯỢT ❌)</t>
        </is>
      </c>
      <c r="H55" s="6" t="inlineStr">
        <is>
          <t>TRÚNG N1 🎯</t>
        </is>
      </c>
      <c r="I55" s="3" t="inlineStr">
        <is>
          <t>00, 01, 05, 06, 10, 14, 15, 19, 23, 24, 28, 29, 32, 33, 37, 38, 41, 42, 46, 47, 50, 51, 55, 56, 60, 64, 65, 69, 73, 74, 78, 79, 82, 83, 87, 88, 91, 92, 96, 97 (40 số)</t>
        </is>
      </c>
      <c r="J55" s="3" t="inlineStr">
        <is>
          <t>00, 01, 05, 06, 10, 14, 15, 19, 23, 24, 28, 29, 32, 33, 37, 38, 41, 42, 46, 47 (20 số)</t>
        </is>
      </c>
      <c r="K55" s="3" t="inlineStr">
        <is>
          <t>00, 01, 05, 06, 10, 14, 15, 19, 23, 24, 28, 29, 32, 33, 37, 38, 41, 42, 46, 47 (20 số)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(Không)</t>
        </is>
      </c>
      <c r="F56" s="3" t="inlineStr">
        <is>
          <t>---</t>
        </is>
      </c>
      <c r="G56" s="7" t="inlineStr">
        <is>
          <t>39, 42 (TRƯỢT ❌)</t>
        </is>
      </c>
      <c r="H56" s="6" t="inlineStr">
        <is>
          <t>TRÚNG N2 (Siêu Lọc 🎯)</t>
        </is>
      </c>
      <c r="I56" s="3" t="inlineStr">
        <is>
          <t>01, 02, 06, 07, 10, 11, 15, 16, 20, 24, 25, 29, 33, 34, 38, 39, 42, 43, 47, 48, 51, 52, 56, 57, 60, 61, 65, 66, 70, 74, 75, 79, 83, 84, 88, 89, 92, 93, 97, 98 (40 số)</t>
        </is>
      </c>
      <c r="J56" s="3" t="inlineStr">
        <is>
          <t>01, 02, 06, 07, 10, 11, 15, 16, 20, 24, 25, 29, 33, 34, 38, 39, 42, 43, 47, 48 (20 số)</t>
        </is>
      </c>
      <c r="K56" s="3" t="inlineStr">
        <is>
          <t>01, 02, 06, 07, 10, 11, 15, 16, 20, 24, 25, 29, 33, 34, 38, 39, 42, 43, 47, 48 (20 số)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(Trúng)</t>
        </is>
      </c>
      <c r="F57" s="3" t="inlineStr">
        <is>
          <t>---</t>
        </is>
      </c>
      <c r="G57" s="7" t="inlineStr">
        <is>
          <t>65, 82 (TRƯỢT ❌)</t>
        </is>
      </c>
      <c r="H57" s="6" t="inlineStr">
        <is>
          <t>TRÚNG N3 (Siêu Lọc 🎯)</t>
        </is>
      </c>
      <c r="I57" s="3" t="inlineStr">
        <is>
          <t>00, 01, 05, 06, 10, 14, 15, 19, 23, 24, 28, 29, 32, 33, 37, 38, 41, 42, 46, 47, 50, 51, 55, 56, 60, 64, 65, 69, 73, 74, 78, 79, 82, 83, 87, 88, 91, 92, 96, 97 (40 số)</t>
        </is>
      </c>
      <c r="J57" s="3" t="inlineStr">
        <is>
          <t>50, 51, 55, 56, 60, 64, 65, 69, 73, 74, 78, 79, 82, 83, 87, 88, 91, 92, 96, 97 (20 số)</t>
        </is>
      </c>
      <c r="K57" s="3" t="inlineStr">
        <is>
          <t>50, 51, 55, 56, 60, 64, 65, 69, 73, 74, 78, 79, 82, 83, 87, 88, 91, 92, 96, 97 (20 số)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(Trúng)</t>
        </is>
      </c>
      <c r="F58" s="3" t="inlineStr">
        <is>
          <t>---</t>
        </is>
      </c>
      <c r="G58" s="7" t="inlineStr">
        <is>
          <t>60, 73 (TRƯỢT ❌)</t>
        </is>
      </c>
      <c r="H58" s="6" t="inlineStr">
        <is>
          <t>TRÚNG N3 (Siêu Lọc 🎯)</t>
        </is>
      </c>
      <c r="I58" s="3" t="inlineStr">
        <is>
          <t>00, 01, 05, 06, 10, 14, 15, 19, 23, 24, 28, 29, 32, 33, 37, 38, 41, 42, 46, 47, 50, 51, 55, 56, 60, 64, 65, 69, 73, 74, 78, 79, 82, 83, 87, 88, 91, 92, 96, 97 (40 số)</t>
        </is>
      </c>
      <c r="J58" s="3" t="inlineStr">
        <is>
          <t>00, 01, 05, 06, 10, 14, 15, 19, 23, 24, 28, 29, 32, 33, 37, 38, 41, 42, 46, 47 (20 số)</t>
        </is>
      </c>
      <c r="K58" s="3" t="inlineStr">
        <is>
          <t>00, 01, 05, 06, 10, 14, 15, 19, 23, 24, 28, 29, 32, 33, 37, 38, 41, 42, 46, 47 (20 số)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(Không)</t>
        </is>
      </c>
      <c r="D59" s="3" t="inlineStr">
        <is>
          <t>19 (Không)</t>
        </is>
      </c>
      <c r="E59" s="3" t="inlineStr">
        <is>
          <t>59 (Không)</t>
        </is>
      </c>
      <c r="F59" s="3" t="inlineStr">
        <is>
          <t>---</t>
        </is>
      </c>
      <c r="G59" s="7" t="inlineStr">
        <is>
          <t>45, 57 (TRƯỢT ❌)</t>
        </is>
      </c>
      <c r="H59" s="7" t="inlineStr">
        <is>
          <t>TRƯỢT KHUNG ❌</t>
        </is>
      </c>
      <c r="I59" s="3" t="inlineStr">
        <is>
          <t>02, 04, 07, 09, 11, 13, 16, 18, 20, 22, 25, 27, 31, 34, 36, 39, 40, 43, 45, 48, 52, 54, 57, 59, 61, 63, 66, 68, 70, 72, 75, 77, 81, 84, 86, 89, 90, 93, 95, 98 (40 số)</t>
        </is>
      </c>
      <c r="J59" s="3" t="inlineStr">
        <is>
          <t>02, 04, 07, 09, 11, 13, 16, 18, 20, 22, 25, 27, 31, 34, 36, 39, 40, 43, 45, 48 (20 số)</t>
        </is>
      </c>
      <c r="K59" s="3" t="inlineStr">
        <is>
          <t>02, 04, 07, 09, 11, 13, 16, 18, 20, 22, 25, 27, 31, 34, 36, 39, 40, 43, 45, 48 (20 số)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(Không)</t>
        </is>
      </c>
      <c r="F60" s="3" t="inlineStr">
        <is>
          <t>---</t>
        </is>
      </c>
      <c r="G60" s="7" t="inlineStr">
        <is>
          <t>21, 36 (TRƯỢT ❌)</t>
        </is>
      </c>
      <c r="H60" s="6" t="inlineStr">
        <is>
          <t>TRÚNG N2 (Siêu Lọc 🎯)</t>
        </is>
      </c>
      <c r="I60" s="3" t="inlineStr">
        <is>
          <t>03, 04, 08, 09, 12, 13, 17, 18, 21, 22, 26, 27, 30, 31, 35, 36, 40, 44, 45, 49, 53, 54, 58, 59, 62, 63, 67, 68, 71, 72, 76, 77, 80, 81, 85, 86, 90, 94, 95, 99 (40 số)</t>
        </is>
      </c>
      <c r="J60" s="3" t="inlineStr">
        <is>
          <t>53, 54, 58, 59, 62, 63, 67, 68, 71, 72, 76, 77, 80, 81, 85, 86, 90, 94, 95, 99 (20 số)</t>
        </is>
      </c>
      <c r="K60" s="3" t="inlineStr">
        <is>
          <t>53, 54, 58, 59, 62, 63, 67, 68, 71, 72, 76, 77, 80, 81, 85, 86, 90, 94, 95, 99 (20 số)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3" t="inlineStr">
        <is>
          <t>---</t>
        </is>
      </c>
      <c r="G61" s="7" t="inlineStr">
        <is>
          <t>05, 19 (TRƯỢT ❌)</t>
        </is>
      </c>
      <c r="H61" s="6" t="inlineStr">
        <is>
          <t>TRÚNG N2 (Siêu Lọc 🎯)</t>
        </is>
      </c>
      <c r="I61" s="3" t="inlineStr">
        <is>
          <t>00, 03, 05, 08, 12, 14, 17, 19, 21, 23, 26, 28, 30, 32, 35, 37, 41, 44, 46, 49, 50, 53, 55, 58, 62, 64, 67, 69, 71, 73, 76, 78, 80, 82, 85, 87, 91, 94, 96, 99 (40 số)</t>
        </is>
      </c>
      <c r="J61" s="3" t="inlineStr">
        <is>
          <t>00, 03, 05, 08, 12, 14, 17, 19, 21, 23, 26, 28, 30, 32, 35, 37, 41, 44, 46, 49 (20 số)</t>
        </is>
      </c>
      <c r="K61" s="3" t="inlineStr">
        <is>
          <t>00, 03, 05, 08, 12, 14, 17, 19, 21, 23, 26, 28, 30, 32, 35, 37, 41, 44, 46, 49 (20 số)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3" t="inlineStr">
        <is>
          <t>---</t>
        </is>
      </c>
      <c r="G62" s="7" t="inlineStr">
        <is>
          <t>14, 40 (TRƯỢT ❌)</t>
        </is>
      </c>
      <c r="H62" s="6" t="inlineStr">
        <is>
          <t>TRÚNG N1 🎯</t>
        </is>
      </c>
      <c r="I6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2" s="3" t="inlineStr">
        <is>
          <t>50, 53, 54, 55, 58, 59, 62, 63, 64, 67, 68, 69, 71, 72, 73, 76, 77, 78, 80, 81, 82, 85, 86, 87, 90, 94, 95, 99 (28 số)</t>
        </is>
      </c>
      <c r="K62" s="3" t="inlineStr">
        <is>
          <t>50, 53, 54, 55, 58, 59, 62, 63, 64, 67, 68, 69, 71, 72, 73, 76, 77, 78, 80, 81, 82, 85, 86, 87, 90, 94, 95, 99 (28 số)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(Không)</t>
        </is>
      </c>
      <c r="D63" s="3" t="inlineStr">
        <is>
          <t>36 (Không)</t>
        </is>
      </c>
      <c r="E63" s="3" t="inlineStr">
        <is>
          <t>80 (Không)</t>
        </is>
      </c>
      <c r="F63" s="3" t="inlineStr">
        <is>
          <t>---</t>
        </is>
      </c>
      <c r="G63" s="7" t="inlineStr">
        <is>
          <t>14, 49 (TRƯỢT ❌)</t>
        </is>
      </c>
      <c r="H63" s="7" t="inlineStr">
        <is>
          <t>TRƯỢT KHUNG ❌</t>
        </is>
      </c>
      <c r="I63" s="3" t="inlineStr">
        <is>
          <t>00, 03, 05, 08, 12, 14, 17, 19, 21, 23, 26, 28, 30, 32, 35, 37, 41, 44, 46, 49, 50, 53, 55, 58, 62, 64, 67, 69, 71, 73, 76, 78, 80, 82, 85, 87, 91, 94, 96, 99 (40 số)</t>
        </is>
      </c>
      <c r="J63" s="3" t="inlineStr">
        <is>
          <t>00, 03, 05, 08, 12, 14, 17, 19, 21, 23, 26, 28, 30, 32, 35, 37, 41, 44, 46, 49 (20 số)</t>
        </is>
      </c>
      <c r="K63" s="3" t="inlineStr">
        <is>
          <t>00, 03, 05, 08, 12, 14, 17, 19, 21, 23, 26, 28, 30, 32, 35, 37, 41, 44, 46, 49 (20 số)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(Trúng)</t>
        </is>
      </c>
      <c r="E64" s="3" t="inlineStr">
        <is>
          <t>42 (Không)</t>
        </is>
      </c>
      <c r="F64" s="3" t="inlineStr">
        <is>
          <t>---</t>
        </is>
      </c>
      <c r="G64" s="7" t="inlineStr">
        <is>
          <t>21, 43 (TRƯỢT ❌)</t>
        </is>
      </c>
      <c r="H64" s="6" t="inlineStr">
        <is>
          <t>TRÚNG N2 (Siêu Lọc 🎯)</t>
        </is>
      </c>
      <c r="I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64" s="3" t="inlineStr">
        <is>
          <t>50, 52, 53, 55, 57, 58, 61, 62, 64, 66, 67, 69, 71, 73, 76, 78, 80, 82, 84, 85, 87, 89, 91, 93, 94, 96, 98, 99 (28 số)</t>
        </is>
      </c>
      <c r="K64" s="3" t="inlineStr">
        <is>
          <t>50, 52, 53, 55, 57, 58, 61, 62, 64, 66, 67, 69, 71, 73, 76, 78, 80, 82, 84, 85, 87, 89, 91, 93, 94, 96, 98, 99 (28 số)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3" t="inlineStr">
        <is>
          <t>---</t>
        </is>
      </c>
      <c r="G65" s="7" t="inlineStr">
        <is>
          <t>24, 27 (TRƯỢT ❌)</t>
        </is>
      </c>
      <c r="H65" s="6" t="inlineStr">
        <is>
          <t>TRÚNG N2 (Siêu Lọc 🎯)</t>
        </is>
      </c>
      <c r="I65" s="3" t="inlineStr">
        <is>
          <t>01, 04, 06, 09, 10, 13, 15, 18, 22, 24, 27, 29, 31, 33, 36, 38, 40, 42, 45, 47, 51, 54, 56, 59, 60, 63, 65, 68, 72, 74, 77, 79, 81, 83, 86, 88, 90, 92, 95, 97 (40 số)</t>
        </is>
      </c>
      <c r="J65" s="3" t="inlineStr">
        <is>
          <t>01, 04, 06, 09, 10, 13, 15, 18, 22, 24, 27, 29, 31, 33, 36, 38, 40, 42, 45, 47 (20 số)</t>
        </is>
      </c>
      <c r="K65" s="3" t="inlineStr">
        <is>
          <t>01, 04, 06, 09, 10, 13, 15, 18, 22, 24, 27, 29, 31, 33, 36, 38, 40, 42, 45, 47 (20 số)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(Trúng)</t>
        </is>
      </c>
      <c r="D66" s="3" t="inlineStr">
        <is>
          <t>68 (Không)</t>
        </is>
      </c>
      <c r="E66" s="3" t="inlineStr">
        <is>
          <t>24 (Không)</t>
        </is>
      </c>
      <c r="F66" s="3" t="inlineStr">
        <is>
          <t>---</t>
        </is>
      </c>
      <c r="G66" s="7" t="inlineStr">
        <is>
          <t>35, 53 (TRƯỢT ❌)</t>
        </is>
      </c>
      <c r="H66" s="6" t="inlineStr">
        <is>
          <t>TRÚNG N1 🎯</t>
        </is>
      </c>
      <c r="I66" s="3" t="inlineStr">
        <is>
          <t>01, 03, 06, 08, 10, 12, 15, 17, 21, 24, 26, 29, 30, 33, 35, 38, 42, 44, 47, 49, 51, 53, 56, 58, 60, 62, 65, 67, 71, 74, 76, 79, 80, 83, 85, 88, 92, 94, 97, 99 (40 số)</t>
        </is>
      </c>
      <c r="J66" s="3" t="inlineStr">
        <is>
          <t>51, 53, 56, 58, 60, 62, 65, 67, 71, 74, 76, 79, 80, 83, 85, 88, 92, 94, 97, 99 (20 số)</t>
        </is>
      </c>
      <c r="K66" s="3" t="inlineStr">
        <is>
          <t>51, 53, 56, 58, 60, 62, 65, 67, 71, 74, 76, 79, 80, 83, 85, 88, 92, 94, 97, 99 (20 số)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(Trúng)</t>
        </is>
      </c>
      <c r="D67" s="3" t="inlineStr">
        <is>
          <t>24 (Không)</t>
        </is>
      </c>
      <c r="E67" s="3" t="inlineStr">
        <is>
          <t>59 (Không)</t>
        </is>
      </c>
      <c r="F67" s="3" t="inlineStr">
        <is>
          <t>---</t>
        </is>
      </c>
      <c r="G67" s="7" t="inlineStr">
        <is>
          <t>37, 78 (TRƯỢT ❌)</t>
        </is>
      </c>
      <c r="H67" s="6" t="inlineStr">
        <is>
          <t>TRÚNG N1 🎯</t>
        </is>
      </c>
      <c r="I67" s="3" t="inlineStr">
        <is>
          <t>00, 04, 05, 09, 13, 14, 18, 19, 22, 23, 27, 28, 31, 32, 36, 37, 40, 41, 45, 46, 50, 54, 55, 59, 63, 64, 68, 69, 72, 73, 77, 78, 81, 82, 86, 87, 90, 91, 95, 96 (40 số)</t>
        </is>
      </c>
      <c r="J67" s="3" t="inlineStr">
        <is>
          <t>00, 04, 05, 09, 13, 14, 18, 19, 22, 23, 27, 28, 31, 32, 36, 37, 40, 41, 45, 46 (20 số)</t>
        </is>
      </c>
      <c r="K67" s="3" t="inlineStr">
        <is>
          <t>00, 04, 05, 09, 13, 14, 18, 19, 22, 23, 27, 28, 31, 32, 36, 37, 40, 41, 45, 46 (20 số)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(Trúng)</t>
        </is>
      </c>
      <c r="E68" s="3" t="inlineStr">
        <is>
          <t>48 (Không)</t>
        </is>
      </c>
      <c r="F68" s="3" t="inlineStr">
        <is>
          <t>---</t>
        </is>
      </c>
      <c r="G68" s="7" t="inlineStr">
        <is>
          <t>09, 68 (TRƯỢT ❌)</t>
        </is>
      </c>
      <c r="H68" s="6" t="inlineStr">
        <is>
          <t>TRÚNG N1 🎯</t>
        </is>
      </c>
      <c r="I6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68" s="3" t="inlineStr">
        <is>
          <t>51, 53, 54, 56, 58, 59, 60, 62, 63, 65, 67, 68, 71, 72, 74, 77, 79, 80, 81, 83, 85, 86, 88, 90, 92, 94, 97, 99 (28 số)</t>
        </is>
      </c>
      <c r="K68" s="3" t="inlineStr">
        <is>
          <t>51, 53, 54, 56, 58, 59, 60, 62, 63, 65, 67, 68, 71, 72, 74, 77, 79, 80, 81, 83, 85, 86, 88, 90, 92, 94, 97, 99 (28 số)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3" t="inlineStr">
        <is>
          <t>---</t>
        </is>
      </c>
      <c r="G69" s="6" t="inlineStr">
        <is>
          <t>08, 59 (TRÚNG 🎯)</t>
        </is>
      </c>
      <c r="H69" s="6" t="inlineStr">
        <is>
          <t>TRÚNG N1 🎯</t>
        </is>
      </c>
      <c r="I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9" s="3" t="inlineStr">
        <is>
          <t>03, 04, 08, 09, 12, 13, 14, 17, 18, 19, 21, 22, 23, 26, 27, 28, 30, 31, 32, 35, 36, 37, 40, 41, 44, 45, 46, 49 (28 số)</t>
        </is>
      </c>
      <c r="K69" s="3" t="inlineStr">
        <is>
          <t>03, 04, 08, 09, 12, 13, 14, 17, 18, 19, 21, 22, 23, 26, 27, 28, 30, 31, 32, 35, 36, 37, 40, 41, 44, 45, 46, 49 (28 số)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3" t="inlineStr">
        <is>
          <t>---</t>
        </is>
      </c>
      <c r="G70" s="7" t="inlineStr">
        <is>
          <t>10, 59 (TRƯỢT ❌)</t>
        </is>
      </c>
      <c r="H70" s="7" t="inlineStr">
        <is>
          <t>TRƯỢT KHUNG ❌</t>
        </is>
      </c>
      <c r="I70" s="3" t="inlineStr">
        <is>
          <t>01, 04, 06, 09, 10, 13, 15, 18, 22, 24, 27, 29, 31, 33, 36, 38, 40, 42, 45, 47, 51, 54, 56, 59, 60, 63, 65, 68, 72, 74, 77, 79, 81, 83, 86, 88, 90, 92, 95, 97 (40 số)</t>
        </is>
      </c>
      <c r="J70" s="3" t="inlineStr">
        <is>
          <t>51, 54, 56, 59, 60, 63, 65, 68, 72, 74, 77, 79, 81, 83, 86, 88, 90, 92, 95, 97 (20 số)</t>
        </is>
      </c>
      <c r="K70" s="3" t="inlineStr">
        <is>
          <t>51, 54, 56, 59, 60, 63, 65, 68, 72, 74, 77, 79, 81, 83, 86, 88, 90, 92, 95, 97 (20 số)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(Không)</t>
        </is>
      </c>
      <c r="E71" s="3" t="inlineStr">
        <is>
          <t>69 (Không)</t>
        </is>
      </c>
      <c r="F71" s="3" t="inlineStr">
        <is>
          <t>---</t>
        </is>
      </c>
      <c r="G71" s="6" t="inlineStr">
        <is>
          <t>48, 52 (TRÚNG 🎯)</t>
        </is>
      </c>
      <c r="H71" s="6" t="inlineStr">
        <is>
          <t>TRÚNG N1 🎯</t>
        </is>
      </c>
      <c r="I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1" s="3" t="inlineStr">
        <is>
          <t>01, 02, 05, 06, 07, 10, 11, 14, 15, 19, 20, 23, 24, 25, 28, 29, 32, 33, 34, 37, 38, 39, 41, 42, 43, 46, 47, 48 (28 số)</t>
        </is>
      </c>
      <c r="K71" s="3" t="inlineStr">
        <is>
          <t>01, 02, 05, 06, 07, 10, 11, 14, 15, 19, 20, 23, 24, 25, 28, 29, 32, 33, 34, 37, 38, 39, 41, 42, 43, 46, 47, 48 (28 số)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(Trúng)</t>
        </is>
      </c>
      <c r="D72" s="3" t="inlineStr">
        <is>
          <t>69 (Không)</t>
        </is>
      </c>
      <c r="E72" s="3" t="inlineStr">
        <is>
          <t>87 (Không)</t>
        </is>
      </c>
      <c r="F72" s="3" t="inlineStr">
        <is>
          <t>---</t>
        </is>
      </c>
      <c r="G72" s="7" t="inlineStr">
        <is>
          <t>38, 68 (TRƯỢT ❌)</t>
        </is>
      </c>
      <c r="H72" s="6" t="inlineStr">
        <is>
          <t>TRÚNG N1 🎯</t>
        </is>
      </c>
      <c r="I7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72" s="3" t="inlineStr">
        <is>
          <t>01, 02, 04, 06, 07, 09, 10, 13, 15, 18, 20, 22, 24, 25, 27, 29, 31, 33, 34, 36, 38, 39, 40, 42, 43, 45, 47, 48 (28 số)</t>
        </is>
      </c>
      <c r="K72" s="3" t="inlineStr">
        <is>
          <t>01, 02, 04, 06, 07, 09, 10, 13, 15, 18, 20, 22, 24, 25, 27, 29, 31, 33, 34, 36, 38, 39, 40, 42, 43, 45, 47, 48 (28 số)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(Không)</t>
        </is>
      </c>
      <c r="E73" s="3" t="inlineStr">
        <is>
          <t>95 (Không)</t>
        </is>
      </c>
      <c r="F73" s="3" t="inlineStr">
        <is>
          <t>---</t>
        </is>
      </c>
      <c r="G73" s="7" t="inlineStr">
        <is>
          <t>28, 39 (TRƯỢT ❌)</t>
        </is>
      </c>
      <c r="H73" s="6" t="inlineStr">
        <is>
          <t>TRÚNG N1 🎯</t>
        </is>
      </c>
      <c r="I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3" s="3" t="inlineStr">
        <is>
          <t>01, 02, 05, 06, 07, 10, 11, 14, 15, 19, 20, 23, 24, 25, 28, 29, 32, 33, 34, 37, 38, 39, 41, 42, 43, 46, 47, 48 (28 số)</t>
        </is>
      </c>
      <c r="K73" s="3" t="inlineStr">
        <is>
          <t>01, 02, 05, 06, 07, 10, 11, 14, 15, 19, 20, 23, 24, 25, 28, 29, 32, 33, 34, 37, 38, 39, 41, 42, 43, 46, 47, 48 (28 số)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(Không)</t>
        </is>
      </c>
      <c r="E74" s="3" t="inlineStr">
        <is>
          <t>24 (Không)</t>
        </is>
      </c>
      <c r="F74" s="3" t="inlineStr">
        <is>
          <t>---</t>
        </is>
      </c>
      <c r="G74" s="7" t="inlineStr">
        <is>
          <t>22, 75 (TRƯỢT ❌)</t>
        </is>
      </c>
      <c r="H74" s="7" t="inlineStr">
        <is>
          <t>TRƯỢT KHUNG ❌</t>
        </is>
      </c>
      <c r="I74" s="3" t="inlineStr">
        <is>
          <t>02, 04, 07, 09, 11, 13, 16, 18, 20, 22, 25, 27, 31, 34, 36, 39, 40, 43, 45, 48, 52, 54, 57, 59, 61, 63, 66, 68, 70, 72, 75, 77, 81, 84, 86, 89, 90, 93, 95, 98 (40 số)</t>
        </is>
      </c>
      <c r="J74" s="3" t="inlineStr">
        <is>
          <t>02, 04, 07, 09, 11, 13, 16, 18, 20, 22, 25, 27, 31, 34, 36, 39, 40, 43, 45, 48 (20 số)</t>
        </is>
      </c>
      <c r="K74" s="3" t="inlineStr">
        <is>
          <t>02, 04, 07, 09, 11, 13, 16, 18, 20, 22, 25, 27, 31, 34, 36, 39, 40, 43, 45, 48 (20 số)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(Không)</t>
        </is>
      </c>
      <c r="E75" s="3" t="inlineStr">
        <is>
          <t>94 (Không)</t>
        </is>
      </c>
      <c r="F75" s="3" t="inlineStr">
        <is>
          <t>---</t>
        </is>
      </c>
      <c r="G75" s="7" t="inlineStr">
        <is>
          <t>16, 30 (TRƯỢT ❌)</t>
        </is>
      </c>
      <c r="H75" s="7" t="inlineStr">
        <is>
          <t>TRƯỢT KHUNG ❌</t>
        </is>
      </c>
      <c r="I75" s="3" t="inlineStr">
        <is>
          <t>02, 03, 07, 08, 11, 12, 16, 17, 20, 21, 25, 26, 30, 34, 35, 39, 43, 44, 48, 49, 52, 53, 57, 58, 61, 62, 66, 67, 70, 71, 75, 76, 80, 84, 85, 89, 93, 94, 98, 99 (40 số)</t>
        </is>
      </c>
      <c r="J75" s="3" t="inlineStr">
        <is>
          <t>02, 03, 07, 08, 11, 12, 16, 17, 20, 21, 25, 26, 30, 34, 35, 39, 43, 44, 48, 49 (20 số)</t>
        </is>
      </c>
      <c r="K75" s="3" t="inlineStr">
        <is>
          <t>02, 03, 07, 08, 11, 12, 16, 17, 20, 21, 25, 26, 30, 34, 35, 39, 43, 44, 48, 49 (20 số)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(Không)</t>
        </is>
      </c>
      <c r="F76" s="3" t="inlineStr">
        <is>
          <t>---</t>
        </is>
      </c>
      <c r="G76" s="7" t="inlineStr">
        <is>
          <t>06, 52 (TRƯỢT ❌)</t>
        </is>
      </c>
      <c r="H76" s="6" t="inlineStr">
        <is>
          <t>TRÚNG N1 🎯</t>
        </is>
      </c>
      <c r="I76" s="3" t="inlineStr">
        <is>
          <t>01, 02, 06, 07, 10, 11, 15, 16, 20, 24, 25, 29, 33, 34, 38, 39, 42, 43, 47, 48, 51, 52, 56, 57, 60, 61, 65, 66, 70, 74, 75, 79, 83, 84, 88, 89, 92, 93, 97, 98 (40 số)</t>
        </is>
      </c>
      <c r="J76" s="3" t="inlineStr">
        <is>
          <t>51, 52, 56, 57, 60, 61, 65, 66, 70, 74, 75, 79, 83, 84, 88, 89, 92, 93, 97, 98 (20 số)</t>
        </is>
      </c>
      <c r="K76" s="3" t="inlineStr">
        <is>
          <t>51, 52, 56, 57, 60, 61, 65, 66, 70, 74, 75, 79, 83, 84, 88, 89, 92, 93, 97, 98 (20 số)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(Không)</t>
        </is>
      </c>
      <c r="E77" s="3" t="inlineStr">
        <is>
          <t>14 (Không)</t>
        </is>
      </c>
      <c r="F77" s="3" t="inlineStr">
        <is>
          <t>---</t>
        </is>
      </c>
      <c r="G77" s="7" t="inlineStr">
        <is>
          <t>44, 57 (TRƯỢT ❌)</t>
        </is>
      </c>
      <c r="H77" s="6" t="inlineStr">
        <is>
          <t>TRÚNG N1 🎯</t>
        </is>
      </c>
      <c r="I77" s="3" t="inlineStr">
        <is>
          <t>02, 03, 07, 08, 11, 12, 16, 17, 20, 21, 25, 26, 30, 34, 35, 39, 43, 44, 48, 49, 52, 53, 57, 58, 61, 62, 66, 67, 70, 71, 75, 76, 80, 84, 85, 89, 93, 94, 98, 99 (40 số)</t>
        </is>
      </c>
      <c r="J77" s="3" t="inlineStr">
        <is>
          <t>02, 03, 07, 08, 11, 12, 16, 17, 20, 21, 25, 26, 30, 34, 35, 39, 43, 44, 48, 49 (20 số)</t>
        </is>
      </c>
      <c r="K77" s="3" t="inlineStr">
        <is>
          <t>02, 03, 07, 08, 11, 12, 16, 17, 20, 21, 25, 26, 30, 34, 35, 39, 43, 44, 48, 49 (20 số)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(Không)</t>
        </is>
      </c>
      <c r="D78" s="3" t="inlineStr">
        <is>
          <t>14 (Không)</t>
        </is>
      </c>
      <c r="E78" s="3" t="inlineStr">
        <is>
          <t>29 (Không)</t>
        </is>
      </c>
      <c r="F78" s="3" t="inlineStr">
        <is>
          <t>---</t>
        </is>
      </c>
      <c r="G78" s="7" t="inlineStr">
        <is>
          <t>26, 43 (TRƯỢT ❌)</t>
        </is>
      </c>
      <c r="H78" s="7" t="inlineStr">
        <is>
          <t>TRƯỢT KHUNG ❌</t>
        </is>
      </c>
      <c r="I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8" s="3" t="inlineStr">
        <is>
          <t>51, 52, 53, 56, 57, 58, 60, 61, 62, 65, 66, 67, 71, 74, 76, 79, 80, 83, 84, 85, 88, 89, 92, 93, 94, 97, 98, 99 (28 số)</t>
        </is>
      </c>
      <c r="K78" s="3" t="inlineStr">
        <is>
          <t>51, 52, 53, 56, 57, 58, 60, 61, 62, 65, 66, 67, 71, 74, 76, 79, 80, 83, 84, 85, 88, 89, 92, 93, 94, 97, 98, 99 (28 số)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(Không)</t>
        </is>
      </c>
      <c r="E79" s="3" t="inlineStr">
        <is>
          <t>88 (Trúng)</t>
        </is>
      </c>
      <c r="F79" s="3" t="inlineStr">
        <is>
          <t>---</t>
        </is>
      </c>
      <c r="G79" s="7" t="inlineStr">
        <is>
          <t>11, 24 (TRƯỢT ❌)</t>
        </is>
      </c>
      <c r="H79" s="6" t="inlineStr">
        <is>
          <t>TRÚNG N3 (Siêu Lọc 🎯)</t>
        </is>
      </c>
      <c r="I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9" s="3" t="inlineStr">
        <is>
          <t>51, 52, 53, 56, 57, 58, 60, 61, 62, 65, 66, 67, 71, 74, 76, 79, 80, 83, 84, 85, 88, 89, 92, 93, 94, 97, 98, 99 (28 số)</t>
        </is>
      </c>
      <c r="K79" s="3" t="inlineStr">
        <is>
          <t>51, 52, 53, 56, 57, 58, 60, 61, 62, 65, 66, 67, 71, 74, 76, 79, 80, 83, 84, 85, 88, 89, 92, 93, 94, 97, 98, 99 (28 số)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(Trúng)</t>
        </is>
      </c>
      <c r="D80" s="3" t="inlineStr">
        <is>
          <t>88 (Trúng)</t>
        </is>
      </c>
      <c r="E80" s="3" t="inlineStr">
        <is>
          <t>93 (Trúng)</t>
        </is>
      </c>
      <c r="F80" s="3" t="inlineStr">
        <is>
          <t>---</t>
        </is>
      </c>
      <c r="G80" s="6" t="inlineStr">
        <is>
          <t>29, 44 (TRÚNG 🎯)</t>
        </is>
      </c>
      <c r="H80" s="6" t="inlineStr">
        <is>
          <t>TRÚNG N1 🎯</t>
        </is>
      </c>
      <c r="I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80" s="3" t="inlineStr">
        <is>
          <t>51, 52, 53, 56, 57, 58, 60, 61, 62, 65, 66, 67, 71, 74, 76, 79, 80, 83, 84, 85, 88, 89, 92, 93, 94, 97, 98, 99 (28 số)</t>
        </is>
      </c>
      <c r="K80" s="3" t="inlineStr">
        <is>
          <t>51, 52, 53, 56, 57, 58, 60, 61, 62, 65, 66, 67, 71, 74, 76, 79, 80, 83, 84, 85, 88, 89, 92, 93, 94, 97, 98, 99 (28 số)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(Trúng)</t>
        </is>
      </c>
      <c r="D81" s="3" t="inlineStr">
        <is>
          <t>93 (Không)</t>
        </is>
      </c>
      <c r="E81" s="3" t="inlineStr">
        <is>
          <t>32 (Trúng)</t>
        </is>
      </c>
      <c r="F81" s="3" t="inlineStr">
        <is>
          <t>---</t>
        </is>
      </c>
      <c r="G81" s="7" t="inlineStr">
        <is>
          <t>07, 29 (TRƯỢT ❌)</t>
        </is>
      </c>
      <c r="H81" s="6" t="inlineStr">
        <is>
          <t>TRÚNG N1 🎯</t>
        </is>
      </c>
      <c r="I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81" s="3" t="inlineStr">
        <is>
          <t>01, 02, 05, 06, 07, 10, 11, 14, 15, 19, 20, 23, 24, 25, 28, 29, 32, 33, 34, 37, 38, 39, 41, 42, 43, 46, 47, 48 (28 số)</t>
        </is>
      </c>
      <c r="K81" s="3" t="inlineStr">
        <is>
          <t>01, 02, 05, 06, 07, 10, 11, 14, 15, 19, 20, 23, 24, 25, 28, 29, 32, 33, 34, 37, 38, 39, 41, 42, 43, 46, 47, 48 (28 số)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(Trúng)</t>
        </is>
      </c>
      <c r="E82" s="3" t="inlineStr">
        <is>
          <t>22 (Không)</t>
        </is>
      </c>
      <c r="F82" s="3" t="inlineStr">
        <is>
          <t>---</t>
        </is>
      </c>
      <c r="G82" s="7" t="inlineStr">
        <is>
          <t>00, 24 (TRƯỢT ❌)</t>
        </is>
      </c>
      <c r="H82" s="6" t="inlineStr">
        <is>
          <t>TRÚNG N2 (Siêu Lọc 🎯)</t>
        </is>
      </c>
      <c r="I82" s="3" t="inlineStr">
        <is>
          <t>00, 01, 05, 06, 10, 14, 15, 19, 23, 24, 28, 29, 32, 33, 37, 38, 41, 42, 46, 47, 50, 51, 55, 56, 60, 64, 65, 69, 73, 74, 78, 79, 82, 83, 87, 88, 91, 92, 96, 97 (40 số)</t>
        </is>
      </c>
      <c r="J82" s="3" t="inlineStr">
        <is>
          <t>00, 01, 05, 06, 10, 14, 15, 19, 23, 24, 28, 29, 32, 33, 37, 38, 41, 42, 46, 47 (20 số)</t>
        </is>
      </c>
      <c r="K82" s="3" t="inlineStr">
        <is>
          <t>00, 01, 05, 06, 10, 14, 15, 19, 23, 24, 28, 29, 32, 33, 37, 38, 41, 42, 46, 47 (20 số)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(Trúng)</t>
        </is>
      </c>
      <c r="D83" s="3" t="inlineStr">
        <is>
          <t>22 (Không)</t>
        </is>
      </c>
      <c r="E83" s="3" t="inlineStr">
        <is>
          <t>88 (Không)</t>
        </is>
      </c>
      <c r="F83" s="3" t="inlineStr">
        <is>
          <t>---</t>
        </is>
      </c>
      <c r="G83" s="7" t="inlineStr">
        <is>
          <t>11, 82 (TRƯỢT ❌)</t>
        </is>
      </c>
      <c r="H83" s="6" t="inlineStr">
        <is>
          <t>TRÚNG N1 🎯</t>
        </is>
      </c>
      <c r="I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3" s="3" t="inlineStr">
        <is>
          <t>50, 52, 54, 55, 57, 59, 61, 63, 64, 66, 68, 69, 72, 73, 77, 78, 81, 82, 84, 86, 87, 89, 90, 91, 93, 95, 96, 98 (28 số)</t>
        </is>
      </c>
      <c r="K83" s="3" t="inlineStr">
        <is>
          <t>50, 52, 54, 55, 57, 59, 61, 63, 64, 66, 68, 69, 72, 73, 77, 78, 81, 82, 84, 86, 87, 89, 90, 91, 93, 95, 96, 98 (28 số)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(Trúng)</t>
        </is>
      </c>
      <c r="D84" s="3" t="inlineStr">
        <is>
          <t>88 (Trúng)</t>
        </is>
      </c>
      <c r="E84" s="3" t="inlineStr">
        <is>
          <t>64 (Không)</t>
        </is>
      </c>
      <c r="F84" s="3" t="inlineStr">
        <is>
          <t>---</t>
        </is>
      </c>
      <c r="G84" s="7" t="inlineStr">
        <is>
          <t>04, 10 (TRƯỢT ❌)</t>
        </is>
      </c>
      <c r="H84" s="6" t="inlineStr">
        <is>
          <t>TRÚNG N1 🎯</t>
        </is>
      </c>
      <c r="I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84" s="3" t="inlineStr">
        <is>
          <t>51, 52, 54, 56, 57, 59, 60, 61, 63, 65, 66, 68, 72, 74, 77, 79, 81, 83, 84, 86, 88, 89, 90, 92, 93, 95, 97, 98 (28 số)</t>
        </is>
      </c>
      <c r="K84" s="3" t="inlineStr">
        <is>
          <t>51, 52, 54, 56, 57, 59, 60, 61, 63, 65, 66, 68, 72, 74, 77, 79, 81, 83, 84, 86, 88, 89, 90, 92, 93, 95, 97, 98 (28 số)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3" t="inlineStr">
        <is>
          <t>---</t>
        </is>
      </c>
      <c r="G85" s="7" t="inlineStr">
        <is>
          <t>09, 18 (TRƯỢT ❌)</t>
        </is>
      </c>
      <c r="H85" s="7" t="inlineStr">
        <is>
          <t>TRƯỢT KHUNG ❌</t>
        </is>
      </c>
      <c r="I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85" s="3" t="inlineStr">
        <is>
          <t>02, 03, 04, 07, 08, 09, 12, 13, 17, 18, 20, 21, 22, 25, 26, 27, 30, 31, 34, 35, 36, 39, 40, 43, 44, 45, 48, 49 (28 số)</t>
        </is>
      </c>
      <c r="K85" s="3" t="inlineStr">
        <is>
          <t>02, 03, 04, 07, 08, 09, 12, 13, 17, 18, 20, 21, 22, 25, 26, 27, 30, 31, 34, 35, 36, 39, 40, 43, 44, 45, 48, 49 (28 số)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3" t="inlineStr">
        <is>
          <t>---</t>
        </is>
      </c>
      <c r="G86" s="7" t="inlineStr">
        <is>
          <t>06, 13 (TRƯỢT ❌)</t>
        </is>
      </c>
      <c r="H86" s="7" t="inlineStr">
        <is>
          <t>TRƯỢT KHUNG ❌</t>
        </is>
      </c>
      <c r="I86" s="3" t="inlineStr">
        <is>
          <t>01, 04, 06, 09, 10, 13, 15, 18, 22, 24, 27, 29, 31, 33, 36, 38, 40, 42, 45, 47, 51, 54, 56, 59, 60, 63, 65, 68, 72, 74, 77, 79, 81, 83, 86, 88, 90, 92, 95, 97 (40 số)</t>
        </is>
      </c>
      <c r="J86" s="3" t="inlineStr">
        <is>
          <t>01, 04, 06, 09, 10, 13, 15, 18, 22, 24, 27, 29, 31, 33, 36, 38, 40, 42, 45, 47 (20 số)</t>
        </is>
      </c>
      <c r="K86" s="3" t="inlineStr">
        <is>
          <t>01, 04, 06, 09, 10, 13, 15, 18, 22, 24, 27, 29, 31, 33, 36, 38, 40, 42, 45, 47 (20 số)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(Không)</t>
        </is>
      </c>
      <c r="E87" s="3" t="inlineStr">
        <is>
          <t>67 (Không)</t>
        </is>
      </c>
      <c r="F87" s="3" t="inlineStr">
        <is>
          <t>---</t>
        </is>
      </c>
      <c r="G87" s="7" t="inlineStr">
        <is>
          <t>07, 20 (TRƯỢT ❌)</t>
        </is>
      </c>
      <c r="H87" s="7" t="inlineStr">
        <is>
          <t>TRƯỢT KHUNG ❌</t>
        </is>
      </c>
      <c r="I87" s="3" t="inlineStr">
        <is>
          <t>02, 07, 11, 16, 20, 25, 34, 39, 43, 48, 52, 57, 61, 66, 70, 75, 84, 89, 93, 98 (20 số)</t>
        </is>
      </c>
      <c r="J87" s="3" t="inlineStr">
        <is>
          <t>02, 07, 11, 16, 20, 25, 34, 39, 43, 48 (10 số)</t>
        </is>
      </c>
      <c r="K87" s="3" t="inlineStr">
        <is>
          <t>02, 07, 11, 16, 20, 25, 34, 39, 43, 48 (10 số)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3" t="inlineStr">
        <is>
          <t>---</t>
        </is>
      </c>
      <c r="G88" s="7" t="inlineStr">
        <is>
          <t>18, 23 (TRƯỢT ❌)</t>
        </is>
      </c>
      <c r="H88" s="6" t="inlineStr">
        <is>
          <t>TRÚNG N1 🎯</t>
        </is>
      </c>
      <c r="I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8" s="3" t="inlineStr">
        <is>
          <t>02, 04, 05, 07, 09, 11, 13, 14, 18, 19, 20, 22, 23, 25, 27, 28, 31, 32, 34, 36, 37, 39, 40, 41, 43, 45, 46, 48 (28 số)</t>
        </is>
      </c>
      <c r="K88" s="3" t="inlineStr">
        <is>
          <t>02, 04, 05, 07, 09, 11, 13, 14, 18, 19, 20, 22, 23, 25, 27, 28, 31, 32, 34, 36, 37, 39, 40, 41, 43, 45, 46, 48 (28 số)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3" t="inlineStr">
        <is>
          <t>---</t>
        </is>
      </c>
      <c r="G89" s="7" t="inlineStr">
        <is>
          <t>16, 20 (TRƯỢT ❌)</t>
        </is>
      </c>
      <c r="H89" s="6" t="inlineStr">
        <is>
          <t>TRÚNG N3 (Siêu Lọc 🎯)</t>
        </is>
      </c>
      <c r="I89" s="3" t="inlineStr">
        <is>
          <t>00, 02, 05, 07, 11, 14, 16, 19, 20, 23, 25, 28, 32, 34, 37, 39, 41, 43, 46, 48, 50, 52, 55, 57, 61, 64, 66, 69, 70, 73, 75, 78, 82, 84, 87, 89, 91, 93, 96, 98 (40 số)</t>
        </is>
      </c>
      <c r="J89" s="3" t="inlineStr">
        <is>
          <t>00, 02, 05, 07, 11, 14, 16, 19, 20, 23, 25, 28, 32, 34, 37, 39, 41, 43, 46, 48 (20 số)</t>
        </is>
      </c>
      <c r="K89" s="3" t="inlineStr">
        <is>
          <t>00, 02, 05, 07, 11, 14, 16, 19, 20, 23, 25, 28, 32, 34, 37, 39, 41, 43, 46, 48 (20 số)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3" t="inlineStr">
        <is>
          <t>---</t>
        </is>
      </c>
      <c r="G90" s="7" t="inlineStr">
        <is>
          <t>39, 40 (TRƯỢT ❌)</t>
        </is>
      </c>
      <c r="H90" s="7" t="inlineStr">
        <is>
          <t>TRƯỢT KHUNG ❌</t>
        </is>
      </c>
      <c r="I90" s="3" t="inlineStr">
        <is>
          <t>02, 04, 07, 09, 11, 13, 16, 18, 20, 22, 25, 27, 31, 34, 36, 39, 40, 43, 45, 48, 52, 54, 57, 59, 61, 63, 66, 68, 70, 72, 75, 77, 81, 84, 86, 89, 90, 93, 95, 98 (40 số)</t>
        </is>
      </c>
      <c r="J90" s="3" t="inlineStr">
        <is>
          <t>52, 54, 57, 59, 61, 63, 66, 68, 70, 72, 75, 77, 81, 84, 86, 89, 90, 93, 95, 98 (20 số)</t>
        </is>
      </c>
      <c r="K90" s="3" t="inlineStr">
        <is>
          <t>52, 54, 57, 59, 61, 63, 66, 68, 70, 72, 75, 77, 81, 84, 86, 89, 90, 93, 95, 98 (20 số)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(Không)</t>
        </is>
      </c>
      <c r="F91" s="3" t="inlineStr">
        <is>
          <t>---</t>
        </is>
      </c>
      <c r="G91" s="7" t="inlineStr">
        <is>
          <t>15, 29 (TRƯỢT ❌)</t>
        </is>
      </c>
      <c r="H91" s="7" t="inlineStr">
        <is>
          <t>TRƯỢT KHUNG ❌</t>
        </is>
      </c>
      <c r="I91" s="3" t="inlineStr">
        <is>
          <t>01, 04, 06, 09, 10, 13, 15, 18, 22, 24, 27, 29, 31, 33, 36, 38, 40, 42, 45, 47, 51, 54, 56, 59, 60, 63, 65, 68, 72, 74, 77, 79, 81, 83, 86, 88, 90, 92, 95, 97 (40 số)</t>
        </is>
      </c>
      <c r="J91" s="3" t="inlineStr">
        <is>
          <t>51, 54, 56, 59, 60, 63, 65, 68, 72, 74, 77, 79, 81, 83, 86, 88, 90, 92, 95, 97 (20 số)</t>
        </is>
      </c>
      <c r="K91" s="3" t="inlineStr">
        <is>
          <t>51, 54, 56, 59, 60, 63, 65, 68, 72, 74, 77, 79, 81, 83, 86, 88, 90, 92, 95, 97 (20 số)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(Không)</t>
        </is>
      </c>
      <c r="D92" s="3" t="inlineStr">
        <is>
          <t>06 (Không)</t>
        </is>
      </c>
      <c r="E92" s="3" t="inlineStr">
        <is>
          <t>82 (Không)</t>
        </is>
      </c>
      <c r="F92" s="3" t="inlineStr">
        <is>
          <t>---</t>
        </is>
      </c>
      <c r="G92" s="7" t="inlineStr">
        <is>
          <t>40, 48 (TRƯỢT ❌)</t>
        </is>
      </c>
      <c r="H92" s="7" t="inlineStr">
        <is>
          <t>TRƯỢT KHUNG ❌</t>
        </is>
      </c>
      <c r="I92" s="3" t="inlineStr">
        <is>
          <t>02, 04, 07, 09, 11, 13, 16, 18, 20, 22, 25, 27, 31, 34, 36, 39, 40, 43, 45, 48, 52, 54, 57, 59, 61, 63, 66, 68, 70, 72, 75, 77, 81, 84, 86, 89, 90, 93, 95, 98 (40 số)</t>
        </is>
      </c>
      <c r="J92" s="3" t="inlineStr">
        <is>
          <t>02, 04, 07, 09, 11, 13, 16, 18, 20, 22, 25, 27, 31, 34, 36, 39, 40, 43, 45, 48 (20 số)</t>
        </is>
      </c>
      <c r="K92" s="3" t="inlineStr">
        <is>
          <t>02, 04, 07, 09, 11, 13, 16, 18, 20, 22, 25, 27, 31, 34, 36, 39, 40, 43, 45, 48 (20 số)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3" t="inlineStr">
        <is>
          <t>---</t>
        </is>
      </c>
      <c r="G93" s="7" t="inlineStr">
        <is>
          <t>41, 55 (TRƯỢT ❌)</t>
        </is>
      </c>
      <c r="H93" s="6" t="inlineStr">
        <is>
          <t>TRÚNG N2 (Siêu Lọc 🎯)</t>
        </is>
      </c>
      <c r="I93" s="3" t="inlineStr">
        <is>
          <t>00, 02, 05, 07, 11, 14, 16, 19, 20, 23, 25, 28, 32, 34, 37, 39, 41, 43, 46, 48, 50, 52, 55, 57, 61, 64, 66, 69, 70, 73, 75, 78, 82, 84, 87, 89, 91, 93, 96, 98 (40 số)</t>
        </is>
      </c>
      <c r="J93" s="3" t="inlineStr">
        <is>
          <t>50, 52, 55, 57, 61, 64, 66, 69, 70, 73, 75, 78, 82, 84, 87, 89, 91, 93, 96, 98 (20 số)</t>
        </is>
      </c>
      <c r="K93" s="3" t="inlineStr">
        <is>
          <t>50, 52, 55, 57, 61, 64, 66, 69, 70, 73, 75, 78, 82, 84, 87, 89, 91, 93, 96, 98 (20 số)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(Trúng)</t>
        </is>
      </c>
      <c r="D94" s="3" t="inlineStr">
        <is>
          <t>50 (Không)</t>
        </is>
      </c>
      <c r="E94" s="3" t="inlineStr">
        <is>
          <t>25 (Không)</t>
        </is>
      </c>
      <c r="F94" s="3" t="inlineStr">
        <is>
          <t>---</t>
        </is>
      </c>
      <c r="G94" s="7" t="inlineStr">
        <is>
          <t>06, 33 (TRƯỢT ❌)</t>
        </is>
      </c>
      <c r="H94" s="6" t="inlineStr">
        <is>
          <t>TRÚNG N1 🎯</t>
        </is>
      </c>
      <c r="I94" s="3" t="inlineStr">
        <is>
          <t>00, 01, 05, 06, 10, 14, 15, 19, 23, 24, 28, 29, 32, 33, 37, 38, 41, 42, 46, 47, 50, 51, 55, 56, 60, 64, 65, 69, 73, 74, 78, 79, 82, 83, 87, 88, 91, 92, 96, 97 (40 số)</t>
        </is>
      </c>
      <c r="J94" s="3" t="inlineStr">
        <is>
          <t>00, 01, 05, 06, 10, 14, 15, 19, 23, 24, 28, 29, 32, 33, 37, 38, 41, 42, 46, 47 (20 số)</t>
        </is>
      </c>
      <c r="K94" s="3" t="inlineStr">
        <is>
          <t>00, 01, 05, 06, 10, 14, 15, 19, 23, 24, 28, 29, 32, 33, 37, 38, 41, 42, 46, 47 (20 số)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3" t="inlineStr">
        <is>
          <t>---</t>
        </is>
      </c>
      <c r="G95" s="7" t="inlineStr">
        <is>
          <t>10, 72 (TRƯỢT ❌)</t>
        </is>
      </c>
      <c r="H95" s="7" t="inlineStr">
        <is>
          <t>TRƯỢT KHUNG ❌</t>
        </is>
      </c>
      <c r="I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95" s="3" t="inlineStr">
        <is>
          <t>01, 03, 04, 06, 08, 09, 10, 12, 15, 17, 18, 21, 22, 24, 26, 27, 29, 30, 31, 33, 35, 38, 40, 42, 44, 45, 47, 49 (28 số)</t>
        </is>
      </c>
      <c r="K95" s="3" t="inlineStr">
        <is>
          <t>01, 03, 04, 06, 08, 09, 10, 12, 15, 17, 18, 21, 22, 24, 26, 27, 29, 30, 31, 33, 35, 38, 40, 42, 44, 45, 47, 49 (28 số)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3" t="inlineStr">
        <is>
          <t>---</t>
        </is>
      </c>
      <c r="G96" s="7" t="inlineStr">
        <is>
          <t>00, 26 (TRƯỢT ❌)</t>
        </is>
      </c>
      <c r="H96" s="7" t="inlineStr">
        <is>
          <t>TRƯỢT KHUNG ❌</t>
        </is>
      </c>
      <c r="I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6" s="3" t="inlineStr">
        <is>
          <t>50, 51, 53, 55, 56, 58, 60, 62, 64, 65, 67, 69, 71, 73, 74, 76, 78, 79, 80, 82, 83, 85, 87, 88, 92, 94, 97, 99 (28 số)</t>
        </is>
      </c>
      <c r="K96" s="3" t="inlineStr">
        <is>
          <t>50, 51, 53, 55, 56, 58, 60, 62, 64, 65, 67, 69, 71, 73, 74, 76, 78, 79, 80, 82, 83, 85, 87, 88, 92, 94, 97, 99 (28 số)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(Không)</t>
        </is>
      </c>
      <c r="D97" s="3" t="inlineStr">
        <is>
          <t>04 (Không)</t>
        </is>
      </c>
      <c r="E97" s="3" t="inlineStr">
        <is>
          <t>00 (Không)</t>
        </is>
      </c>
      <c r="F97" s="3" t="inlineStr">
        <is>
          <t>---</t>
        </is>
      </c>
      <c r="G97" s="7" t="inlineStr">
        <is>
          <t>32, 41 (TRƯỢT ❌)</t>
        </is>
      </c>
      <c r="H97" s="7" t="inlineStr">
        <is>
          <t>TRƯỢT KHUNG ❌</t>
        </is>
      </c>
      <c r="I97" s="3" t="inlineStr">
        <is>
          <t>00, 04, 05, 09, 13, 14, 18, 19, 22, 23, 27, 28, 31, 32, 36, 37, 40, 41, 45, 46, 50, 54, 55, 59, 63, 64, 68, 69, 72, 73, 77, 78, 81, 82, 86, 87, 90, 91, 95, 96 (40 số)</t>
        </is>
      </c>
      <c r="J97" s="3" t="inlineStr">
        <is>
          <t>50, 54, 55, 59, 63, 64, 68, 69, 72, 73, 77, 78, 81, 82, 86, 87, 90, 91, 95, 96 (20 số)</t>
        </is>
      </c>
      <c r="K97" s="3" t="inlineStr">
        <is>
          <t>50, 54, 55, 59, 63, 64, 68, 69, 72, 73, 77, 78, 81, 82, 86, 87, 90, 91, 95, 96 (20 số)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(Không)</t>
        </is>
      </c>
      <c r="F98" s="3" t="inlineStr">
        <is>
          <t>---</t>
        </is>
      </c>
      <c r="G98" s="7" t="inlineStr">
        <is>
          <t>07, 20 (TRƯỢT ❌)</t>
        </is>
      </c>
      <c r="H98" s="7" t="inlineStr">
        <is>
          <t>TRƯỢT KHUNG ❌</t>
        </is>
      </c>
      <c r="I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8" s="3" t="inlineStr">
        <is>
          <t>50, 51, 52, 55, 56, 57, 60, 61, 64, 65, 66, 69, 73, 74, 78, 79, 82, 83, 84, 87, 88, 89, 91, 92, 93, 96, 97, 98 (28 số)</t>
        </is>
      </c>
      <c r="K98" s="3" t="inlineStr">
        <is>
          <t>50, 51, 52, 55, 56, 57, 60, 61, 64, 65, 66, 69, 73, 74, 78, 79, 82, 83, 84, 87, 88, 89, 91, 92, 93, 96, 97, 98 (28 số)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3" t="inlineStr">
        <is>
          <t>---</t>
        </is>
      </c>
      <c r="G99" s="7" t="inlineStr">
        <is>
          <t>16, 57 (TRƯỢT ❌)</t>
        </is>
      </c>
      <c r="H99" s="7" t="inlineStr">
        <is>
          <t>TRƯỢT KHUNG ❌</t>
        </is>
      </c>
      <c r="I99" s="3" t="inlineStr">
        <is>
          <t>02, 03, 07, 08, 11, 12, 16, 17, 20, 21, 25, 26, 30, 34, 35, 39, 43, 44, 48, 49, 52, 53, 57, 58, 61, 62, 66, 67, 70, 71, 75, 76, 80, 84, 85, 89, 93, 94, 98, 99 (40 số)</t>
        </is>
      </c>
      <c r="J99" s="3" t="inlineStr">
        <is>
          <t>52, 53, 57, 58, 61, 62, 66, 67, 70, 71, 75, 76, 80, 84, 85, 89, 93, 94, 98, 99 (20 số)</t>
        </is>
      </c>
      <c r="K99" s="3" t="inlineStr">
        <is>
          <t>52, 53, 57, 58, 61, 62, 66, 67, 70, 71, 75, 76, 80, 84, 85, 89, 93, 94, 98, 99 (20 số)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3" t="inlineStr">
        <is>
          <t>---</t>
        </is>
      </c>
      <c r="G100" s="7" t="inlineStr">
        <is>
          <t>68, 77 (TRƯỢT ❌)</t>
        </is>
      </c>
      <c r="H100" s="6" t="inlineStr">
        <is>
          <t>TRÚNG N2 (Siêu Lọc 🎯)</t>
        </is>
      </c>
      <c r="I100" s="3" t="inlineStr">
        <is>
          <t>04, 09, 13, 18, 22, 27, 31, 36, 40, 45, 54, 59, 63, 68, 72, 77, 81, 86, 90, 95 (20 số)</t>
        </is>
      </c>
      <c r="J100" s="3" t="inlineStr">
        <is>
          <t>54, 59, 63, 68, 72, 77, 81, 86, 90, 95 (10 số)</t>
        </is>
      </c>
      <c r="K100" s="3" t="inlineStr">
        <is>
          <t>54, 59, 63, 68, 72, 77, 81, 86, 90, 95 (10 số)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(Trúng)</t>
        </is>
      </c>
      <c r="E101" s="3" t="inlineStr">
        <is>
          <t>35 (Không)</t>
        </is>
      </c>
      <c r="F101" s="3" t="inlineStr">
        <is>
          <t>---</t>
        </is>
      </c>
      <c r="G101" s="7" t="inlineStr">
        <is>
          <t>02, 10 (TRƯỢT ❌)</t>
        </is>
      </c>
      <c r="H101" s="6" t="inlineStr">
        <is>
          <t>TRÚNG N2 (Siêu Lọc 🎯)</t>
        </is>
      </c>
      <c r="I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01" s="3" t="inlineStr">
        <is>
          <t>01, 02, 05, 06, 07, 10, 11, 14, 15, 19, 20, 23, 24, 25, 28, 29, 32, 33, 34, 37, 38, 39, 41, 42, 43, 46, 47, 48 (28 số)</t>
        </is>
      </c>
      <c r="K101" s="3" t="inlineStr">
        <is>
          <t>01, 02, 05, 06, 07, 10, 11, 14, 15, 19, 20, 23, 24, 25, 28, 29, 32, 33, 34, 37, 38, 39, 41, 42, 43, 46, 47, 48 (28 số)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(Không)</t>
        </is>
      </c>
      <c r="E102" s="3" t="inlineStr">
        <is>
          <t>55 (Không)</t>
        </is>
      </c>
      <c r="F102" s="3" t="inlineStr">
        <is>
          <t>---</t>
        </is>
      </c>
      <c r="G102" s="7" t="inlineStr">
        <is>
          <t>13, 22 (TRƯỢT ❌)</t>
        </is>
      </c>
      <c r="H102" s="7" t="inlineStr">
        <is>
          <t>TRƯỢT KHUNG ❌</t>
        </is>
      </c>
      <c r="I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02" s="3" t="inlineStr">
        <is>
          <t>52, 53, 54, 57, 58, 59, 61, 62, 63, 66, 67, 68, 71, 72, 76, 77, 80, 81, 84, 85, 86, 89, 90, 93, 94, 95, 98, 99 (28 số)</t>
        </is>
      </c>
      <c r="K102" s="3" t="inlineStr">
        <is>
          <t>52, 53, 54, 57, 58, 59, 61, 62, 63, 66, 67, 68, 71, 72, 76, 77, 80, 81, 84, 85, 86, 89, 90, 93, 94, 95, 98, 99 (28 số)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(Không)</t>
        </is>
      </c>
      <c r="F103" s="3" t="inlineStr">
        <is>
          <t>---</t>
        </is>
      </c>
      <c r="G103" s="7" t="inlineStr">
        <is>
          <t>59, 65 (TRƯỢT ❌)</t>
        </is>
      </c>
      <c r="H103" s="7" t="inlineStr">
        <is>
          <t>TRƯỢT KHUNG ❌</t>
        </is>
      </c>
      <c r="I103" s="3" t="inlineStr">
        <is>
          <t>01, 04, 06, 09, 10, 13, 15, 18, 22, 24, 27, 29, 31, 33, 36, 38, 40, 42, 45, 47, 51, 54, 56, 59, 60, 63, 65, 68, 72, 74, 77, 79, 81, 83, 86, 88, 90, 92, 95, 97 (40 số)</t>
        </is>
      </c>
      <c r="J103" s="3" t="inlineStr">
        <is>
          <t>51, 54, 56, 59, 60, 63, 65, 68, 72, 74, 77, 79, 81, 83, 86, 88, 90, 92, 95, 97 (20 số)</t>
        </is>
      </c>
      <c r="K103" s="3" t="inlineStr">
        <is>
          <t>51, 54, 56, 59, 60, 63, 65, 68, 72, 74, 77, 79, 81, 83, 86, 88, 90, 92, 95, 97 (20 số)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3" t="inlineStr">
        <is>
          <t>---</t>
        </is>
      </c>
      <c r="G104" s="7" t="inlineStr">
        <is>
          <t>18, 33 (TRƯỢT ❌)</t>
        </is>
      </c>
      <c r="H104" s="6" t="inlineStr">
        <is>
          <t>TRÚNG N1 🎯</t>
        </is>
      </c>
      <c r="I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4" s="3" t="inlineStr">
        <is>
          <t>01, 04, 06, 09, 10, 13, 14, 15, 18, 19, 22, 23, 24, 27, 28, 29, 31, 32, 33, 36, 37, 38, 40, 41, 42, 45, 46, 47 (28 số)</t>
        </is>
      </c>
      <c r="K104" s="3" t="inlineStr">
        <is>
          <t>01, 04, 06, 09, 10, 13, 14, 15, 18, 19, 22, 23, 24, 27, 28, 29, 31, 32, 33, 36, 37, 38, 40, 41, 42, 45, 46, 47 (28 số)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3" t="inlineStr">
        <is>
          <t>---</t>
        </is>
      </c>
      <c r="G105" s="7" t="inlineStr">
        <is>
          <t>13, 27 (TRƯỢT ❌)</t>
        </is>
      </c>
      <c r="H105" s="7" t="inlineStr">
        <is>
          <t>TRƯỢT KHUNG ❌</t>
        </is>
      </c>
      <c r="I105" s="3" t="inlineStr">
        <is>
          <t>03, 04, 08, 09, 12, 13, 17, 18, 21, 22, 26, 27, 30, 31, 35, 36, 40, 44, 45, 49, 53, 54, 58, 59, 62, 63, 67, 68, 71, 72, 76, 77, 80, 81, 85, 86, 90, 94, 95, 99 (40 số)</t>
        </is>
      </c>
      <c r="J105" s="3" t="inlineStr">
        <is>
          <t>53, 54, 58, 59, 62, 63, 67, 68, 71, 72, 76, 77, 80, 81, 85, 86, 90, 94, 95, 99 (20 số)</t>
        </is>
      </c>
      <c r="K105" s="3" t="inlineStr">
        <is>
          <t>53, 54, 58, 59, 62, 63, 67, 68, 71, 72, 76, 77, 80, 81, 85, 86, 90, 94, 95, 99 (20 số)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(Trúng)</t>
        </is>
      </c>
      <c r="E106" s="3" t="inlineStr">
        <is>
          <t>76 (Không)</t>
        </is>
      </c>
      <c r="F106" s="3" t="inlineStr">
        <is>
          <t>---</t>
        </is>
      </c>
      <c r="G106" s="7" t="inlineStr">
        <is>
          <t>59, 74 (TRƯỢT ❌)</t>
        </is>
      </c>
      <c r="H106" s="6" t="inlineStr">
        <is>
          <t>TRÚNG N2 (Siêu Lọc 🎯)</t>
        </is>
      </c>
      <c r="I106" s="3" t="inlineStr">
        <is>
          <t>01, 04, 06, 09, 10, 13, 15, 18, 22, 24, 27, 29, 31, 33, 36, 38, 40, 42, 45, 47, 51, 54, 56, 59, 60, 63, 65, 68, 72, 74, 77, 79, 81, 83, 86, 88, 90, 92, 95, 97 (40 số)</t>
        </is>
      </c>
      <c r="J106" s="3" t="inlineStr">
        <is>
          <t>51, 54, 56, 59, 60, 63, 65, 68, 72, 74, 77, 79, 81, 83, 86, 88, 90, 92, 95, 97 (20 số)</t>
        </is>
      </c>
      <c r="K106" s="3" t="inlineStr">
        <is>
          <t>51, 54, 56, 59, 60, 63, 65, 68, 72, 74, 77, 79, 81, 83, 86, 88, 90, 92, 95, 97 (20 số)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(Không)</t>
        </is>
      </c>
      <c r="E107" s="3" t="inlineStr">
        <is>
          <t>48 (Không)</t>
        </is>
      </c>
      <c r="F107" s="3" t="inlineStr">
        <is>
          <t>---</t>
        </is>
      </c>
      <c r="G107" s="7" t="inlineStr">
        <is>
          <t>08, 82 (TRƯỢT ❌)</t>
        </is>
      </c>
      <c r="H107" s="7" t="inlineStr">
        <is>
          <t>TRƯỢT KHUNG ❌</t>
        </is>
      </c>
      <c r="I107" s="3" t="inlineStr">
        <is>
          <t>00, 03, 05, 08, 12, 14, 17, 19, 21, 23, 26, 28, 30, 32, 35, 37, 41, 44, 46, 49, 50, 53, 55, 58, 62, 64, 67, 69, 71, 73, 76, 78, 80, 82, 85, 87, 91, 94, 96, 99 (40 số)</t>
        </is>
      </c>
      <c r="J107" s="3" t="inlineStr">
        <is>
          <t>00, 03, 05, 08, 12, 14, 17, 19, 21, 23, 26, 28, 30, 32, 35, 37, 41, 44, 46, 49 (20 số)</t>
        </is>
      </c>
      <c r="K107" s="3" t="inlineStr">
        <is>
          <t>00, 03, 05, 08, 12, 14, 17, 19, 21, 23, 26, 28, 30, 32, 35, 37, 41, 44, 46, 49 (20 số)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3" t="inlineStr">
        <is>
          <t>---</t>
        </is>
      </c>
      <c r="G108" s="7" t="inlineStr">
        <is>
          <t>06, 34 (TRƯỢT ❌)</t>
        </is>
      </c>
      <c r="H108" s="6" t="inlineStr">
        <is>
          <t>TRÚNG N2 (Siêu Lọc 🎯)</t>
        </is>
      </c>
      <c r="I108" s="3" t="inlineStr">
        <is>
          <t>01, 02, 06, 07, 10, 11, 15, 16, 20, 24, 25, 29, 33, 34, 38, 39, 42, 43, 47, 48, 51, 52, 56, 57, 60, 61, 65, 66, 70, 74, 75, 79, 83, 84, 88, 89, 92, 93, 97, 98 (40 số)</t>
        </is>
      </c>
      <c r="J108" s="3" t="inlineStr">
        <is>
          <t>01, 02, 06, 07, 10, 11, 15, 16, 20, 24, 25, 29, 33, 34, 38, 39, 42, 43, 47, 48 (20 số)</t>
        </is>
      </c>
      <c r="K108" s="3" t="inlineStr">
        <is>
          <t>01, 02, 06, 07, 10, 11, 15, 16, 20, 24, 25, 29, 33, 34, 38, 39, 42, 43, 47, 48 (20 số)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3" t="inlineStr">
        <is>
          <t>---</t>
        </is>
      </c>
      <c r="G109" s="7" t="inlineStr">
        <is>
          <t>09, 13 (TRƯỢT ❌)</t>
        </is>
      </c>
      <c r="H109" s="7" t="inlineStr">
        <is>
          <t>TRƯỢT KHUNG ❌</t>
        </is>
      </c>
      <c r="I109" s="3" t="inlineStr">
        <is>
          <t>04, 09, 13, 18, 22, 27, 31, 36, 40, 45, 54, 59, 63, 68, 72, 77, 81, 86, 90, 95 (20 số)</t>
        </is>
      </c>
      <c r="J109" s="3" t="inlineStr">
        <is>
          <t>54, 59, 63, 68, 72, 77, 81, 86, 90, 95 (10 số)</t>
        </is>
      </c>
      <c r="K109" s="3" t="inlineStr">
        <is>
          <t>54, 59, 63, 68, 72, 77, 81, 86, 90, 95 (10 số)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3" t="inlineStr">
        <is>
          <t>---</t>
        </is>
      </c>
      <c r="G110" s="7" t="inlineStr">
        <is>
          <t>48, 52 (TRƯỢT ❌)</t>
        </is>
      </c>
      <c r="H110" s="6" t="inlineStr">
        <is>
          <t>TRÚNG N1 🎯</t>
        </is>
      </c>
      <c r="I11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10" s="3" t="inlineStr">
        <is>
          <t>50, 52, 54, 55, 57, 59, 61, 63, 64, 66, 68, 69, 72, 73, 77, 78, 81, 82, 84, 86, 87, 89, 90, 91, 93, 95, 96, 98 (28 số)</t>
        </is>
      </c>
      <c r="K110" s="3" t="inlineStr">
        <is>
          <t>50, 52, 54, 55, 57, 59, 61, 63, 64, 66, 68, 69, 72, 73, 77, 78, 81, 82, 84, 86, 87, 89, 90, 91, 93, 95, 96, 98 (28 số)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(Trúng)</t>
        </is>
      </c>
      <c r="D111" s="3" t="inlineStr">
        <is>
          <t>17 (Trúng)</t>
        </is>
      </c>
      <c r="E111" s="3" t="inlineStr">
        <is>
          <t>28 (Không)</t>
        </is>
      </c>
      <c r="F111" s="3" t="inlineStr">
        <is>
          <t>---</t>
        </is>
      </c>
      <c r="G111" s="7" t="inlineStr">
        <is>
          <t>22, 63 (TRƯỢT ❌)</t>
        </is>
      </c>
      <c r="H111" s="6" t="inlineStr">
        <is>
          <t>TRÚNG N1 🎯</t>
        </is>
      </c>
      <c r="I111" s="3" t="inlineStr">
        <is>
          <t>03, 04, 08, 09, 12, 13, 17, 18, 21, 22, 26, 27, 30, 31, 35, 36, 40, 44, 45, 49, 53, 54, 58, 59, 62, 63, 67, 68, 71, 72, 76, 77, 80, 81, 85, 86, 90, 94, 95, 99 (40 số)</t>
        </is>
      </c>
      <c r="J111" s="3" t="inlineStr">
        <is>
          <t>03, 04, 08, 09, 12, 13, 17, 18, 21, 22, 26, 27, 30, 31, 35, 36, 40, 44, 45, 49 (20 số)</t>
        </is>
      </c>
      <c r="K111" s="3" t="inlineStr">
        <is>
          <t>03, 04, 08, 09, 12, 13, 17, 18, 21, 22, 26, 27, 30, 31, 35, 36, 40, 44, 45, 49 (20 số)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(Không)</t>
        </is>
      </c>
      <c r="E112" s="3" t="inlineStr">
        <is>
          <t>59 (Không)</t>
        </is>
      </c>
      <c r="F112" s="3" t="inlineStr">
        <is>
          <t>---</t>
        </is>
      </c>
      <c r="G112" s="7" t="inlineStr">
        <is>
          <t>05, 11 (TRƯỢT ❌)</t>
        </is>
      </c>
      <c r="H112" s="7" t="inlineStr">
        <is>
          <t>TRƯỢT KHUNG ❌</t>
        </is>
      </c>
      <c r="I112" s="3" t="inlineStr">
        <is>
          <t>00, 02, 05, 07, 11, 14, 16, 19, 20, 23, 25, 28, 32, 34, 37, 39, 41, 43, 46, 48, 50, 52, 55, 57, 61, 64, 66, 69, 70, 73, 75, 78, 82, 84, 87, 89, 91, 93, 96, 98 (40 số)</t>
        </is>
      </c>
      <c r="J112" s="3" t="inlineStr">
        <is>
          <t>50, 52, 55, 57, 61, 64, 66, 69, 70, 73, 75, 78, 82, 84, 87, 89, 91, 93, 96, 98 (20 số)</t>
        </is>
      </c>
      <c r="K112" s="3" t="inlineStr">
        <is>
          <t>50, 52, 55, 57, 61, 64, 66, 69, 70, 73, 75, 78, 82, 84, 87, 89, 91, 93, 96, 98 (20 số)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3" t="inlineStr">
        <is>
          <t>---</t>
        </is>
      </c>
      <c r="G113" s="7" t="inlineStr">
        <is>
          <t>17, 27 (TRƯỢT ❌)</t>
        </is>
      </c>
      <c r="H113" s="6" t="inlineStr">
        <is>
          <t>TRÚNG N2 (Siêu Lọc 🎯)</t>
        </is>
      </c>
      <c r="I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3" s="3" t="inlineStr">
        <is>
          <t>52, 53, 54, 57, 58, 59, 61, 62, 63, 66, 67, 68, 71, 72, 76, 77, 80, 81, 84, 85, 86, 89, 90, 93, 94, 95, 98, 99 (28 số)</t>
        </is>
      </c>
      <c r="K113" s="3" t="inlineStr">
        <is>
          <t>52, 53, 54, 57, 58, 59, 61, 62, 63, 66, 67, 68, 71, 72, 76, 77, 80, 81, 84, 85, 86, 89, 90, 93, 94, 95, 98, 99 (28 số)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(Không)</t>
        </is>
      </c>
      <c r="E114" s="3" t="inlineStr">
        <is>
          <t>69 (Không)</t>
        </is>
      </c>
      <c r="F114" s="3" t="inlineStr">
        <is>
          <t>---</t>
        </is>
      </c>
      <c r="G114" s="7" t="inlineStr">
        <is>
          <t>05, 28 (TRƯỢT ❌)</t>
        </is>
      </c>
      <c r="H114" s="6" t="inlineStr">
        <is>
          <t>TRÚNG N1 🎯</t>
        </is>
      </c>
      <c r="I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4" s="3" t="inlineStr">
        <is>
          <t>03, 04, 08, 09, 12, 13, 14, 17, 18, 19, 21, 22, 23, 26, 27, 28, 30, 31, 32, 35, 36, 37, 40, 41, 44, 45, 46, 49 (28 số)</t>
        </is>
      </c>
      <c r="K114" s="3" t="inlineStr">
        <is>
          <t>03, 04, 08, 09, 12, 13, 14, 17, 18, 19, 21, 22, 23, 26, 27, 28, 30, 31, 32, 35, 36, 37, 40, 41, 44, 45, 46, 49 (28 số)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(Không)</t>
        </is>
      </c>
      <c r="E115" s="3" t="inlineStr">
        <is>
          <t>75 (Không)</t>
        </is>
      </c>
      <c r="F115" s="3" t="inlineStr">
        <is>
          <t>---</t>
        </is>
      </c>
      <c r="G115" s="7" t="inlineStr">
        <is>
          <t>28, 34 (TRƯỢT ❌)</t>
        </is>
      </c>
      <c r="H115" s="7" t="inlineStr">
        <is>
          <t>TRƯỢT KHUNG ❌</t>
        </is>
      </c>
      <c r="I115" s="3" t="inlineStr">
        <is>
          <t>00, 02, 05, 07, 11, 14, 16, 19, 20, 23, 25, 28, 32, 34, 37, 39, 41, 43, 46, 48, 50, 52, 55, 57, 61, 64, 66, 69, 70, 73, 75, 78, 82, 84, 87, 89, 91, 93, 96, 98 (40 số)</t>
        </is>
      </c>
      <c r="J115" s="3" t="inlineStr">
        <is>
          <t>00, 02, 05, 07, 11, 14, 16, 19, 20, 23, 25, 28, 32, 34, 37, 39, 41, 43, 46, 48 (20 số)</t>
        </is>
      </c>
      <c r="K115" s="3" t="inlineStr">
        <is>
          <t>00, 02, 05, 07, 11, 14, 16, 19, 20, 23, 25, 28, 32, 34, 37, 39, 41, 43, 46, 48 (20 số)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3" t="inlineStr">
        <is>
          <t>---</t>
        </is>
      </c>
      <c r="G116" s="7" t="inlineStr">
        <is>
          <t>04, 54 (TRƯỢT ❌)</t>
        </is>
      </c>
      <c r="H116" s="6" t="inlineStr">
        <is>
          <t>TRÚNG N1 🎯</t>
        </is>
      </c>
      <c r="I116" s="3" t="inlineStr">
        <is>
          <t>00, 04, 05, 09, 13, 14, 18, 19, 22, 23, 27, 28, 31, 32, 36, 37, 40, 41, 45, 46, 50, 54, 55, 59, 63, 64, 68, 69, 72, 73, 77, 78, 81, 82, 86, 87, 90, 91, 95, 96 (40 số)</t>
        </is>
      </c>
      <c r="J116" s="3" t="inlineStr">
        <is>
          <t>00, 04, 05, 09, 13, 14, 18, 19, 22, 23, 27, 28, 31, 32, 36, 37, 40, 41, 45, 46 (20 số)</t>
        </is>
      </c>
      <c r="K116" s="3" t="inlineStr">
        <is>
          <t>00, 04, 05, 09, 13, 14, 18, 19, 22, 23, 27, 28, 31, 32, 36, 37, 40, 41, 45, 46 (20 số)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3" t="inlineStr">
        <is>
          <t>---</t>
        </is>
      </c>
      <c r="G117" s="7" t="inlineStr">
        <is>
          <t>18, 46 (TRƯỢT ❌)</t>
        </is>
      </c>
      <c r="H117" s="6" t="inlineStr">
        <is>
          <t>TRÚNG N2 (Siêu Lọc 🎯)</t>
        </is>
      </c>
      <c r="I117" s="3" t="inlineStr">
        <is>
          <t>00, 04, 05, 09, 13, 14, 18, 19, 22, 23, 27, 28, 31, 32, 36, 37, 40, 41, 45, 46, 50, 54, 55, 59, 63, 64, 68, 69, 72, 73, 77, 78, 81, 82, 86, 87, 90, 91, 95, 96 (40 số)</t>
        </is>
      </c>
      <c r="J117" s="3" t="inlineStr">
        <is>
          <t>00, 04, 05, 09, 13, 14, 18, 19, 22, 23, 27, 28, 31, 32, 36, 37, 40, 41, 45, 46 (20 số)</t>
        </is>
      </c>
      <c r="K117" s="3" t="inlineStr">
        <is>
          <t>00, 04, 05, 09, 13, 14, 18, 19, 22, 23, 27, 28, 31, 32, 36, 37, 40, 41, 45, 46 (20 số)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(Trúng)</t>
        </is>
      </c>
      <c r="D118" s="3" t="inlineStr">
        <is>
          <t>32 (Không)</t>
        </is>
      </c>
      <c r="E118" s="3" t="inlineStr">
        <is>
          <t>64 (Trúng)</t>
        </is>
      </c>
      <c r="F118" s="3" t="inlineStr">
        <is>
          <t>---</t>
        </is>
      </c>
      <c r="G118" s="7" t="inlineStr">
        <is>
          <t>19, 30 (TRƯỢT ❌)</t>
        </is>
      </c>
      <c r="H118" s="6" t="inlineStr">
        <is>
          <t>TRÚNG N1 🎯</t>
        </is>
      </c>
      <c r="I1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18" s="3" t="inlineStr">
        <is>
          <t>50, 52, 53, 55, 57, 58, 61, 62, 64, 66, 67, 69, 71, 73, 76, 78, 80, 82, 84, 85, 87, 89, 91, 93, 94, 96, 98, 99 (28 số)</t>
        </is>
      </c>
      <c r="K118" s="3" t="inlineStr">
        <is>
          <t>50, 52, 53, 55, 57, 58, 61, 62, 64, 66, 67, 69, 71, 73, 76, 78, 80, 82, 84, 85, 87, 89, 91, 93, 94, 96, 98, 99 (28 số)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(Không)</t>
        </is>
      </c>
      <c r="D119" s="3" t="inlineStr">
        <is>
          <t>64 (Không)</t>
        </is>
      </c>
      <c r="E119" s="3" t="inlineStr">
        <is>
          <t>51 (Trúng)</t>
        </is>
      </c>
      <c r="F119" s="3" t="inlineStr">
        <is>
          <t>---</t>
        </is>
      </c>
      <c r="G119" s="7" t="inlineStr">
        <is>
          <t>39, 48 (TRƯỢT ❌)</t>
        </is>
      </c>
      <c r="H119" s="6" t="inlineStr">
        <is>
          <t>TRÚNG N3 (Siêu Lọc 🎯)</t>
        </is>
      </c>
      <c r="I119" s="3" t="inlineStr">
        <is>
          <t>01, 02, 06, 07, 10, 11, 15, 16, 20, 24, 25, 29, 33, 34, 38, 39, 42, 43, 47, 48, 51, 52, 56, 57, 60, 61, 65, 66, 70, 74, 75, 79, 83, 84, 88, 89, 92, 93, 97, 98 (40 số)</t>
        </is>
      </c>
      <c r="J119" s="3" t="inlineStr">
        <is>
          <t>51, 52, 56, 57, 60, 61, 65, 66, 70, 74, 75, 79, 83, 84, 88, 89, 92, 93, 97, 98 (20 số)</t>
        </is>
      </c>
      <c r="K119" s="3" t="inlineStr">
        <is>
          <t>51, 52, 56, 57, 60, 61, 65, 66, 70, 74, 75, 79, 83, 84, 88, 89, 92, 93, 97, 98 (20 số)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(Trúng)</t>
        </is>
      </c>
      <c r="F120" s="3" t="inlineStr">
        <is>
          <t>---</t>
        </is>
      </c>
      <c r="G120" s="7" t="inlineStr">
        <is>
          <t>14, 32 (TRƯỢT ❌)</t>
        </is>
      </c>
      <c r="H120" s="6" t="inlineStr">
        <is>
          <t>TRÚNG N1 🎯</t>
        </is>
      </c>
      <c r="I120" s="3" t="inlineStr">
        <is>
          <t>00, 03, 05, 08, 12, 14, 17, 19, 21, 23, 26, 28, 30, 32, 35, 37, 41, 44, 46, 49, 50, 53, 55, 58, 62, 64, 67, 69, 71, 73, 76, 78, 80, 82, 85, 87, 91, 94, 96, 99 (40 số)</t>
        </is>
      </c>
      <c r="J120" s="3" t="inlineStr">
        <is>
          <t>00, 03, 05, 08, 12, 14, 17, 19, 21, 23, 26, 28, 30, 32, 35, 37, 41, 44, 46, 49 (20 số)</t>
        </is>
      </c>
      <c r="K120" s="3" t="inlineStr">
        <is>
          <t>00, 03, 05, 08, 12, 14, 17, 19, 21, 23, 26, 28, 30, 32, 35, 37, 41, 44, 46, 49 (20 số)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3" t="inlineStr">
        <is>
          <t>---</t>
        </is>
      </c>
      <c r="G121" s="7" t="inlineStr">
        <is>
          <t>24, 59 (TRƯỢT ❌)</t>
        </is>
      </c>
      <c r="H121" s="6" t="inlineStr">
        <is>
          <t>TRÚNG N1 🎯</t>
        </is>
      </c>
      <c r="I121" s="3" t="inlineStr">
        <is>
          <t>01, 04, 06, 09, 10, 13, 15, 18, 22, 24, 27, 29, 31, 33, 36, 38, 40, 42, 45, 47, 51, 54, 56, 59, 60, 63, 65, 68, 72, 74, 77, 79, 81, 83, 86, 88, 90, 92, 95, 97 (40 số)</t>
        </is>
      </c>
      <c r="J121" s="3" t="inlineStr">
        <is>
          <t>01, 04, 06, 09, 10, 13, 15, 18, 22, 24, 27, 29, 31, 33, 36, 38, 40, 42, 45, 47 (20 số)</t>
        </is>
      </c>
      <c r="K121" s="3" t="inlineStr">
        <is>
          <t>01, 04, 06, 09, 10, 13, 15, 18, 22, 24, 27, 29, 31, 33, 36, 38, 40, 42, 45, 47 (20 số)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(Không)</t>
        </is>
      </c>
      <c r="D122" s="3" t="inlineStr">
        <is>
          <t>41 (Không)</t>
        </is>
      </c>
      <c r="E122" s="3" t="inlineStr">
        <is>
          <t>40 (Không)</t>
        </is>
      </c>
      <c r="F122" s="3" t="inlineStr">
        <is>
          <t>---</t>
        </is>
      </c>
      <c r="G122" s="7" t="inlineStr">
        <is>
          <t>15, 51 (TRƯỢT ❌)</t>
        </is>
      </c>
      <c r="H122" s="7" t="inlineStr">
        <is>
          <t>TRƯỢT KHUNG ❌</t>
        </is>
      </c>
      <c r="I1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22" s="3" t="inlineStr">
        <is>
          <t>50, 51, 54, 55, 56, 59, 60, 63, 64, 65, 68, 69, 72, 73, 74, 77, 78, 79, 81, 82, 83, 86, 87, 88, 90, 92, 95, 97 (28 số)</t>
        </is>
      </c>
      <c r="K122" s="3" t="inlineStr">
        <is>
          <t>50, 51, 54, 55, 56, 59, 60, 63, 64, 65, 68, 69, 72, 73, 74, 77, 78, 79, 81, 82, 83, 86, 87, 88, 90, 92, 95, 97 (28 số)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(Không)</t>
        </is>
      </c>
      <c r="E123" s="3" t="inlineStr">
        <is>
          <t>47 (Không)</t>
        </is>
      </c>
      <c r="F123" s="3" t="inlineStr">
        <is>
          <t>---</t>
        </is>
      </c>
      <c r="G123" s="7" t="inlineStr">
        <is>
          <t>12, 31 (TRƯỢT ❌)</t>
        </is>
      </c>
      <c r="H123" s="6" t="inlineStr">
        <is>
          <t>TRÚNG N1 🎯</t>
        </is>
      </c>
      <c r="I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23" s="3" t="inlineStr">
        <is>
          <t>50, 53, 54, 55, 58, 59, 62, 63, 64, 67, 68, 69, 71, 72, 73, 76, 77, 78, 80, 81, 82, 85, 86, 87, 90, 94, 95, 99 (28 số)</t>
        </is>
      </c>
      <c r="K123" s="3" t="inlineStr">
        <is>
          <t>50, 53, 54, 55, 58, 59, 62, 63, 64, 67, 68, 69, 71, 72, 73, 76, 77, 78, 80, 81, 82, 85, 86, 87, 90, 94, 95, 99 (28 số)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(Không)</t>
        </is>
      </c>
      <c r="E124" s="3" t="inlineStr">
        <is>
          <t>92 (Trúng)</t>
        </is>
      </c>
      <c r="F124" s="3" t="inlineStr">
        <is>
          <t>---</t>
        </is>
      </c>
      <c r="G124" s="7" t="inlineStr">
        <is>
          <t>06, 41 (TRƯỢT ❌)</t>
        </is>
      </c>
      <c r="H124" s="6" t="inlineStr">
        <is>
          <t>TRÚNG N1 🎯</t>
        </is>
      </c>
      <c r="I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24" s="3" t="inlineStr">
        <is>
          <t>50, 51, 54, 55, 56, 59, 60, 63, 64, 65, 68, 69, 72, 73, 74, 77, 78, 79, 81, 82, 83, 86, 87, 88, 90, 92, 95, 97 (28 số)</t>
        </is>
      </c>
      <c r="K124" s="3" t="inlineStr">
        <is>
          <t>50, 51, 54, 55, 56, 59, 60, 63, 64, 65, 68, 69, 72, 73, 74, 77, 78, 79, 81, 82, 83, 86, 87, 88, 90, 92, 95, 97 (28 số)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(Trúng)</t>
        </is>
      </c>
      <c r="E125" s="3" t="inlineStr">
        <is>
          <t>23 (Không)</t>
        </is>
      </c>
      <c r="F125" s="3" t="inlineStr">
        <is>
          <t>---</t>
        </is>
      </c>
      <c r="G125" s="7" t="inlineStr">
        <is>
          <t>15, 40 (TRƯỢT ❌)</t>
        </is>
      </c>
      <c r="H125" s="6" t="inlineStr">
        <is>
          <t>TRÚNG N1 🎯</t>
        </is>
      </c>
      <c r="I125" s="3" t="inlineStr">
        <is>
          <t>01, 04, 06, 09, 10, 13, 15, 18, 22, 24, 27, 29, 31, 33, 36, 38, 40, 42, 45, 47, 51, 54, 56, 59, 60, 63, 65, 68, 72, 74, 77, 79, 81, 83, 86, 88, 90, 92, 95, 97 (40 số)</t>
        </is>
      </c>
      <c r="J125" s="3" t="inlineStr">
        <is>
          <t>51, 54, 56, 59, 60, 63, 65, 68, 72, 74, 77, 79, 81, 83, 86, 88, 90, 92, 95, 97 (20 số)</t>
        </is>
      </c>
      <c r="K125" s="3" t="inlineStr">
        <is>
          <t>51, 54, 56, 59, 60, 63, 65, 68, 72, 74, 77, 79, 81, 83, 86, 88, 90, 92, 95, 97 (20 số)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(Trúng)</t>
        </is>
      </c>
      <c r="D126" s="3" t="inlineStr">
        <is>
          <t>23 (Không)</t>
        </is>
      </c>
      <c r="E126" s="3" t="inlineStr">
        <is>
          <t>17 (Trúng)</t>
        </is>
      </c>
      <c r="F126" s="3" t="inlineStr">
        <is>
          <t>---</t>
        </is>
      </c>
      <c r="G126" s="7" t="inlineStr">
        <is>
          <t>25, 42 (TRƯỢT ❌)</t>
        </is>
      </c>
      <c r="H126" s="6" t="inlineStr">
        <is>
          <t>TRÚNG N1 🎯</t>
        </is>
      </c>
      <c r="I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6" s="3" t="inlineStr">
        <is>
          <t>01, 02, 03, 06, 07, 08, 10, 12, 15, 17, 20, 21, 24, 25, 26, 29, 30, 33, 34, 35, 38, 39, 42, 43, 44, 47, 48, 49 (28 số)</t>
        </is>
      </c>
      <c r="K126" s="3" t="inlineStr">
        <is>
          <t>01, 02, 03, 06, 07, 08, 10, 12, 15, 17, 20, 21, 24, 25, 26, 29, 30, 33, 34, 35, 38, 39, 42, 43, 44, 47, 48, 49 (28 số)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3" t="inlineStr">
        <is>
          <t>---</t>
        </is>
      </c>
      <c r="G127" s="7" t="inlineStr">
        <is>
          <t>05, 45 (TRƯỢT ❌)</t>
        </is>
      </c>
      <c r="H127" s="6" t="inlineStr">
        <is>
          <t>TRÚNG N1 🎯</t>
        </is>
      </c>
      <c r="I127" s="3" t="inlineStr">
        <is>
          <t>00, 04, 05, 09, 13, 14, 18, 19, 22, 23, 27, 28, 31, 32, 36, 37, 40, 41, 45, 46, 50, 54, 55, 59, 63, 64, 68, 69, 72, 73, 77, 78, 81, 82, 86, 87, 90, 91, 95, 96 (40 số)</t>
        </is>
      </c>
      <c r="J127" s="3" t="inlineStr">
        <is>
          <t>50, 54, 55, 59, 63, 64, 68, 69, 72, 73, 77, 78, 81, 82, 86, 87, 90, 91, 95, 96 (20 số)</t>
        </is>
      </c>
      <c r="K127" s="3" t="inlineStr">
        <is>
          <t>50, 54, 55, 59, 63, 64, 68, 69, 72, 73, 77, 78, 81, 82, 86, 87, 90, 91, 95, 96 (20 số)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3" t="inlineStr">
        <is>
          <t>---</t>
        </is>
      </c>
      <c r="G128" s="6" t="inlineStr">
        <is>
          <t>15, 17 (TRÚNG 🎯)</t>
        </is>
      </c>
      <c r="H128" s="6" t="inlineStr">
        <is>
          <t>TRÚNG N1 🎯</t>
        </is>
      </c>
      <c r="I128" s="3" t="inlineStr">
        <is>
          <t>01, 03, 06, 08, 10, 12, 15, 17, 21, 24, 26, 29, 30, 33, 35, 38, 42, 44, 47, 49, 51, 53, 56, 58, 60, 62, 65, 67, 71, 74, 76, 79, 80, 83, 85, 88, 92, 94, 97, 99 (40 số)</t>
        </is>
      </c>
      <c r="J128" s="3" t="inlineStr">
        <is>
          <t>51, 53, 56, 58, 60, 62, 65, 67, 71, 74, 76, 79, 80, 83, 85, 88, 92, 94, 97, 99 (20 số)</t>
        </is>
      </c>
      <c r="K128" s="3" t="inlineStr">
        <is>
          <t>51, 53, 56, 58, 60, 62, 65, 67, 71, 74, 76, 79, 80, 83, 85, 88, 92, 94, 97, 99 (20 số)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(Không)</t>
        </is>
      </c>
      <c r="D129" s="3" t="inlineStr">
        <is>
          <t>38 (Không)</t>
        </is>
      </c>
      <c r="E129" s="3" t="inlineStr">
        <is>
          <t>69 (Không)</t>
        </is>
      </c>
      <c r="F129" s="3" t="inlineStr">
        <is>
          <t>---</t>
        </is>
      </c>
      <c r="G129" s="7" t="inlineStr">
        <is>
          <t>17, 18 (TRƯỢT ❌)</t>
        </is>
      </c>
      <c r="H129" s="7" t="inlineStr">
        <is>
          <t>TRƯỢT KHUNG ❌</t>
        </is>
      </c>
      <c r="I129" s="3" t="inlineStr">
        <is>
          <t>03, 04, 08, 09, 12, 13, 17, 18, 21, 22, 26, 27, 30, 31, 35, 36, 40, 44, 45, 49, 53, 54, 58, 59, 62, 63, 67, 68, 71, 72, 76, 77, 80, 81, 85, 86, 90, 94, 95, 99 (40 số)</t>
        </is>
      </c>
      <c r="J129" s="3" t="inlineStr">
        <is>
          <t>53, 54, 58, 59, 62, 63, 67, 68, 71, 72, 76, 77, 80, 81, 85, 86, 90, 94, 95, 99 (20 số)</t>
        </is>
      </c>
      <c r="K129" s="3" t="inlineStr">
        <is>
          <t>53, 54, 58, 59, 62, 63, 67, 68, 71, 72, 76, 77, 80, 81, 85, 86, 90, 94, 95, 99 (20 số)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(Trúng)</t>
        </is>
      </c>
      <c r="E130" s="3" t="inlineStr">
        <is>
          <t>94 (Không)</t>
        </is>
      </c>
      <c r="F130" s="3" t="inlineStr">
        <is>
          <t>---</t>
        </is>
      </c>
      <c r="G130" s="7" t="inlineStr">
        <is>
          <t>27, 31 (TRƯỢT ❌)</t>
        </is>
      </c>
      <c r="H130" s="6" t="inlineStr">
        <is>
          <t>TRÚNG N2 (Siêu Lọc 🎯)</t>
        </is>
      </c>
      <c r="I130" s="3" t="inlineStr">
        <is>
          <t>00, 04, 05, 09, 13, 14, 18, 19, 22, 23, 27, 28, 31, 32, 36, 37, 40, 41, 45, 46, 50, 54, 55, 59, 63, 64, 68, 69, 72, 73, 77, 78, 81, 82, 86, 87, 90, 91, 95, 96 (40 số)</t>
        </is>
      </c>
      <c r="J130" s="3" t="inlineStr">
        <is>
          <t>50, 54, 55, 59, 63, 64, 68, 69, 72, 73, 77, 78, 81, 82, 86, 87, 90, 91, 95, 96 (20 số)</t>
        </is>
      </c>
      <c r="K130" s="3" t="inlineStr">
        <is>
          <t>50, 54, 55, 59, 63, 64, 68, 69, 72, 73, 77, 78, 81, 82, 86, 87, 90, 91, 95, 96 (20 số)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(Không)</t>
        </is>
      </c>
      <c r="E131" s="3" t="inlineStr">
        <is>
          <t>04 (Trúng)</t>
        </is>
      </c>
      <c r="F131" s="3" t="inlineStr">
        <is>
          <t>---</t>
        </is>
      </c>
      <c r="G131" s="7" t="inlineStr">
        <is>
          <t>33, 38 (TRƯỢT ❌)</t>
        </is>
      </c>
      <c r="H131" s="6" t="inlineStr">
        <is>
          <t>TRÚNG N3 (Siêu Lọc 🎯)</t>
        </is>
      </c>
      <c r="I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1" s="3" t="inlineStr">
        <is>
          <t>01, 03, 04, 06, 08, 09, 10, 12, 15, 17, 18, 21, 22, 24, 26, 27, 29, 30, 31, 33, 35, 38, 40, 42, 44, 45, 47, 49 (28 số)</t>
        </is>
      </c>
      <c r="K131" s="3" t="inlineStr">
        <is>
          <t>01, 03, 04, 06, 08, 09, 10, 12, 15, 17, 18, 21, 22, 24, 26, 27, 29, 30, 31, 33, 35, 38, 40, 42, 44, 45, 47, 49 (28 số)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(Trúng)</t>
        </is>
      </c>
      <c r="D132" s="3" t="inlineStr">
        <is>
          <t>04 (Trúng)</t>
        </is>
      </c>
      <c r="E132" s="3" t="inlineStr">
        <is>
          <t>84 (Không)</t>
        </is>
      </c>
      <c r="F132" s="3" t="inlineStr">
        <is>
          <t>---</t>
        </is>
      </c>
      <c r="G132" s="6" t="inlineStr">
        <is>
          <t>04, 43 (TRÚNG 🎯)</t>
        </is>
      </c>
      <c r="H132" s="6" t="inlineStr">
        <is>
          <t>TRÚNG N1 🎯</t>
        </is>
      </c>
      <c r="I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32" s="3" t="inlineStr">
        <is>
          <t>02, 03, 04, 07, 08, 09, 12, 13, 17, 18, 20, 21, 22, 25, 26, 27, 30, 31, 34, 35, 36, 39, 40, 43, 44, 45, 48, 49 (28 số)</t>
        </is>
      </c>
      <c r="K132" s="3" t="inlineStr">
        <is>
          <t>02, 03, 04, 07, 08, 09, 12, 13, 17, 18, 20, 21, 22, 25, 26, 27, 30, 31, 34, 35, 36, 39, 40, 43, 44, 45, 48, 49 (28 số)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(Trúng)</t>
        </is>
      </c>
      <c r="D133" s="3" t="inlineStr">
        <is>
          <t>84 (Không)</t>
        </is>
      </c>
      <c r="E133" s="3" t="inlineStr">
        <is>
          <t>61 (Không)</t>
        </is>
      </c>
      <c r="F133" s="3" t="inlineStr">
        <is>
          <t>---</t>
        </is>
      </c>
      <c r="G133" s="7" t="inlineStr">
        <is>
          <t>09, 33 (TRƯỢT ❌)</t>
        </is>
      </c>
      <c r="H133" s="6" t="inlineStr">
        <is>
          <t>TRÚNG N1 🎯</t>
        </is>
      </c>
      <c r="I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3" s="3" t="inlineStr">
        <is>
          <t>51, 53, 54, 56, 58, 59, 60, 62, 63, 65, 67, 68, 71, 72, 74, 77, 79, 80, 81, 83, 85, 86, 88, 90, 92, 94, 97, 99 (28 số)</t>
        </is>
      </c>
      <c r="K133" s="3" t="inlineStr">
        <is>
          <t>51, 53, 54, 56, 58, 59, 60, 62, 63, 65, 67, 68, 71, 72, 74, 77, 79, 80, 81, 83, 85, 86, 88, 90, 92, 94, 97, 99 (28 số)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(Không)</t>
        </is>
      </c>
      <c r="E134" s="3" t="inlineStr">
        <is>
          <t>54 (Không)</t>
        </is>
      </c>
      <c r="F134" s="3" t="inlineStr">
        <is>
          <t>---</t>
        </is>
      </c>
      <c r="G134" s="7" t="inlineStr">
        <is>
          <t>04, 60 (TRƯỢT ❌)</t>
        </is>
      </c>
      <c r="H134" s="6" t="inlineStr">
        <is>
          <t>TRÚNG N1 🎯</t>
        </is>
      </c>
      <c r="I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4" s="3" t="inlineStr">
        <is>
          <t>01, 02, 04, 06, 07, 09, 10, 13, 15, 18, 20, 22, 24, 25, 27, 29, 31, 33, 34, 36, 38, 39, 40, 42, 43, 45, 47, 48 (28 số)</t>
        </is>
      </c>
      <c r="K134" s="3" t="inlineStr">
        <is>
          <t>01, 02, 04, 06, 07, 09, 10, 13, 15, 18, 20, 22, 24, 25, 27, 29, 31, 33, 34, 36, 38, 39, 40, 42, 43, 45, 47, 48 (28 số)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(Không)</t>
        </is>
      </c>
      <c r="D135" s="3" t="inlineStr">
        <is>
          <t>54 (Không)</t>
        </is>
      </c>
      <c r="E135" s="3" t="inlineStr">
        <is>
          <t>68 (Không)</t>
        </is>
      </c>
      <c r="F135" s="3" t="inlineStr">
        <is>
          <t>---</t>
        </is>
      </c>
      <c r="G135" s="7" t="inlineStr">
        <is>
          <t>09, 22 (TRƯỢT ❌)</t>
        </is>
      </c>
      <c r="H135" s="7" t="inlineStr">
        <is>
          <t>TRƯỢT KHUNG ❌</t>
        </is>
      </c>
      <c r="I135" s="3" t="inlineStr">
        <is>
          <t>01, 04, 06, 09, 10, 13, 15, 18, 22, 24, 27, 29, 31, 33, 36, 38, 40, 42, 45, 47, 51, 54, 56, 59, 60, 63, 65, 68, 72, 74, 77, 79, 81, 83, 86, 88, 90, 92, 95, 97 (40 số)</t>
        </is>
      </c>
      <c r="J135" s="3" t="inlineStr">
        <is>
          <t>01, 04, 06, 09, 10, 13, 15, 18, 22, 24, 27, 29, 31, 33, 36, 38, 40, 42, 45, 47 (20 số)</t>
        </is>
      </c>
      <c r="K135" s="3" t="inlineStr">
        <is>
          <t>01, 04, 06, 09, 10, 13, 15, 18, 22, 24, 27, 29, 31, 33, 36, 38, 40, 42, 45, 47 (20 số)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3" t="inlineStr">
        <is>
          <t>---</t>
        </is>
      </c>
      <c r="G136" s="7" t="inlineStr">
        <is>
          <t>11, 49 (TRƯỢT ❌)</t>
        </is>
      </c>
      <c r="H136" s="7" t="inlineStr">
        <is>
          <t>TRƯỢT KHUNG ❌</t>
        </is>
      </c>
      <c r="I136" s="3" t="inlineStr">
        <is>
          <t>02, 03, 07, 08, 11, 12, 16, 17, 20, 21, 25, 26, 30, 34, 35, 39, 43, 44, 48, 49, 52, 53, 57, 58, 61, 62, 66, 67, 70, 71, 75, 76, 80, 84, 85, 89, 93, 94, 98, 99 (40 số)</t>
        </is>
      </c>
      <c r="J136" s="3" t="inlineStr">
        <is>
          <t>02, 03, 07, 08, 11, 12, 16, 17, 20, 21, 25, 26, 30, 34, 35, 39, 43, 44, 48, 49 (20 số)</t>
        </is>
      </c>
      <c r="K136" s="3" t="inlineStr">
        <is>
          <t>02, 03, 07, 08, 11, 12, 16, 17, 20, 21, 25, 26, 30, 34, 35, 39, 43, 44, 48, 49 (20 số)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(Trúng)</t>
        </is>
      </c>
      <c r="D137" s="3" t="inlineStr">
        <is>
          <t>85 (Không)</t>
        </is>
      </c>
      <c r="E137" s="3" t="inlineStr">
        <is>
          <t>39 (Không)</t>
        </is>
      </c>
      <c r="F137" s="3" t="inlineStr">
        <is>
          <t>---</t>
        </is>
      </c>
      <c r="G137" s="7" t="inlineStr">
        <is>
          <t>17, 18 (TRƯỢT ❌)</t>
        </is>
      </c>
      <c r="H137" s="6" t="inlineStr">
        <is>
          <t>TRÚNG N1 🎯</t>
        </is>
      </c>
      <c r="I137" s="3" t="inlineStr">
        <is>
          <t>03, 04, 08, 09, 12, 13, 17, 18, 21, 22, 26, 27, 30, 31, 35, 36, 40, 44, 45, 49, 53, 54, 58, 59, 62, 63, 67, 68, 71, 72, 76, 77, 80, 81, 85, 86, 90, 94, 95, 99 (40 số)</t>
        </is>
      </c>
      <c r="J137" s="3" t="inlineStr">
        <is>
          <t>03, 04, 08, 09, 12, 13, 17, 18, 21, 22, 26, 27, 30, 31, 35, 36, 40, 44, 45, 49 (20 số)</t>
        </is>
      </c>
      <c r="K137" s="3" t="inlineStr">
        <is>
          <t>03, 04, 08, 09, 12, 13, 17, 18, 21, 22, 26, 27, 30, 31, 35, 36, 40, 44, 45, 49 (20 số)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(Trúng)</t>
        </is>
      </c>
      <c r="D138" s="3" t="inlineStr">
        <is>
          <t>39 (Trúng)</t>
        </is>
      </c>
      <c r="E138" s="3" t="inlineStr">
        <is>
          <t>21 (Trúng)</t>
        </is>
      </c>
      <c r="F138" s="3" t="inlineStr">
        <is>
          <t>---</t>
        </is>
      </c>
      <c r="G138" s="7" t="inlineStr">
        <is>
          <t>10, 11 (TRƯỢT ❌)</t>
        </is>
      </c>
      <c r="H138" s="6" t="inlineStr">
        <is>
          <t>TRÚNG N1 🎯</t>
        </is>
      </c>
      <c r="I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38" s="3" t="inlineStr">
        <is>
          <t>01, 02, 03, 06, 07, 08, 10, 12, 15, 17, 20, 21, 24, 25, 26, 29, 30, 33, 34, 35, 38, 39, 42, 43, 44, 47, 48, 49 (28 số)</t>
        </is>
      </c>
      <c r="K138" s="3" t="inlineStr">
        <is>
          <t>01, 02, 03, 06, 07, 08, 10, 12, 15, 17, 20, 21, 24, 25, 26, 29, 30, 33, 34, 35, 38, 39, 42, 43, 44, 47, 48, 49 (28 số)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(Không)</t>
        </is>
      </c>
      <c r="F139" s="3" t="inlineStr">
        <is>
          <t>---</t>
        </is>
      </c>
      <c r="G139" s="7" t="inlineStr">
        <is>
          <t>38, 54 (TRƯỢT ❌)</t>
        </is>
      </c>
      <c r="H139" s="7" t="inlineStr">
        <is>
          <t>TRƯỢT KHUNG ❌</t>
        </is>
      </c>
      <c r="I139" s="3" t="inlineStr">
        <is>
          <t>01, 04, 06, 09, 10, 13, 15, 18, 22, 24, 27, 29, 31, 33, 36, 38, 40, 42, 45, 47, 51, 54, 56, 59, 60, 63, 65, 68, 72, 74, 77, 79, 81, 83, 86, 88, 90, 92, 95, 97 (40 số)</t>
        </is>
      </c>
      <c r="J139" s="3" t="inlineStr">
        <is>
          <t>51, 54, 56, 59, 60, 63, 65, 68, 72, 74, 77, 79, 81, 83, 86, 88, 90, 92, 95, 97 (20 số)</t>
        </is>
      </c>
      <c r="K139" s="3" t="inlineStr">
        <is>
          <t>51, 54, 56, 59, 60, 63, 65, 68, 72, 74, 77, 79, 81, 83, 86, 88, 90, 92, 95, 97 (20 số)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(Trúng)</t>
        </is>
      </c>
      <c r="D140" s="3" t="inlineStr">
        <is>
          <t>04 (Không)</t>
        </is>
      </c>
      <c r="E140" s="3" t="inlineStr">
        <is>
          <t>81 (Không)</t>
        </is>
      </c>
      <c r="F140" s="3" t="inlineStr">
        <is>
          <t>---</t>
        </is>
      </c>
      <c r="G140" s="7" t="inlineStr">
        <is>
          <t>12, 39 (TRƯỢT ❌)</t>
        </is>
      </c>
      <c r="H140" s="6" t="inlineStr">
        <is>
          <t>TRÚNG N1 🎯</t>
        </is>
      </c>
      <c r="I1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40" s="3" t="inlineStr">
        <is>
          <t>50, 52, 53, 55, 57, 58, 61, 62, 64, 66, 67, 69, 71, 73, 76, 78, 80, 82, 84, 85, 87, 89, 91, 93, 94, 96, 98, 99 (28 số)</t>
        </is>
      </c>
      <c r="K140" s="3" t="inlineStr">
        <is>
          <t>50, 52, 53, 55, 57, 58, 61, 62, 64, 66, 67, 69, 71, 73, 76, 78, 80, 82, 84, 85, 87, 89, 91, 93, 94, 96, 98, 99 (28 số)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(Trúng)</t>
        </is>
      </c>
      <c r="D141" s="3" t="inlineStr">
        <is>
          <t>81 (Trúng)</t>
        </is>
      </c>
      <c r="E141" s="3" t="inlineStr">
        <is>
          <t>11 (Không)</t>
        </is>
      </c>
      <c r="F141" s="3" t="inlineStr">
        <is>
          <t>---</t>
        </is>
      </c>
      <c r="G141" s="7" t="inlineStr">
        <is>
          <t>21, 26 (TRƯỢT ❌)</t>
        </is>
      </c>
      <c r="H141" s="6" t="inlineStr">
        <is>
          <t>TRÚNG N1 🎯</t>
        </is>
      </c>
      <c r="I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1" s="3" t="inlineStr">
        <is>
          <t>52, 53, 54, 57, 58, 59, 61, 62, 63, 66, 67, 68, 71, 72, 76, 77, 80, 81, 84, 85, 86, 89, 90, 93, 94, 95, 98, 99 (28 số)</t>
        </is>
      </c>
      <c r="K141" s="3" t="inlineStr">
        <is>
          <t>52, 53, 54, 57, 58, 59, 61, 62, 63, 66, 67, 68, 71, 72, 76, 77, 80, 81, 84, 85, 86, 89, 90, 93, 94, 95, 98, 99 (28 số)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3" t="inlineStr">
        <is>
          <t>---</t>
        </is>
      </c>
      <c r="G142" s="7" t="inlineStr">
        <is>
          <t>06, 29 (TRƯỢT ❌)</t>
        </is>
      </c>
      <c r="H142" s="7" t="inlineStr">
        <is>
          <t>TRƯỢT KHUNG ❌</t>
        </is>
      </c>
      <c r="I142" s="3" t="inlineStr">
        <is>
          <t>01, 03, 06, 08, 10, 12, 15, 17, 21, 24, 26, 29, 30, 33, 35, 38, 42, 44, 47, 49, 51, 53, 56, 58, 60, 62, 65, 67, 71, 74, 76, 79, 80, 83, 85, 88, 92, 94, 97, 99 (40 số)</t>
        </is>
      </c>
      <c r="J142" s="3" t="inlineStr">
        <is>
          <t>01, 03, 06, 08, 10, 12, 15, 17, 21, 24, 26, 29, 30, 33, 35, 38, 42, 44, 47, 49 (20 số)</t>
        </is>
      </c>
      <c r="K142" s="3" t="inlineStr">
        <is>
          <t>01, 03, 06, 08, 10, 12, 15, 17, 21, 24, 26, 29, 30, 33, 35, 38, 42, 44, 47, 49 (20 số)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(Trúng)</t>
        </is>
      </c>
      <c r="D143" s="3" t="inlineStr">
        <is>
          <t>13 (Không)</t>
        </is>
      </c>
      <c r="E143" s="3" t="inlineStr">
        <is>
          <t>50 (Không)</t>
        </is>
      </c>
      <c r="F143" s="3" t="inlineStr">
        <is>
          <t>---</t>
        </is>
      </c>
      <c r="G143" s="7" t="inlineStr">
        <is>
          <t>43, 81 (TRƯỢT ❌)</t>
        </is>
      </c>
      <c r="H143" s="6" t="inlineStr">
        <is>
          <t>TRÚNG N1 🎯</t>
        </is>
      </c>
      <c r="I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3" s="3" t="inlineStr">
        <is>
          <t>51, 52, 54, 56, 57, 59, 60, 61, 63, 65, 66, 68, 72, 74, 77, 79, 81, 83, 84, 86, 88, 89, 90, 92, 93, 95, 97, 98 (28 số)</t>
        </is>
      </c>
      <c r="K143" s="3" t="inlineStr">
        <is>
          <t>51, 52, 54, 56, 57, 59, 60, 61, 63, 65, 66, 68, 72, 74, 77, 79, 81, 83, 84, 86, 88, 89, 90, 92, 93, 95, 97, 98 (28 số)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(Không)</t>
        </is>
      </c>
      <c r="D144" s="3" t="inlineStr">
        <is>
          <t>50 (Trúng)</t>
        </is>
      </c>
      <c r="E144" s="3" t="inlineStr">
        <is>
          <t>54 (Không)</t>
        </is>
      </c>
      <c r="F144" s="3" t="inlineStr">
        <is>
          <t>---</t>
        </is>
      </c>
      <c r="G144" s="7" t="inlineStr">
        <is>
          <t>11, 28 (TRƯỢT ❌)</t>
        </is>
      </c>
      <c r="H144" s="6" t="inlineStr">
        <is>
          <t>TRÚNG N2 (Siêu Lọc 🎯)</t>
        </is>
      </c>
      <c r="I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44" s="3" t="inlineStr">
        <is>
          <t>50, 51, 52, 55, 56, 57, 60, 61, 64, 65, 66, 69, 73, 74, 78, 79, 82, 83, 84, 87, 88, 89, 91, 92, 93, 96, 97, 98 (28 số)</t>
        </is>
      </c>
      <c r="K144" s="3" t="inlineStr">
        <is>
          <t>50, 51, 52, 55, 56, 57, 60, 61, 64, 65, 66, 69, 73, 74, 78, 79, 82, 83, 84, 87, 88, 89, 91, 92, 93, 96, 97, 98 (28 số)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(Không)</t>
        </is>
      </c>
      <c r="E145" s="3" t="inlineStr">
        <is>
          <t>43 (Trúng)</t>
        </is>
      </c>
      <c r="F145" s="3" t="inlineStr">
        <is>
          <t>---</t>
        </is>
      </c>
      <c r="G145" s="7" t="inlineStr">
        <is>
          <t>13, 16 (TRƯỢT ❌)</t>
        </is>
      </c>
      <c r="H145" s="6" t="inlineStr">
        <is>
          <t>TRÚNG N3 (Siêu Lọc 🎯)</t>
        </is>
      </c>
      <c r="I145" s="3" t="inlineStr">
        <is>
          <t>02, 04, 07, 09, 11, 13, 16, 18, 20, 22, 25, 27, 31, 34, 36, 39, 40, 43, 45, 48, 52, 54, 57, 59, 61, 63, 66, 68, 70, 72, 75, 77, 81, 84, 86, 89, 90, 93, 95, 98 (40 số)</t>
        </is>
      </c>
      <c r="J145" s="3" t="inlineStr">
        <is>
          <t>02, 04, 07, 09, 11, 13, 16, 18, 20, 22, 25, 27, 31, 34, 36, 39, 40, 43, 45, 48 (20 số)</t>
        </is>
      </c>
      <c r="K145" s="3" t="inlineStr">
        <is>
          <t>02, 04, 07, 09, 11, 13, 16, 18, 20, 22, 25, 27, 31, 34, 36, 39, 40, 43, 45, 48 (20 số)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(Trúng)</t>
        </is>
      </c>
      <c r="F146" s="3" t="inlineStr">
        <is>
          <t>---</t>
        </is>
      </c>
      <c r="G146" s="7" t="inlineStr">
        <is>
          <t>00, 16 (TRƯỢT ❌)</t>
        </is>
      </c>
      <c r="H146" s="6" t="inlineStr">
        <is>
          <t>TRÚNG N2 (Siêu Lọc 🎯)</t>
        </is>
      </c>
      <c r="I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46" s="3" t="inlineStr">
        <is>
          <t>01, 02, 05, 06, 07, 10, 11, 14, 15, 19, 20, 23, 24, 25, 28, 29, 32, 33, 34, 37, 38, 39, 41, 42, 43, 46, 47, 48 (28 số)</t>
        </is>
      </c>
      <c r="K146" s="3" t="inlineStr">
        <is>
          <t>01, 02, 05, 06, 07, 10, 11, 14, 15, 19, 20, 23, 24, 25, 28, 29, 32, 33, 34, 37, 38, 39, 41, 42, 43, 46, 47, 48 (28 số)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(Không)</t>
        </is>
      </c>
      <c r="E147" s="3" t="inlineStr">
        <is>
          <t>53 (Trúng)</t>
        </is>
      </c>
      <c r="F147" s="3" t="inlineStr">
        <is>
          <t>---</t>
        </is>
      </c>
      <c r="G147" s="7" t="inlineStr">
        <is>
          <t>16, 17 (TRƯỢT ❌)</t>
        </is>
      </c>
      <c r="H147" s="6" t="inlineStr">
        <is>
          <t>TRÚNG N1 🎯</t>
        </is>
      </c>
      <c r="I147" s="3" t="inlineStr">
        <is>
          <t>02, 03, 07, 08, 11, 12, 16, 17, 20, 21, 25, 26, 30, 34, 35, 39, 43, 44, 48, 49, 52, 53, 57, 58, 61, 62, 66, 67, 70, 71, 75, 76, 80, 84, 85, 89, 93, 94, 98, 99 (40 số)</t>
        </is>
      </c>
      <c r="J147" s="3" t="inlineStr">
        <is>
          <t>52, 53, 57, 58, 61, 62, 66, 67, 70, 71, 75, 76, 80, 84, 85, 89, 93, 94, 98, 99 (20 số)</t>
        </is>
      </c>
      <c r="K147" s="3" t="inlineStr">
        <is>
          <t>52, 53, 57, 58, 61, 62, 66, 67, 70, 71, 75, 76, 80, 84, 85, 89, 93, 94, 98, 99 (20 số)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(Không)</t>
        </is>
      </c>
      <c r="E148" s="3" t="inlineStr">
        <is>
          <t>23 (Không)</t>
        </is>
      </c>
      <c r="F148" s="3" t="inlineStr">
        <is>
          <t>---</t>
        </is>
      </c>
      <c r="G148" s="7" t="inlineStr">
        <is>
          <t>51, 56 (TRƯỢT ❌)</t>
        </is>
      </c>
      <c r="H148" s="6" t="inlineStr">
        <is>
          <t>TRÚNG N1 🎯</t>
        </is>
      </c>
      <c r="I148" s="3" t="inlineStr">
        <is>
          <t>00, 01, 05, 06, 10, 14, 15, 19, 23, 24, 28, 29, 32, 33, 37, 38, 41, 42, 46, 47, 50, 51, 55, 56, 60, 64, 65, 69, 73, 74, 78, 79, 82, 83, 87, 88, 91, 92, 96, 97 (40 số)</t>
        </is>
      </c>
      <c r="J148" s="3" t="inlineStr">
        <is>
          <t>50, 51, 55, 56, 60, 64, 65, 69, 73, 74, 78, 79, 82, 83, 87, 88, 91, 92, 96, 97 (20 số)</t>
        </is>
      </c>
      <c r="K148" s="3" t="inlineStr">
        <is>
          <t>50, 51, 55, 56, 60, 64, 65, 69, 73, 74, 78, 79, 82, 83, 87, 88, 91, 92, 96, 97 (20 số)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(Trúng)</t>
        </is>
      </c>
      <c r="F149" s="3" t="inlineStr">
        <is>
          <t>---</t>
        </is>
      </c>
      <c r="G149" s="7" t="inlineStr">
        <is>
          <t>39, 73 (TRƯỢT ❌)</t>
        </is>
      </c>
      <c r="H149" s="6" t="inlineStr">
        <is>
          <t>TRÚNG N2 (Siêu Lọc 🎯)</t>
        </is>
      </c>
      <c r="I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49" s="3" t="inlineStr">
        <is>
          <t>02, 04, 05, 07, 09, 11, 13, 14, 18, 19, 20, 22, 23, 25, 27, 28, 31, 32, 34, 36, 37, 39, 40, 41, 43, 45, 46, 48 (28 số)</t>
        </is>
      </c>
      <c r="K149" s="3" t="inlineStr">
        <is>
          <t>02, 04, 05, 07, 09, 11, 13, 14, 18, 19, 20, 22, 23, 25, 27, 28, 31, 32, 34, 36, 37, 39, 40, 41, 43, 45, 46, 48 (28 số)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3" t="inlineStr">
        <is>
          <t>---</t>
        </is>
      </c>
      <c r="G150" s="7" t="inlineStr">
        <is>
          <t>10, 20 (TRƯỢT ❌)</t>
        </is>
      </c>
      <c r="H150" s="6" t="inlineStr">
        <is>
          <t>TRÚNG N3 (Siêu Lọc 🎯)</t>
        </is>
      </c>
      <c r="I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0" s="3" t="inlineStr">
        <is>
          <t>51, 52, 53, 56, 57, 58, 60, 61, 62, 65, 66, 67, 71, 74, 76, 79, 80, 83, 84, 85, 88, 89, 92, 93, 94, 97, 98, 99 (28 số)</t>
        </is>
      </c>
      <c r="K150" s="3" t="inlineStr">
        <is>
          <t>51, 52, 53, 56, 57, 58, 60, 61, 62, 65, 66, 67, 71, 74, 76, 79, 80, 83, 84, 85, 88, 89, 92, 93, 94, 97, 98, 99 (28 số)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(Trúng)</t>
        </is>
      </c>
      <c r="D151" s="3" t="inlineStr">
        <is>
          <t>83 (Trúng)</t>
        </is>
      </c>
      <c r="E151" s="3" t="inlineStr">
        <is>
          <t>78 (Trúng)</t>
        </is>
      </c>
      <c r="F151" s="3" t="inlineStr">
        <is>
          <t>---</t>
        </is>
      </c>
      <c r="G151" s="7" t="inlineStr">
        <is>
          <t>23, 32 (TRƯỢT ❌)</t>
        </is>
      </c>
      <c r="H151" s="6" t="inlineStr">
        <is>
          <t>TRÚNG N1 🎯</t>
        </is>
      </c>
      <c r="I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51" s="3" t="inlineStr">
        <is>
          <t>50, 51, 54, 55, 56, 59, 60, 63, 64, 65, 68, 69, 72, 73, 74, 77, 78, 79, 81, 82, 83, 86, 87, 88, 90, 92, 95, 97 (28 số)</t>
        </is>
      </c>
      <c r="K151" s="3" t="inlineStr">
        <is>
          <t>50, 51, 54, 55, 56, 59, 60, 63, 64, 65, 68, 69, 72, 73, 74, 77, 78, 79, 81, 82, 83, 86, 87, 88, 90, 92, 95, 97 (28 số)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3" t="inlineStr">
        <is>
          <t>---</t>
        </is>
      </c>
      <c r="G152" s="7" t="inlineStr">
        <is>
          <t>34, 36 (TRƯỢT ❌)</t>
        </is>
      </c>
      <c r="H152" s="7" t="inlineStr">
        <is>
          <t>TRƯỢT KHUNG ❌</t>
        </is>
      </c>
      <c r="I152" s="3" t="inlineStr">
        <is>
          <t>02, 04, 07, 09, 11, 13, 16, 18, 20, 22, 25, 27, 31, 34, 36, 39, 40, 43, 45, 48, 52, 54, 57, 59, 61, 63, 66, 68, 70, 72, 75, 77, 81, 84, 86, 89, 90, 93, 95, 98 (40 số)</t>
        </is>
      </c>
      <c r="J152" s="3" t="inlineStr">
        <is>
          <t>02, 04, 07, 09, 11, 13, 16, 18, 20, 22, 25, 27, 31, 34, 36, 39, 40, 43, 45, 48 (20 số)</t>
        </is>
      </c>
      <c r="K152" s="3" t="inlineStr">
        <is>
          <t>02, 04, 07, 09, 11, 13, 16, 18, 20, 22, 25, 27, 31, 34, 36, 39, 40, 43, 45, 48 (20 số)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(Không)</t>
        </is>
      </c>
      <c r="E153" s="3" t="inlineStr">
        <is>
          <t>93 (Không)</t>
        </is>
      </c>
      <c r="F153" s="3" t="inlineStr">
        <is>
          <t>---</t>
        </is>
      </c>
      <c r="G153" s="7" t="inlineStr">
        <is>
          <t>16, 33 (TRƯỢT ❌)</t>
        </is>
      </c>
      <c r="H153" s="7" t="inlineStr">
        <is>
          <t>TRƯỢT KHUNG ❌</t>
        </is>
      </c>
      <c r="I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3" s="3" t="inlineStr">
        <is>
          <t>01, 02, 03, 06, 07, 08, 10, 12, 15, 17, 20, 21, 24, 25, 26, 29, 30, 33, 34, 35, 38, 39, 42, 43, 44, 47, 48, 49 (28 số)</t>
        </is>
      </c>
      <c r="K153" s="3" t="inlineStr">
        <is>
          <t>01, 02, 03, 06, 07, 08, 10, 12, 15, 17, 20, 21, 24, 25, 26, 29, 30, 33, 34, 35, 38, 39, 42, 43, 44, 47, 48, 49 (28 số)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(Không)</t>
        </is>
      </c>
      <c r="F154" s="3" t="inlineStr">
        <is>
          <t>---</t>
        </is>
      </c>
      <c r="G154" s="7" t="inlineStr">
        <is>
          <t>49, 52 (TRƯỢT ❌)</t>
        </is>
      </c>
      <c r="H154" s="7" t="inlineStr">
        <is>
          <t>TRƯỢT KHUNG ❌</t>
        </is>
      </c>
      <c r="I154" s="3" t="inlineStr">
        <is>
          <t>02, 03, 07, 08, 11, 12, 16, 17, 20, 21, 25, 26, 30, 34, 35, 39, 43, 44, 48, 49, 52, 53, 57, 58, 61, 62, 66, 67, 70, 71, 75, 76, 80, 84, 85, 89, 93, 94, 98, 99 (40 số)</t>
        </is>
      </c>
      <c r="J154" s="3" t="inlineStr">
        <is>
          <t>02, 03, 07, 08, 11, 12, 16, 17, 20, 21, 25, 26, 30, 34, 35, 39, 43, 44, 48, 49 (20 số)</t>
        </is>
      </c>
      <c r="K154" s="3" t="inlineStr">
        <is>
          <t>02, 03, 07, 08, 11, 12, 16, 17, 20, 21, 25, 26, 30, 34, 35, 39, 43, 44, 48, 49 (20 số)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(Không)</t>
        </is>
      </c>
      <c r="D155" s="3" t="inlineStr">
        <is>
          <t>05 (Trúng)</t>
        </is>
      </c>
      <c r="E155" s="3" t="inlineStr">
        <is>
          <t>51 (Không)</t>
        </is>
      </c>
      <c r="F155" s="3" t="inlineStr">
        <is>
          <t>---</t>
        </is>
      </c>
      <c r="G155" s="7" t="inlineStr">
        <is>
          <t>32, 53 (TRƯỢT ❌)</t>
        </is>
      </c>
      <c r="H155" s="6" t="inlineStr">
        <is>
          <t>TRÚNG N2 (Siêu Lọc 🎯)</t>
        </is>
      </c>
      <c r="I155" s="3" t="inlineStr">
        <is>
          <t>00, 03, 05, 08, 12, 14, 17, 19, 21, 23, 26, 28, 30, 32, 35, 37, 41, 44, 46, 49, 50, 53, 55, 58, 62, 64, 67, 69, 71, 73, 76, 78, 80, 82, 85, 87, 91, 94, 96, 99 (40 số)</t>
        </is>
      </c>
      <c r="J155" s="3" t="inlineStr">
        <is>
          <t>00, 03, 05, 08, 12, 14, 17, 19, 21, 23, 26, 28, 30, 32, 35, 37, 41, 44, 46, 49 (20 số)</t>
        </is>
      </c>
      <c r="K155" s="3" t="inlineStr">
        <is>
          <t>00, 03, 05, 08, 12, 14, 17, 19, 21, 23, 26, 28, 30, 32, 35, 37, 41, 44, 46, 49 (20 số)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(Trúng)</t>
        </is>
      </c>
      <c r="D156" s="3" t="inlineStr">
        <is>
          <t>51 (Không)</t>
        </is>
      </c>
      <c r="E156" s="3" t="inlineStr">
        <is>
          <t>08 (Không)</t>
        </is>
      </c>
      <c r="F156" s="3" t="inlineStr">
        <is>
          <t>---</t>
        </is>
      </c>
      <c r="G156" s="7" t="inlineStr">
        <is>
          <t>09, 11 (TRƯỢT ❌)</t>
        </is>
      </c>
      <c r="H156" s="6" t="inlineStr">
        <is>
          <t>TRÚNG N1 🎯</t>
        </is>
      </c>
      <c r="I15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6" s="3" t="inlineStr">
        <is>
          <t>50, 52, 54, 55, 57, 59, 61, 63, 64, 66, 68, 69, 72, 73, 77, 78, 81, 82, 84, 86, 87, 89, 90, 91, 93, 95, 96, 98 (28 số)</t>
        </is>
      </c>
      <c r="K156" s="3" t="inlineStr">
        <is>
          <t>50, 52, 54, 55, 57, 59, 61, 63, 64, 66, 68, 69, 72, 73, 77, 78, 81, 82, 84, 86, 87, 89, 90, 91, 93, 95, 96, 98 (28 số)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(Trúng)</t>
        </is>
      </c>
      <c r="E157" s="3" t="inlineStr">
        <is>
          <t>83 (Không)</t>
        </is>
      </c>
      <c r="F157" s="3" t="inlineStr">
        <is>
          <t>---</t>
        </is>
      </c>
      <c r="G157" s="7" t="inlineStr">
        <is>
          <t>07, 21 (TRƯỢT ❌)</t>
        </is>
      </c>
      <c r="H157" s="6" t="inlineStr">
        <is>
          <t>TRÚNG N2 (Siêu Lọc 🎯)</t>
        </is>
      </c>
      <c r="I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57" s="3" t="inlineStr">
        <is>
          <t>02, 03, 04, 07, 08, 09, 12, 13, 17, 18, 20, 21, 22, 25, 26, 27, 30, 31, 34, 35, 36, 39, 40, 43, 44, 45, 48, 49 (28 số)</t>
        </is>
      </c>
      <c r="K157" s="3" t="inlineStr">
        <is>
          <t>02, 03, 04, 07, 08, 09, 12, 13, 17, 18, 20, 21, 22, 25, 26, 27, 30, 31, 34, 35, 36, 39, 40, 43, 44, 45, 48, 49 (28 số)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(Không)</t>
        </is>
      </c>
      <c r="D158" s="3" t="inlineStr">
        <is>
          <t>83 (Trúng)</t>
        </is>
      </c>
      <c r="E158" s="3" t="inlineStr">
        <is>
          <t>89 (Không)</t>
        </is>
      </c>
      <c r="F158" s="3" t="inlineStr">
        <is>
          <t>---</t>
        </is>
      </c>
      <c r="G158" s="7" t="inlineStr">
        <is>
          <t>10, 47 (TRƯỢT ❌)</t>
        </is>
      </c>
      <c r="H158" s="6" t="inlineStr">
        <is>
          <t>TRÚNG N2 (Siêu Lọc 🎯)</t>
        </is>
      </c>
      <c r="I158" s="3" t="inlineStr">
        <is>
          <t>01, 04, 06, 09, 10, 13, 15, 18, 22, 24, 27, 29, 31, 33, 36, 38, 40, 42, 45, 47, 51, 54, 56, 59, 60, 63, 65, 68, 72, 74, 77, 79, 81, 83, 86, 88, 90, 92, 95, 97 (40 số)</t>
        </is>
      </c>
      <c r="J158" s="3" t="inlineStr">
        <is>
          <t>51, 54, 56, 59, 60, 63, 65, 68, 72, 74, 77, 79, 81, 83, 86, 88, 90, 92, 95, 97 (20 số)</t>
        </is>
      </c>
      <c r="K158" s="3" t="inlineStr">
        <is>
          <t>51, 54, 56, 59, 60, 63, 65, 68, 72, 74, 77, 79, 81, 83, 86, 88, 90, 92, 95, 97 (20 số)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(Không)</t>
        </is>
      </c>
      <c r="E159" s="3" t="inlineStr">
        <is>
          <t>14 (Trúng)</t>
        </is>
      </c>
      <c r="F159" s="3" t="inlineStr">
        <is>
          <t>---</t>
        </is>
      </c>
      <c r="G159" s="7" t="inlineStr">
        <is>
          <t>05, 07 (TRƯỢT ❌)</t>
        </is>
      </c>
      <c r="H159" s="6" t="inlineStr">
        <is>
          <t>TRÚNG N3 (Siêu Lọc 🎯)</t>
        </is>
      </c>
      <c r="I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9" s="3" t="inlineStr">
        <is>
          <t>02, 04, 05, 07, 09, 11, 13, 14, 18, 19, 20, 22, 23, 25, 27, 28, 31, 32, 34, 36, 37, 39, 40, 41, 43, 45, 46, 48 (28 số)</t>
        </is>
      </c>
      <c r="K159" s="3" t="inlineStr">
        <is>
          <t>02, 04, 05, 07, 09, 11, 13, 14, 18, 19, 20, 22, 23, 25, 27, 28, 31, 32, 34, 36, 37, 39, 40, 41, 43, 45, 46, 48 (28 số)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3" t="inlineStr">
        <is>
          <t>---</t>
        </is>
      </c>
      <c r="G160" s="7" t="inlineStr">
        <is>
          <t>20, 54 (TRƯỢT ❌)</t>
        </is>
      </c>
      <c r="H160" s="6" t="inlineStr">
        <is>
          <t>TRÚNG N1 🎯</t>
        </is>
      </c>
      <c r="I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60" s="3" t="inlineStr">
        <is>
          <t>01, 02, 04, 06, 07, 09, 10, 13, 15, 18, 20, 22, 24, 25, 27, 29, 31, 33, 34, 36, 38, 39, 40, 42, 43, 45, 47, 48 (28 số)</t>
        </is>
      </c>
      <c r="K160" s="3" t="inlineStr">
        <is>
          <t>01, 02, 04, 06, 07, 09, 10, 13, 15, 18, 20, 22, 24, 25, 27, 29, 31, 33, 34, 36, 38, 39, 40, 42, 43, 45, 47, 48 (28 số)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3" t="inlineStr">
        <is>
          <t>---</t>
        </is>
      </c>
      <c r="G161" s="7" t="inlineStr">
        <is>
          <t>26, 76 (TRƯỢT ❌)</t>
        </is>
      </c>
      <c r="H161" s="6" t="inlineStr">
        <is>
          <t>TRÚNG N3 (Siêu Lọc 🎯)</t>
        </is>
      </c>
      <c r="I161" s="3" t="inlineStr">
        <is>
          <t>02, 03, 07, 08, 11, 12, 16, 17, 20, 21, 25, 26, 30, 34, 35, 39, 43, 44, 48, 49, 52, 53, 57, 58, 61, 62, 66, 67, 70, 71, 75, 76, 80, 84, 85, 89, 93, 94, 98, 99 (40 số)</t>
        </is>
      </c>
      <c r="J161" s="3" t="inlineStr">
        <is>
          <t>52, 53, 57, 58, 61, 62, 66, 67, 70, 71, 75, 76, 80, 84, 85, 89, 93, 94, 98, 99 (20 số)</t>
        </is>
      </c>
      <c r="K161" s="3" t="inlineStr">
        <is>
          <t>52, 53, 57, 58, 61, 62, 66, 67, 70, 71, 75, 76, 80, 84, 85, 89, 93, 94, 98, 99 (20 số)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(Trúng)</t>
        </is>
      </c>
      <c r="E162" s="3" t="inlineStr">
        <is>
          <t>84 (Trúng)</t>
        </is>
      </c>
      <c r="F162" s="3" t="inlineStr">
        <is>
          <t>---</t>
        </is>
      </c>
      <c r="G162" s="7" t="inlineStr">
        <is>
          <t>01, 44 (TRƯỢT ❌)</t>
        </is>
      </c>
      <c r="H162" s="6" t="inlineStr">
        <is>
          <t>TRÚNG N2 (Siêu Lọc 🎯)</t>
        </is>
      </c>
      <c r="I16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2" s="3" t="inlineStr">
        <is>
          <t>51, 52, 53, 56, 57, 58, 60, 61, 62, 65, 66, 67, 71, 74, 76, 79, 80, 83, 84, 85, 88, 89, 92, 93, 94, 97, 98, 99 (28 số)</t>
        </is>
      </c>
      <c r="K162" s="3" t="inlineStr">
        <is>
          <t>51, 52, 53, 56, 57, 58, 60, 61, 62, 65, 66, 67, 71, 74, 76, 79, 80, 83, 84, 85, 88, 89, 92, 93, 94, 97, 98, 99 (28 số)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(Trúng)</t>
        </is>
      </c>
      <c r="D163" s="3" t="inlineStr">
        <is>
          <t>84 (Không)</t>
        </is>
      </c>
      <c r="E163" s="3" t="inlineStr">
        <is>
          <t>03 (Trúng)</t>
        </is>
      </c>
      <c r="F163" s="3" t="inlineStr">
        <is>
          <t>---</t>
        </is>
      </c>
      <c r="G163" s="7" t="inlineStr">
        <is>
          <t>00, 48 (TRƯỢT ❌)</t>
        </is>
      </c>
      <c r="H163" s="6" t="inlineStr">
        <is>
          <t>TRÚNG N1 🎯</t>
        </is>
      </c>
      <c r="I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63" s="3" t="inlineStr">
        <is>
          <t>02, 03, 05, 07, 08, 11, 12, 14, 17, 19, 20, 21, 23, 25, 26, 28, 30, 32, 34, 35, 37, 39, 41, 43, 44, 46, 48, 49 (28 số)</t>
        </is>
      </c>
      <c r="K163" s="3" t="inlineStr">
        <is>
          <t>02, 03, 05, 07, 08, 11, 12, 14, 17, 19, 20, 21, 23, 25, 26, 28, 30, 32, 34, 35, 37, 39, 41, 43, 44, 46, 48, 49 (28 số)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(Trúng)</t>
        </is>
      </c>
      <c r="E164" s="3" t="inlineStr">
        <is>
          <t>32 (Không)</t>
        </is>
      </c>
      <c r="F164" s="3" t="inlineStr">
        <is>
          <t>---</t>
        </is>
      </c>
      <c r="G164" s="7" t="inlineStr">
        <is>
          <t>27, 62 (TRƯỢT ❌)</t>
        </is>
      </c>
      <c r="H164" s="6" t="inlineStr">
        <is>
          <t>TRÚNG N2 (Siêu Lọc 🎯)</t>
        </is>
      </c>
      <c r="I164" s="3" t="inlineStr">
        <is>
          <t>03, 04, 08, 09, 12, 13, 17, 18, 21, 22, 26, 27, 30, 31, 35, 36, 40, 44, 45, 49, 53, 54, 58, 59, 62, 63, 67, 68, 71, 72, 76, 77, 80, 81, 85, 86, 90, 94, 95, 99 (40 số)</t>
        </is>
      </c>
      <c r="J164" s="3" t="inlineStr">
        <is>
          <t>03, 04, 08, 09, 12, 13, 17, 18, 21, 22, 26, 27, 30, 31, 35, 36, 40, 44, 45, 49 (20 số)</t>
        </is>
      </c>
      <c r="K164" s="3" t="inlineStr">
        <is>
          <t>03, 04, 08, 09, 12, 13, 17, 18, 21, 22, 26, 27, 30, 31, 35, 36, 40, 44, 45, 49 (20 số)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(Không)</t>
        </is>
      </c>
      <c r="E165" s="3" t="inlineStr">
        <is>
          <t>55 (Trúng)</t>
        </is>
      </c>
      <c r="F165" s="3" t="inlineStr">
        <is>
          <t>---</t>
        </is>
      </c>
      <c r="G165" s="6" t="inlineStr">
        <is>
          <t>11, 55 (TRÚNG 🎯)</t>
        </is>
      </c>
      <c r="H165" s="6" t="inlineStr">
        <is>
          <t>TRÚNG N3 (Siêu Lọc 🎯)</t>
        </is>
      </c>
      <c r="I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65" s="3" t="inlineStr">
        <is>
          <t>50, 52, 54, 55, 57, 59, 61, 63, 64, 66, 68, 69, 72, 73, 77, 78, 81, 82, 84, 86, 87, 89, 90, 91, 93, 95, 96, 98 (28 số)</t>
        </is>
      </c>
      <c r="K165" s="3" t="inlineStr">
        <is>
          <t>50, 52, 54, 55, 57, 59, 61, 63, 64, 66, 68, 69, 72, 73, 77, 78, 81, 82, 84, 86, 87, 89, 90, 91, 93, 95, 96, 98 (28 số)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(Không)</t>
        </is>
      </c>
      <c r="F166" s="3" t="inlineStr">
        <is>
          <t>---</t>
        </is>
      </c>
      <c r="G166" s="7" t="inlineStr">
        <is>
          <t>03, 16 (TRƯỢT ❌)</t>
        </is>
      </c>
      <c r="H166" s="7" t="inlineStr">
        <is>
          <t>TRƯỢT KHUNG ❌</t>
        </is>
      </c>
      <c r="I166" s="3" t="inlineStr">
        <is>
          <t>02, 03, 07, 08, 11, 12, 16, 17, 20, 21, 25, 26, 30, 34, 35, 39, 43, 44, 48, 49, 52, 53, 57, 58, 61, 62, 66, 67, 70, 71, 75, 76, 80, 84, 85, 89, 93, 94, 98, 99 (40 số)</t>
        </is>
      </c>
      <c r="J166" s="3" t="inlineStr">
        <is>
          <t>52, 53, 57, 58, 61, 62, 66, 67, 70, 71, 75, 76, 80, 84, 85, 89, 93, 94, 98, 99 (20 số)</t>
        </is>
      </c>
      <c r="K166" s="3" t="inlineStr">
        <is>
          <t>52, 53, 57, 58, 61, 62, 66, 67, 70, 71, 75, 76, 80, 84, 85, 89, 93, 94, 98, 99 (20 số)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(Trúng)</t>
        </is>
      </c>
      <c r="D167" s="3" t="inlineStr">
        <is>
          <t>60 (Không)</t>
        </is>
      </c>
      <c r="E167" s="3" t="inlineStr">
        <is>
          <t>83 (Không)</t>
        </is>
      </c>
      <c r="F167" s="3" t="inlineStr">
        <is>
          <t>---</t>
        </is>
      </c>
      <c r="G167" s="7" t="inlineStr">
        <is>
          <t>05, 08 (TRƯỢT ❌)</t>
        </is>
      </c>
      <c r="H167" s="6" t="inlineStr">
        <is>
          <t>TRÚNG N1 🎯</t>
        </is>
      </c>
      <c r="I16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67" s="3" t="inlineStr">
        <is>
          <t>01, 03, 06, 08, 10, 12, 14, 15, 17, 19, 21, 23, 24, 26, 28, 29, 30, 32, 33, 35, 37, 38, 41, 42, 44, 46, 47, 49 (28 số)</t>
        </is>
      </c>
      <c r="K167" s="3" t="inlineStr">
        <is>
          <t>01, 03, 06, 08, 10, 12, 14, 15, 17, 19, 21, 23, 24, 26, 28, 29, 30, 32, 33, 35, 37, 38, 41, 42, 44, 46, 47, 49 (28 số)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3" t="inlineStr">
        <is>
          <t>---</t>
        </is>
      </c>
      <c r="G168" s="7" t="inlineStr">
        <is>
          <t>35, 44 (TRƯỢT ❌)</t>
        </is>
      </c>
      <c r="H168" s="7" t="inlineStr">
        <is>
          <t>TRƯỢT KHUNG ❌</t>
        </is>
      </c>
      <c r="I168" s="3" t="inlineStr">
        <is>
          <t>00, 03, 05, 08, 12, 14, 17, 19, 21, 23, 26, 28, 30, 32, 35, 37, 41, 44, 46, 49, 50, 53, 55, 58, 62, 64, 67, 69, 71, 73, 76, 78, 80, 82, 85, 87, 91, 94, 96, 99 (40 số)</t>
        </is>
      </c>
      <c r="J168" s="3" t="inlineStr">
        <is>
          <t>00, 03, 05, 08, 12, 14, 17, 19, 21, 23, 26, 28, 30, 32, 35, 37, 41, 44, 46, 49 (20 số)</t>
        </is>
      </c>
      <c r="K168" s="3" t="inlineStr">
        <is>
          <t>00, 03, 05, 08, 12, 14, 17, 19, 21, 23, 26, 28, 30, 32, 35, 37, 41, 44, 46, 49 (20 số)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(Không)</t>
        </is>
      </c>
      <c r="E169" s="3" t="inlineStr">
        <is>
          <t>37 (Trúng)</t>
        </is>
      </c>
      <c r="F169" s="3" t="inlineStr">
        <is>
          <t>---</t>
        </is>
      </c>
      <c r="G169" s="7" t="inlineStr">
        <is>
          <t>76, 85 (TRƯỢT ❌)</t>
        </is>
      </c>
      <c r="H169" s="6" t="inlineStr">
        <is>
          <t>TRÚNG N3 (Siêu Lọc 🎯)</t>
        </is>
      </c>
      <c r="I169" s="3" t="inlineStr">
        <is>
          <t>00, 03, 05, 08, 12, 14, 17, 19, 21, 23, 26, 28, 30, 32, 35, 37, 41, 44, 46, 49, 50, 53, 55, 58, 62, 64, 67, 69, 71, 73, 76, 78, 80, 82, 85, 87, 91, 94, 96, 99 (40 số)</t>
        </is>
      </c>
      <c r="J169" s="3" t="inlineStr">
        <is>
          <t>00, 03, 05, 08, 12, 14, 17, 19, 21, 23, 26, 28, 30, 32, 35, 37, 41, 44, 46, 49 (20 số)</t>
        </is>
      </c>
      <c r="K169" s="3" t="inlineStr">
        <is>
          <t>00, 03, 05, 08, 12, 14, 17, 19, 21, 23, 26, 28, 30, 32, 35, 37, 41, 44, 46, 49 (20 số)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(Không)</t>
        </is>
      </c>
      <c r="D170" s="3" t="inlineStr">
        <is>
          <t>37 (Không)</t>
        </is>
      </c>
      <c r="E170" s="3" t="inlineStr">
        <is>
          <t>51 (Trúng)</t>
        </is>
      </c>
      <c r="F170" s="3" t="inlineStr">
        <is>
          <t>---</t>
        </is>
      </c>
      <c r="G170" s="7" t="inlineStr">
        <is>
          <t>07, 33 (TRƯỢT ❌)</t>
        </is>
      </c>
      <c r="H170" s="6" t="inlineStr">
        <is>
          <t>TRÚNG N3 (Siêu Lọc 🎯)</t>
        </is>
      </c>
      <c r="I17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70" s="3" t="inlineStr">
        <is>
          <t>51, 52, 53, 56, 57, 58, 60, 61, 62, 65, 66, 67, 71, 74, 76, 79, 80, 83, 84, 85, 88, 89, 92, 93, 94, 97, 98, 99 (28 số)</t>
        </is>
      </c>
      <c r="K170" s="3" t="inlineStr">
        <is>
          <t>51, 52, 53, 56, 57, 58, 60, 61, 62, 65, 66, 67, 71, 74, 76, 79, 80, 83, 84, 85, 88, 89, 92, 93, 94, 97, 98, 99 (28 số)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(Trúng)</t>
        </is>
      </c>
      <c r="D171" s="3" t="inlineStr">
        <is>
          <t>51 (Trúng)</t>
        </is>
      </c>
      <c r="E171" s="3" t="inlineStr">
        <is>
          <t>16 (Không)</t>
        </is>
      </c>
      <c r="F171" s="3" t="inlineStr">
        <is>
          <t>---</t>
        </is>
      </c>
      <c r="G171" s="7" t="inlineStr">
        <is>
          <t>23, 36 (TRƯỢT ❌)</t>
        </is>
      </c>
      <c r="H171" s="6" t="inlineStr">
        <is>
          <t>TRÚNG N1 🎯</t>
        </is>
      </c>
      <c r="I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71" s="3" t="inlineStr">
        <is>
          <t>50, 51, 54, 55, 56, 59, 60, 63, 64, 65, 68, 69, 72, 73, 74, 77, 78, 79, 81, 82, 83, 86, 87, 88, 90, 92, 95, 97 (28 số)</t>
        </is>
      </c>
      <c r="K171" s="3" t="inlineStr">
        <is>
          <t>50, 51, 54, 55, 56, 59, 60, 63, 64, 65, 68, 69, 72, 73, 74, 77, 78, 79, 81, 82, 83, 86, 87, 88, 90, 92, 95, 97 (28 số)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(Trúng)</t>
        </is>
      </c>
      <c r="E172" s="3" t="inlineStr">
        <is>
          <t>04 (Không)</t>
        </is>
      </c>
      <c r="F172" s="3" t="inlineStr">
        <is>
          <t>---</t>
        </is>
      </c>
      <c r="G172" s="7" t="inlineStr">
        <is>
          <t>38, 83 (TRƯỢT ❌)</t>
        </is>
      </c>
      <c r="H172" s="6" t="inlineStr">
        <is>
          <t>TRÚNG N1 🎯</t>
        </is>
      </c>
      <c r="I172" s="3" t="inlineStr">
        <is>
          <t>01, 02, 06, 07, 10, 11, 15, 16, 20, 24, 25, 29, 33, 34, 38, 39, 42, 43, 47, 48, 51, 52, 56, 57, 60, 61, 65, 66, 70, 74, 75, 79, 83, 84, 88, 89, 92, 93, 97, 98 (40 số)</t>
        </is>
      </c>
      <c r="J172" s="3" t="inlineStr">
        <is>
          <t>01, 02, 06, 07, 10, 11, 15, 16, 20, 24, 25, 29, 33, 34, 38, 39, 42, 43, 47, 48 (20 số)</t>
        </is>
      </c>
      <c r="K172" s="3" t="inlineStr">
        <is>
          <t>01, 02, 06, 07, 10, 11, 15, 16, 20, 24, 25, 29, 33, 34, 38, 39, 42, 43, 47, 48 (20 số)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(Không)</t>
        </is>
      </c>
      <c r="F173" s="3" t="inlineStr">
        <is>
          <t>---</t>
        </is>
      </c>
      <c r="G173" s="7" t="inlineStr">
        <is>
          <t>54, 66 (TRƯỢT ❌)</t>
        </is>
      </c>
      <c r="H173" s="6" t="inlineStr">
        <is>
          <t>TRÚNG N1 🎯</t>
        </is>
      </c>
      <c r="I173" s="3" t="inlineStr">
        <is>
          <t>02, 04, 07, 09, 11, 13, 16, 18, 20, 22, 25, 27, 31, 34, 36, 39, 40, 43, 45, 48, 52, 54, 57, 59, 61, 63, 66, 68, 70, 72, 75, 77, 81, 84, 86, 89, 90, 93, 95, 98 (40 số)</t>
        </is>
      </c>
      <c r="J173" s="3" t="inlineStr">
        <is>
          <t>52, 54, 57, 59, 61, 63, 66, 68, 70, 72, 75, 77, 81, 84, 86, 89, 90, 93, 95, 98 (20 số)</t>
        </is>
      </c>
      <c r="K173" s="3" t="inlineStr">
        <is>
          <t>52, 54, 57, 59, 61, 63, 66, 68, 70, 72, 75, 77, 81, 84, 86, 89, 90, 93, 95, 98 (20 số)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(Trúng)</t>
        </is>
      </c>
      <c r="D174" s="3" t="inlineStr">
        <is>
          <t>53 (Trúng)</t>
        </is>
      </c>
      <c r="E174" s="3" t="inlineStr">
        <is>
          <t>52 (Không)</t>
        </is>
      </c>
      <c r="F174" s="3" t="inlineStr">
        <is>
          <t>---</t>
        </is>
      </c>
      <c r="G174" s="7" t="inlineStr">
        <is>
          <t>03, 36 (TRƯỢT ❌)</t>
        </is>
      </c>
      <c r="H174" s="6" t="inlineStr">
        <is>
          <t>TRÚNG N1 🎯</t>
        </is>
      </c>
      <c r="I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4" s="3" t="inlineStr">
        <is>
          <t>51, 53, 54, 56, 58, 59, 60, 62, 63, 65, 67, 68, 71, 72, 74, 77, 79, 80, 81, 83, 85, 86, 88, 90, 92, 94, 97, 99 (28 số)</t>
        </is>
      </c>
      <c r="K174" s="3" t="inlineStr">
        <is>
          <t>51, 53, 54, 56, 58, 59, 60, 62, 63, 65, 67, 68, 71, 72, 74, 77, 79, 80, 81, 83, 85, 86, 88, 90, 92, 94, 97, 99 (28 số)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(Không)</t>
        </is>
      </c>
      <c r="E175" s="3" t="inlineStr">
        <is>
          <t>42 (Không)</t>
        </is>
      </c>
      <c r="F175" s="3" t="inlineStr">
        <is>
          <t>---</t>
        </is>
      </c>
      <c r="G175" s="7" t="inlineStr">
        <is>
          <t>07, 32 (TRƯỢT ❌)</t>
        </is>
      </c>
      <c r="H175" s="7" t="inlineStr">
        <is>
          <t>TRƯỢT KHUNG ❌</t>
        </is>
      </c>
      <c r="I175" s="3" t="inlineStr">
        <is>
          <t>00, 02, 05, 07, 11, 14, 16, 19, 20, 23, 25, 28, 32, 34, 37, 39, 41, 43, 46, 48, 50, 52, 55, 57, 61, 64, 66, 69, 70, 73, 75, 78, 82, 84, 87, 89, 91, 93, 96, 98 (40 số)</t>
        </is>
      </c>
      <c r="J175" s="3" t="inlineStr">
        <is>
          <t>00, 02, 05, 07, 11, 14, 16, 19, 20, 23, 25, 28, 32, 34, 37, 39, 41, 43, 46, 48 (20 số)</t>
        </is>
      </c>
      <c r="K175" s="3" t="inlineStr">
        <is>
          <t>00, 02, 05, 07, 11, 14, 16, 19, 20, 23, 25, 28, 32, 34, 37, 39, 41, 43, 46, 48 (20 số)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(Trúng)</t>
        </is>
      </c>
      <c r="D176" s="3" t="inlineStr">
        <is>
          <t>42 (Không)</t>
        </is>
      </c>
      <c r="E176" s="3" t="inlineStr">
        <is>
          <t>68 (Không)</t>
        </is>
      </c>
      <c r="F176" s="3" t="inlineStr">
        <is>
          <t>---</t>
        </is>
      </c>
      <c r="G176" s="6" t="inlineStr">
        <is>
          <t>48, 68 (TRÚNG 🎯)</t>
        </is>
      </c>
      <c r="H176" s="6" t="inlineStr">
        <is>
          <t>TRÚNG N1 🎯</t>
        </is>
      </c>
      <c r="I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76" s="3" t="inlineStr">
        <is>
          <t>02, 04, 05, 07, 09, 11, 13, 14, 18, 19, 20, 22, 23, 25, 27, 28, 31, 32, 34, 36, 37, 39, 40, 41, 43, 45, 46, 48 (28 số)</t>
        </is>
      </c>
      <c r="K176" s="3" t="inlineStr">
        <is>
          <t>02, 04, 05, 07, 09, 11, 13, 14, 18, 19, 20, 22, 23, 25, 27, 28, 31, 32, 34, 36, 37, 39, 40, 41, 43, 45, 46, 48 (28 số)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(Không)</t>
        </is>
      </c>
      <c r="E177" s="3" t="inlineStr">
        <is>
          <t>54 (Không)</t>
        </is>
      </c>
      <c r="F177" s="3" t="inlineStr">
        <is>
          <t>---</t>
        </is>
      </c>
      <c r="G177" s="7" t="inlineStr">
        <is>
          <t>41, 55 (TRƯỢT ❌)</t>
        </is>
      </c>
      <c r="H177" s="7" t="inlineStr">
        <is>
          <t>TRƯỢT KHUNG ❌</t>
        </is>
      </c>
      <c r="I177" s="3" t="inlineStr">
        <is>
          <t>00, 03, 05, 08, 12, 14, 17, 19, 21, 23, 26, 28, 30, 32, 35, 37, 41, 44, 46, 49, 50, 53, 55, 58, 62, 64, 67, 69, 71, 73, 76, 78, 80, 82, 85, 87, 91, 94, 96, 99 (40 số)</t>
        </is>
      </c>
      <c r="J177" s="3" t="inlineStr">
        <is>
          <t>50, 53, 55, 58, 62, 64, 67, 69, 71, 73, 76, 78, 80, 82, 85, 87, 91, 94, 96, 99 (20 số)</t>
        </is>
      </c>
      <c r="K177" s="3" t="inlineStr">
        <is>
          <t>50, 53, 55, 58, 62, 64, 67, 69, 71, 73, 76, 78, 80, 82, 85, 87, 91, 94, 96, 99 (20 số)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3" t="inlineStr">
        <is>
          <t>---</t>
        </is>
      </c>
      <c r="G178" s="7" t="inlineStr">
        <is>
          <t>08, 70 (TRƯỢT ❌)</t>
        </is>
      </c>
      <c r="H178" s="6" t="inlineStr">
        <is>
          <t>TRÚNG N3 (Siêu Lọc 🎯)</t>
        </is>
      </c>
      <c r="I178" s="3" t="inlineStr">
        <is>
          <t>02, 03, 07, 08, 11, 12, 16, 17, 20, 21, 25, 26, 30, 34, 35, 39, 43, 44, 48, 49, 52, 53, 57, 58, 61, 62, 66, 67, 70, 71, 75, 76, 80, 84, 85, 89, 93, 94, 98, 99 (40 số)</t>
        </is>
      </c>
      <c r="J178" s="3" t="inlineStr">
        <is>
          <t>02, 03, 07, 08, 11, 12, 16, 17, 20, 21, 25, 26, 30, 34, 35, 39, 43, 44, 48, 49 (20 số)</t>
        </is>
      </c>
      <c r="K178" s="3" t="inlineStr">
        <is>
          <t>02, 03, 07, 08, 11, 12, 16, 17, 20, 21, 25, 26, 30, 34, 35, 39, 43, 44, 48, 49 (20 số)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(Trúng)</t>
        </is>
      </c>
      <c r="D179" s="3" t="inlineStr">
        <is>
          <t>39 (Không)</t>
        </is>
      </c>
      <c r="E179" s="3" t="inlineStr">
        <is>
          <t>65 (Không)</t>
        </is>
      </c>
      <c r="F179" s="3" t="inlineStr">
        <is>
          <t>---</t>
        </is>
      </c>
      <c r="G179" s="7" t="inlineStr">
        <is>
          <t>33, 68 (TRƯỢT ❌)</t>
        </is>
      </c>
      <c r="H179" s="6" t="inlineStr">
        <is>
          <t>TRÚNG N1 🎯</t>
        </is>
      </c>
      <c r="I179" s="3" t="inlineStr">
        <is>
          <t>01, 04, 06, 09, 10, 13, 15, 18, 22, 24, 27, 29, 31, 33, 36, 38, 40, 42, 45, 47, 51, 54, 56, 59, 60, 63, 65, 68, 72, 74, 77, 79, 81, 83, 86, 88, 90, 92, 95, 97 (40 số)</t>
        </is>
      </c>
      <c r="J179" s="3" t="inlineStr">
        <is>
          <t>01, 04, 06, 09, 10, 13, 15, 18, 22, 24, 27, 29, 31, 33, 36, 38, 40, 42, 45, 47 (20 số)</t>
        </is>
      </c>
      <c r="K179" s="3" t="inlineStr">
        <is>
          <t>01, 04, 06, 09, 10, 13, 15, 18, 22, 24, 27, 29, 31, 33, 36, 38, 40, 42, 45, 47 (20 số)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(Trúng)</t>
        </is>
      </c>
      <c r="D180" s="3" t="inlineStr">
        <is>
          <t>65 (Không)</t>
        </is>
      </c>
      <c r="E180" s="3" t="inlineStr">
        <is>
          <t>87 (Trúng)</t>
        </is>
      </c>
      <c r="F180" s="3" t="inlineStr">
        <is>
          <t>---</t>
        </is>
      </c>
      <c r="G180" s="7" t="inlineStr">
        <is>
          <t>07, 35 (TRƯỢT ❌)</t>
        </is>
      </c>
      <c r="H180" s="6" t="inlineStr">
        <is>
          <t>TRÚNG N1 🎯</t>
        </is>
      </c>
      <c r="I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0" s="3" t="inlineStr">
        <is>
          <t>50, 52, 53, 55, 57, 58, 61, 62, 64, 66, 67, 69, 71, 73, 76, 78, 80, 82, 84, 85, 87, 89, 91, 93, 94, 96, 98, 99 (28 số)</t>
        </is>
      </c>
      <c r="K180" s="3" t="inlineStr">
        <is>
          <t>50, 52, 53, 55, 57, 58, 61, 62, 64, 66, 67, 69, 71, 73, 76, 78, 80, 82, 84, 85, 87, 89, 91, 93, 94, 96, 98, 99 (28 số)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(Trúng)</t>
        </is>
      </c>
      <c r="D181" s="3" t="inlineStr">
        <is>
          <t>87 (Không)</t>
        </is>
      </c>
      <c r="E181" s="3" t="inlineStr">
        <is>
          <t>71 (Không)</t>
        </is>
      </c>
      <c r="F181" s="3" t="inlineStr">
        <is>
          <t>---</t>
        </is>
      </c>
      <c r="G181" s="7" t="inlineStr">
        <is>
          <t>33, 59 (TRƯỢT ❌)</t>
        </is>
      </c>
      <c r="H181" s="6" t="inlineStr">
        <is>
          <t>TRÚNG N1 🎯</t>
        </is>
      </c>
      <c r="I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81" s="3" t="inlineStr">
        <is>
          <t>01, 04, 06, 09, 10, 13, 14, 15, 18, 19, 22, 23, 24, 27, 28, 29, 31, 32, 33, 36, 37, 38, 40, 41, 42, 45, 46, 47 (28 số)</t>
        </is>
      </c>
      <c r="K181" s="3" t="inlineStr">
        <is>
          <t>01, 04, 06, 09, 10, 13, 14, 15, 18, 19, 22, 23, 24, 27, 28, 29, 31, 32, 33, 36, 37, 38, 40, 41, 42, 45, 46, 47 (28 số)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(Không)</t>
        </is>
      </c>
      <c r="F182" s="3" t="inlineStr">
        <is>
          <t>---</t>
        </is>
      </c>
      <c r="G182" s="7" t="inlineStr">
        <is>
          <t>13, 65 (TRƯỢT ❌)</t>
        </is>
      </c>
      <c r="H182" s="7" t="inlineStr">
        <is>
          <t>TRƯỢT KHUNG ❌</t>
        </is>
      </c>
      <c r="I182" s="3" t="inlineStr">
        <is>
          <t>01, 04, 06, 09, 10, 13, 15, 18, 22, 24, 27, 29, 31, 33, 36, 38, 40, 42, 45, 47, 51, 54, 56, 59, 60, 63, 65, 68, 72, 74, 77, 79, 81, 83, 86, 88, 90, 92, 95, 97 (40 số)</t>
        </is>
      </c>
      <c r="J182" s="3" t="inlineStr">
        <is>
          <t>01, 04, 06, 09, 10, 13, 15, 18, 22, 24, 27, 29, 31, 33, 36, 38, 40, 42, 45, 47 (20 số)</t>
        </is>
      </c>
      <c r="K182" s="3" t="inlineStr">
        <is>
          <t>01, 04, 06, 09, 10, 13, 15, 18, 22, 24, 27, 29, 31, 33, 36, 38, 40, 42, 45, 47 (20 số)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3" t="inlineStr">
        <is>
          <t>---</t>
        </is>
      </c>
      <c r="G183" s="7" t="inlineStr">
        <is>
          <t>54, 73 (TRƯỢT ❌)</t>
        </is>
      </c>
      <c r="H183" s="7" t="inlineStr">
        <is>
          <t>TRƯỢT KHUNG ❌</t>
        </is>
      </c>
      <c r="I183" s="3" t="inlineStr">
        <is>
          <t>00, 04, 05, 09, 13, 14, 18, 19, 22, 23, 27, 28, 31, 32, 36, 37, 40, 41, 45, 46, 50, 54, 55, 59, 63, 64, 68, 69, 72, 73, 77, 78, 81, 82, 86, 87, 90, 91, 95, 96 (40 số)</t>
        </is>
      </c>
      <c r="J183" s="3" t="inlineStr">
        <is>
          <t>00, 04, 05, 09, 13, 14, 18, 19, 22, 23, 27, 28, 31, 32, 36, 37, 40, 41, 45, 46 (20 số)</t>
        </is>
      </c>
      <c r="K183" s="3" t="inlineStr">
        <is>
          <t>00, 04, 05, 09, 13, 14, 18, 19, 22, 23, 27, 28, 31, 32, 36, 37, 40, 41, 45, 46 (20 số)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3" t="inlineStr">
        <is>
          <t>---</t>
        </is>
      </c>
      <c r="G184" s="7" t="inlineStr">
        <is>
          <t>03, 35 (TRƯỢT ❌)</t>
        </is>
      </c>
      <c r="H184" s="7" t="inlineStr">
        <is>
          <t>TRƯỢT KHUNG ❌</t>
        </is>
      </c>
      <c r="I184" s="3" t="inlineStr">
        <is>
          <t>03, 08, 12, 17, 21, 26, 30, 35, 44, 49, 53, 58, 62, 67, 71, 76, 80, 85, 94, 99 (20 số)</t>
        </is>
      </c>
      <c r="J184" s="3" t="inlineStr">
        <is>
          <t>03, 08, 12, 17, 21, 26, 30, 35, 44, 49 (10 số)</t>
        </is>
      </c>
      <c r="K184" s="3" t="inlineStr">
        <is>
          <t>03, 08, 12, 17, 21, 26, 30, 35, 44, 49 (10 số)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(Không)</t>
        </is>
      </c>
      <c r="E185" s="3" t="inlineStr">
        <is>
          <t>85 (Không)</t>
        </is>
      </c>
      <c r="F185" s="3" t="inlineStr">
        <is>
          <t>---</t>
        </is>
      </c>
      <c r="G185" s="7" t="inlineStr">
        <is>
          <t>20, 30 (TRƯỢT ❌)</t>
        </is>
      </c>
      <c r="H185" s="7" t="inlineStr">
        <is>
          <t>TRƯỢT KHUNG ❌</t>
        </is>
      </c>
      <c r="I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5" s="3" t="inlineStr">
        <is>
          <t>02, 03, 05, 07, 08, 11, 12, 14, 17, 19, 20, 21, 23, 25, 26, 28, 30, 32, 34, 35, 37, 39, 41, 43, 44, 46, 48, 49 (28 số)</t>
        </is>
      </c>
      <c r="K185" s="3" t="inlineStr">
        <is>
          <t>02, 03, 05, 07, 08, 11, 12, 14, 17, 19, 20, 21, 23, 25, 26, 28, 30, 32, 34, 35, 37, 39, 41, 43, 44, 46, 48, 49 (28 số)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(Không)</t>
        </is>
      </c>
      <c r="E186" s="3" t="inlineStr">
        <is>
          <t>67 (Không)</t>
        </is>
      </c>
      <c r="F186" s="3" t="inlineStr">
        <is>
          <t>---</t>
        </is>
      </c>
      <c r="G186" s="7" t="inlineStr">
        <is>
          <t>54, 62 (TRƯỢT ❌)</t>
        </is>
      </c>
      <c r="H186" s="7" t="inlineStr">
        <is>
          <t>TRƯỢT KHUNG ❌</t>
        </is>
      </c>
      <c r="I186" s="3" t="inlineStr">
        <is>
          <t>03, 04, 08, 09, 12, 13, 17, 18, 21, 22, 26, 27, 30, 31, 35, 36, 40, 44, 45, 49, 53, 54, 58, 59, 62, 63, 67, 68, 71, 72, 76, 77, 80, 81, 85, 86, 90, 94, 95, 99 (40 số)</t>
        </is>
      </c>
      <c r="J186" s="3" t="inlineStr">
        <is>
          <t>03, 04, 08, 09, 12, 13, 17, 18, 21, 22, 26, 27, 30, 31, 35, 36, 40, 44, 45, 49 (20 số)</t>
        </is>
      </c>
      <c r="K186" s="3" t="inlineStr">
        <is>
          <t>03, 04, 08, 09, 12, 13, 17, 18, 21, 22, 26, 27, 30, 31, 35, 36, 40, 44, 45, 49 (20 số)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(Trúng)</t>
        </is>
      </c>
      <c r="F187" s="3" t="inlineStr">
        <is>
          <t>---</t>
        </is>
      </c>
      <c r="G187" s="6" t="inlineStr">
        <is>
          <t>01, 20 (TRÚNG 🎯)</t>
        </is>
      </c>
      <c r="H187" s="6" t="inlineStr">
        <is>
          <t>TRÚNG N3 (Siêu Lọc 🎯)</t>
        </is>
      </c>
      <c r="I1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87" s="3" t="inlineStr">
        <is>
          <t>01, 02, 04, 06, 07, 09, 10, 13, 15, 18, 20, 22, 24, 25, 27, 29, 31, 33, 34, 36, 38, 39, 40, 42, 43, 45, 47, 48 (28 số)</t>
        </is>
      </c>
      <c r="K187" s="3" t="inlineStr">
        <is>
          <t>01, 02, 04, 06, 07, 09, 10, 13, 15, 18, 20, 22, 24, 25, 27, 29, 31, 33, 34, 36, 38, 39, 40, 42, 43, 45, 47, 48 (28 số)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3" t="inlineStr">
        <is>
          <t>---</t>
        </is>
      </c>
      <c r="G188" s="7" t="inlineStr">
        <is>
          <t>05, 13 (TRƯỢT ❌)</t>
        </is>
      </c>
      <c r="H188" s="7" t="inlineStr">
        <is>
          <t>TRƯỢT KHUNG ❌</t>
        </is>
      </c>
      <c r="I188" s="3" t="inlineStr">
        <is>
          <t>00, 04, 05, 09, 13, 14, 18, 19, 22, 23, 27, 28, 31, 32, 36, 37, 40, 41, 45, 46, 50, 54, 55, 59, 63, 64, 68, 69, 72, 73, 77, 78, 81, 82, 86, 87, 90, 91, 95, 96 (40 số)</t>
        </is>
      </c>
      <c r="J188" s="3" t="inlineStr">
        <is>
          <t>00, 04, 05, 09, 13, 14, 18, 19, 22, 23, 27, 28, 31, 32, 36, 37, 40, 41, 45, 46 (20 số)</t>
        </is>
      </c>
      <c r="K188" s="3" t="inlineStr">
        <is>
          <t>00, 04, 05, 09, 13, 14, 18, 19, 22, 23, 27, 28, 31, 32, 36, 37, 40, 41, 45, 46 (20 số)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3" t="inlineStr">
        <is>
          <t>---</t>
        </is>
      </c>
      <c r="G189" s="7" t="inlineStr">
        <is>
          <t>20, 31 (TRƯỢT ❌)</t>
        </is>
      </c>
      <c r="H189" s="7" t="inlineStr">
        <is>
          <t>TRƯỢT KHUNG ❌</t>
        </is>
      </c>
      <c r="I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89" s="3" t="inlineStr">
        <is>
          <t>50, 52, 54, 55, 57, 59, 61, 63, 64, 66, 68, 69, 72, 73, 77, 78, 81, 82, 84, 86, 87, 89, 90, 91, 93, 95, 96, 98 (28 số)</t>
        </is>
      </c>
      <c r="K189" s="3" t="inlineStr">
        <is>
          <t>50, 52, 54, 55, 57, 59, 61, 63, 64, 66, 68, 69, 72, 73, 77, 78, 81, 82, 84, 86, 87, 89, 90, 91, 93, 95, 96, 98 (28 số)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(Trúng)</t>
        </is>
      </c>
      <c r="D190" s="3" t="inlineStr">
        <is>
          <t>99 (Không)</t>
        </is>
      </c>
      <c r="E190" s="3" t="inlineStr">
        <is>
          <t>47 (Trúng)</t>
        </is>
      </c>
      <c r="F190" s="3" t="inlineStr">
        <is>
          <t>---</t>
        </is>
      </c>
      <c r="G190" s="7" t="inlineStr">
        <is>
          <t>01, 06 (TRƯỢT ❌)</t>
        </is>
      </c>
      <c r="H190" s="6" t="inlineStr">
        <is>
          <t>TRÚNG N1 🎯</t>
        </is>
      </c>
      <c r="I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90" s="3" t="inlineStr">
        <is>
          <t>01, 03, 06, 08, 10, 12, 14, 15, 17, 19, 21, 23, 24, 26, 28, 29, 30, 32, 33, 35, 37, 38, 41, 42, 44, 46, 47, 49 (28 số)</t>
        </is>
      </c>
      <c r="K190" s="3" t="inlineStr">
        <is>
          <t>01, 03, 06, 08, 10, 12, 14, 15, 17, 19, 21, 23, 24, 26, 28, 29, 30, 32, 33, 35, 37, 38, 41, 42, 44, 46, 47, 49 (28 số)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(Không)</t>
        </is>
      </c>
      <c r="D191" s="3" t="inlineStr">
        <is>
          <t>47 (Không)</t>
        </is>
      </c>
      <c r="E191" s="3" t="inlineStr">
        <is>
          <t>19 (Trúng)</t>
        </is>
      </c>
      <c r="F191" s="3" t="inlineStr">
        <is>
          <t>---</t>
        </is>
      </c>
      <c r="G191" s="7" t="inlineStr">
        <is>
          <t>05, 34 (TRƯỢT ❌)</t>
        </is>
      </c>
      <c r="H191" s="6" t="inlineStr">
        <is>
          <t>TRÚNG N3 (Siêu Lọc 🎯)</t>
        </is>
      </c>
      <c r="I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1" s="3" t="inlineStr">
        <is>
          <t>02, 04, 05, 07, 09, 11, 13, 14, 18, 19, 20, 22, 23, 25, 27, 28, 31, 32, 34, 36, 37, 39, 40, 41, 43, 45, 46, 48 (28 số)</t>
        </is>
      </c>
      <c r="K191" s="3" t="inlineStr">
        <is>
          <t>02, 04, 05, 07, 09, 11, 13, 14, 18, 19, 20, 22, 23, 25, 27, 28, 31, 32, 34, 36, 37, 39, 40, 41, 43, 45, 46, 48 (28 số)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(Không)</t>
        </is>
      </c>
      <c r="E192" s="3" t="inlineStr">
        <is>
          <t>63 (Không)</t>
        </is>
      </c>
      <c r="F192" s="3" t="inlineStr">
        <is>
          <t>---</t>
        </is>
      </c>
      <c r="G192" s="7" t="inlineStr">
        <is>
          <t>05, 76 (TRƯỢT ❌)</t>
        </is>
      </c>
      <c r="H192" s="6" t="inlineStr">
        <is>
          <t>TRÚNG N1 🎯</t>
        </is>
      </c>
      <c r="I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92" s="3" t="inlineStr">
        <is>
          <t>50, 51, 53, 55, 56, 58, 60, 62, 64, 65, 67, 69, 71, 73, 74, 76, 78, 79, 80, 82, 83, 85, 87, 88, 92, 94, 97, 99 (28 số)</t>
        </is>
      </c>
      <c r="K192" s="3" t="inlineStr">
        <is>
          <t>50, 51, 53, 55, 56, 58, 60, 62, 64, 65, 67, 69, 71, 73, 74, 76, 78, 79, 80, 82, 83, 85, 87, 88, 92, 94, 97, 99 (28 số)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(Trúng)</t>
        </is>
      </c>
      <c r="D193" s="3" t="inlineStr">
        <is>
          <t>63 (Trúng)</t>
        </is>
      </c>
      <c r="E193" s="3" t="inlineStr">
        <is>
          <t>39 (Không)</t>
        </is>
      </c>
      <c r="F193" s="3" t="inlineStr">
        <is>
          <t>---</t>
        </is>
      </c>
      <c r="G193" s="6" t="inlineStr">
        <is>
          <t>05, 39 (TRÚNG 🎯)</t>
        </is>
      </c>
      <c r="H193" s="6" t="inlineStr">
        <is>
          <t>TRÚNG N1 🎯</t>
        </is>
      </c>
      <c r="I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3" s="3" t="inlineStr">
        <is>
          <t>50, 52, 54, 55, 57, 59, 61, 63, 64, 66, 68, 69, 72, 73, 77, 78, 81, 82, 84, 86, 87, 89, 90, 91, 93, 95, 96, 98 (28 số)</t>
        </is>
      </c>
      <c r="K193" s="3" t="inlineStr">
        <is>
          <t>50, 52, 54, 55, 57, 59, 61, 63, 64, 66, 68, 69, 72, 73, 77, 78, 81, 82, 84, 86, 87, 89, 90, 91, 93, 95, 96, 98 (28 số)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(Không)</t>
        </is>
      </c>
      <c r="F194" s="3" t="inlineStr">
        <is>
          <t>---</t>
        </is>
      </c>
      <c r="G194" s="7" t="inlineStr">
        <is>
          <t>05, 19 (TRƯỢT ❌)</t>
        </is>
      </c>
      <c r="H194" s="6" t="inlineStr">
        <is>
          <t>TRÚNG N1 🎯</t>
        </is>
      </c>
      <c r="I19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94" s="3" t="inlineStr">
        <is>
          <t>03, 04, 08, 09, 12, 13, 14, 17, 18, 19, 21, 22, 23, 26, 27, 28, 30, 31, 32, 35, 36, 37, 40, 41, 44, 45, 46, 49 (28 số)</t>
        </is>
      </c>
      <c r="K194" s="3" t="inlineStr">
        <is>
          <t>03, 04, 08, 09, 12, 13, 14, 17, 18, 19, 21, 22, 23, 26, 27, 28, 30, 31, 32, 35, 36, 37, 40, 41, 44, 45, 46, 49 (28 số)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3" t="inlineStr">
        <is>
          <t>---</t>
        </is>
      </c>
      <c r="G195" s="7" t="inlineStr">
        <is>
          <t>49, 61 (TRƯỢT ❌)</t>
        </is>
      </c>
      <c r="H195" s="6" t="inlineStr">
        <is>
          <t>TRÚNG N1 🎯</t>
        </is>
      </c>
      <c r="I195" s="3" t="inlineStr">
        <is>
          <t>02, 03, 07, 08, 11, 12, 16, 17, 20, 21, 25, 26, 30, 34, 35, 39, 43, 44, 48, 49, 52, 53, 57, 58, 61, 62, 66, 67, 70, 71, 75, 76, 80, 84, 85, 89, 93, 94, 98, 99 (40 số)</t>
        </is>
      </c>
      <c r="J195" s="3" t="inlineStr">
        <is>
          <t>52, 53, 57, 58, 61, 62, 66, 67, 70, 71, 75, 76, 80, 84, 85, 89, 93, 94, 98, 99 (20 số)</t>
        </is>
      </c>
      <c r="K195" s="3" t="inlineStr">
        <is>
          <t>52, 53, 57, 58, 61, 62, 66, 67, 70, 71, 75, 76, 80, 84, 85, 89, 93, 94, 98, 99 (20 số)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(Trúng)</t>
        </is>
      </c>
      <c r="F196" s="3" t="inlineStr">
        <is>
          <t>---</t>
        </is>
      </c>
      <c r="G196" s="7" t="inlineStr">
        <is>
          <t>10, 13 (TRƯỢT ❌)</t>
        </is>
      </c>
      <c r="H196" s="6" t="inlineStr">
        <is>
          <t>TRÚNG N1 🎯</t>
        </is>
      </c>
      <c r="I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96" s="3" t="inlineStr">
        <is>
          <t>01, 04, 06, 09, 10, 13, 14, 15, 18, 19, 22, 23, 24, 27, 28, 29, 31, 32, 33, 36, 37, 38, 40, 41, 42, 45, 46, 47 (28 số)</t>
        </is>
      </c>
      <c r="K196" s="3" t="inlineStr">
        <is>
          <t>01, 04, 06, 09, 10, 13, 14, 15, 18, 19, 22, 23, 24, 27, 28, 29, 31, 32, 33, 36, 37, 38, 40, 41, 42, 45, 46, 47 (28 số)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3" t="inlineStr">
        <is>
          <t>---</t>
        </is>
      </c>
      <c r="G197" s="7" t="inlineStr">
        <is>
          <t>09, 18 (TRƯỢT ❌)</t>
        </is>
      </c>
      <c r="H197" s="7" t="inlineStr">
        <is>
          <t>TRƯỢT KHUNG ❌</t>
        </is>
      </c>
      <c r="I197" s="3" t="inlineStr">
        <is>
          <t>00, 04, 05, 09, 13, 14, 18, 19, 22, 23, 27, 28, 31, 32, 36, 37, 40, 41, 45, 46, 50, 54, 55, 59, 63, 64, 68, 69, 72, 73, 77, 78, 81, 82, 86, 87, 90, 91, 95, 96 (40 số)</t>
        </is>
      </c>
      <c r="J197" s="3" t="inlineStr">
        <is>
          <t>50, 54, 55, 59, 63, 64, 68, 69, 72, 73, 77, 78, 81, 82, 86, 87, 90, 91, 95, 96 (20 số)</t>
        </is>
      </c>
      <c r="K197" s="3" t="inlineStr">
        <is>
          <t>50, 54, 55, 59, 63, 64, 68, 69, 72, 73, 77, 78, 81, 82, 86, 87, 90, 91, 95, 96 (20 số)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(Không)</t>
        </is>
      </c>
      <c r="D198" s="3" t="inlineStr">
        <is>
          <t>70 (Không)</t>
        </is>
      </c>
      <c r="E198" s="3" t="inlineStr">
        <is>
          <t>54 (Trúng)</t>
        </is>
      </c>
      <c r="F198" s="3" t="inlineStr">
        <is>
          <t>---</t>
        </is>
      </c>
      <c r="G198" s="7" t="inlineStr">
        <is>
          <t>26, 57 (TRƯỢT ❌)</t>
        </is>
      </c>
      <c r="H198" s="6" t="inlineStr">
        <is>
          <t>TRÚNG N3 (Siêu Lọc 🎯)</t>
        </is>
      </c>
      <c r="I1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98" s="3" t="inlineStr">
        <is>
          <t>52, 53, 54, 57, 58, 59, 61, 62, 63, 66, 67, 68, 71, 72, 76, 77, 80, 81, 84, 85, 86, 89, 90, 93, 94, 95, 98, 99 (28 số)</t>
        </is>
      </c>
      <c r="K198" s="3" t="inlineStr">
        <is>
          <t>52, 53, 54, 57, 58, 59, 61, 62, 63, 66, 67, 68, 71, 72, 76, 77, 80, 81, 84, 85, 86, 89, 90, 93, 94, 95, 98, 99 (28 số)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(Trúng)</t>
        </is>
      </c>
      <c r="D199" s="3" t="inlineStr">
        <is>
          <t>54 (Không)</t>
        </is>
      </c>
      <c r="E199" s="3" t="inlineStr">
        <is>
          <t>54 (Không)</t>
        </is>
      </c>
      <c r="F199" s="3" t="inlineStr">
        <is>
          <t>---</t>
        </is>
      </c>
      <c r="G199" s="7" t="inlineStr">
        <is>
          <t>01, 44 (TRƯỢT ❌)</t>
        </is>
      </c>
      <c r="H199" s="6" t="inlineStr">
        <is>
          <t>TRÚNG N1 🎯</t>
        </is>
      </c>
      <c r="I1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99" s="3" t="inlineStr">
        <is>
          <t>01, 02, 03, 06, 07, 08, 10, 12, 15, 17, 20, 21, 24, 25, 26, 29, 30, 33, 34, 35, 38, 39, 42, 43, 44, 47, 48, 49 (28 số)</t>
        </is>
      </c>
      <c r="K199" s="3" t="inlineStr">
        <is>
          <t>01, 02, 03, 06, 07, 08, 10, 12, 15, 17, 20, 21, 24, 25, 26, 29, 30, 33, 34, 35, 38, 39, 42, 43, 44, 47, 48, 49 (28 số)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(Không)</t>
        </is>
      </c>
      <c r="D200" s="3" t="inlineStr">
        <is>
          <t>54 (Không)</t>
        </is>
      </c>
      <c r="E200" s="3" t="inlineStr">
        <is>
          <t>38 (Trúng)</t>
        </is>
      </c>
      <c r="F200" s="3" t="inlineStr">
        <is>
          <t>---</t>
        </is>
      </c>
      <c r="G200" s="7" t="inlineStr">
        <is>
          <t>83, 94 (TRƯỢT ❌)</t>
        </is>
      </c>
      <c r="H200" s="6" t="inlineStr">
        <is>
          <t>TRÚNG N3 (Siêu Lọc 🎯)</t>
        </is>
      </c>
      <c r="I200" s="3" t="inlineStr">
        <is>
          <t>01, 03, 06, 08, 10, 12, 15, 17, 21, 24, 26, 29, 30, 33, 35, 38, 42, 44, 47, 49, 51, 53, 56, 58, 60, 62, 65, 67, 71, 74, 76, 79, 80, 83, 85, 88, 92, 94, 97, 99 (40 số)</t>
        </is>
      </c>
      <c r="J200" s="3" t="inlineStr">
        <is>
          <t>01, 03, 06, 08, 10, 12, 15, 17, 21, 24, 26, 29, 30, 33, 35, 38, 42, 44, 47, 49 (20 số)</t>
        </is>
      </c>
      <c r="K200" s="3" t="inlineStr">
        <is>
          <t>01, 03, 06, 08, 10, 12, 15, 17, 21, 24, 26, 29, 30, 33, 35, 38, 42, 44, 47, 49 (20 số)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(Trúng)</t>
        </is>
      </c>
      <c r="D201" s="3" t="inlineStr">
        <is>
          <t>38 (Không)</t>
        </is>
      </c>
      <c r="E201" s="3" t="inlineStr">
        <is>
          <t>28 (Trúng)</t>
        </is>
      </c>
      <c r="F201" s="3" t="inlineStr">
        <is>
          <t>---</t>
        </is>
      </c>
      <c r="G201" s="7" t="inlineStr">
        <is>
          <t>05, 12 (TRƯỢT ❌)</t>
        </is>
      </c>
      <c r="H201" s="6" t="inlineStr">
        <is>
          <t>TRÚNG N1 🎯</t>
        </is>
      </c>
      <c r="I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1" s="3" t="inlineStr">
        <is>
          <t>03, 04, 08, 09, 12, 13, 14, 17, 18, 19, 21, 22, 23, 26, 27, 28, 30, 31, 32, 35, 36, 37, 40, 41, 44, 45, 46, 49 (28 số)</t>
        </is>
      </c>
      <c r="K201" s="3" t="inlineStr">
        <is>
          <t>03, 04, 08, 09, 12, 13, 14, 17, 18, 19, 21, 22, 23, 26, 27, 28, 30, 31, 32, 35, 36, 37, 40, 41, 44, 45, 46, 49 (28 số)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3" t="inlineStr">
        <is>
          <t>---</t>
        </is>
      </c>
      <c r="G202" s="7" t="inlineStr">
        <is>
          <t>54, 63 (TRƯỢT ❌)</t>
        </is>
      </c>
      <c r="H202" s="7" t="inlineStr">
        <is>
          <t>TRƯỢT KHUNG ❌</t>
        </is>
      </c>
      <c r="I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02" s="3" t="inlineStr">
        <is>
          <t>52, 53, 54, 57, 58, 59, 61, 62, 63, 66, 67, 68, 71, 72, 76, 77, 80, 81, 84, 85, 86, 89, 90, 93, 94, 95, 98, 99 (28 số)</t>
        </is>
      </c>
      <c r="K202" s="3" t="inlineStr">
        <is>
          <t>52, 53, 54, 57, 58, 59, 61, 62, 63, 66, 67, 68, 71, 72, 76, 77, 80, 81, 84, 85, 86, 89, 90, 93, 94, 95, 98, 99 (28 số)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(Không)</t>
        </is>
      </c>
      <c r="D203" s="3" t="inlineStr">
        <is>
          <t>16 (Không)</t>
        </is>
      </c>
      <c r="E203" s="3" t="inlineStr">
        <is>
          <t>96 (Không)</t>
        </is>
      </c>
      <c r="F203" s="3" t="inlineStr">
        <is>
          <t>---</t>
        </is>
      </c>
      <c r="G203" s="7" t="inlineStr">
        <is>
          <t>24, 38 (TRƯỢT ❌)</t>
        </is>
      </c>
      <c r="H203" s="7" t="inlineStr">
        <is>
          <t>TRƯỢT KHUNG ❌</t>
        </is>
      </c>
      <c r="I20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3" s="3" t="inlineStr">
        <is>
          <t>51, 53, 54, 56, 58, 59, 60, 62, 63, 65, 67, 68, 71, 72, 74, 77, 79, 80, 81, 83, 85, 86, 88, 90, 92, 94, 97, 99 (28 số)</t>
        </is>
      </c>
      <c r="K203" s="3" t="inlineStr">
        <is>
          <t>51, 53, 54, 56, 58, 59, 60, 62, 63, 65, 67, 68, 71, 72, 74, 77, 79, 80, 81, 83, 85, 86, 88, 90, 92, 94, 97, 99 (28 số)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(Trúng)</t>
        </is>
      </c>
      <c r="E204" s="3" t="inlineStr">
        <is>
          <t>00 (Không)</t>
        </is>
      </c>
      <c r="F204" s="3" t="inlineStr">
        <is>
          <t>---</t>
        </is>
      </c>
      <c r="G204" s="7" t="inlineStr">
        <is>
          <t>02, 28 (TRƯỢT ❌)</t>
        </is>
      </c>
      <c r="H204" s="6" t="inlineStr">
        <is>
          <t>TRÚNG N1 🎯</t>
        </is>
      </c>
      <c r="I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04" s="3" t="inlineStr">
        <is>
          <t>50, 52, 53, 55, 57, 58, 61, 62, 64, 66, 67, 69, 71, 73, 76, 78, 80, 82, 84, 85, 87, 89, 91, 93, 94, 96, 98, 99 (28 số)</t>
        </is>
      </c>
      <c r="K204" s="3" t="inlineStr">
        <is>
          <t>50, 52, 53, 55, 57, 58, 61, 62, 64, 66, 67, 69, 71, 73, 76, 78, 80, 82, 84, 85, 87, 89, 91, 93, 94, 96, 98, 99 (28 số)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(Không)</t>
        </is>
      </c>
      <c r="F205" s="3" t="inlineStr">
        <is>
          <t>---</t>
        </is>
      </c>
      <c r="G205" s="7" t="inlineStr">
        <is>
          <t>16, 25 (TRƯỢT ❌)</t>
        </is>
      </c>
      <c r="H205" s="6" t="inlineStr">
        <is>
          <t>TRÚNG N1 🎯</t>
        </is>
      </c>
      <c r="I205" s="3" t="inlineStr">
        <is>
          <t>00, 02, 05, 07, 11, 14, 16, 19, 20, 23, 25, 28, 32, 34, 37, 39, 41, 43, 46, 48, 50, 52, 55, 57, 61, 64, 66, 69, 70, 73, 75, 78, 82, 84, 87, 89, 91, 93, 96, 98 (40 số)</t>
        </is>
      </c>
      <c r="J205" s="3" t="inlineStr">
        <is>
          <t>00, 02, 05, 07, 11, 14, 16, 19, 20, 23, 25, 28, 32, 34, 37, 39, 41, 43, 46, 48 (20 số)</t>
        </is>
      </c>
      <c r="K205" s="3" t="inlineStr">
        <is>
          <t>00, 02, 05, 07, 11, 14, 16, 19, 20, 23, 25, 28, 32, 34, 37, 39, 41, 43, 46, 48 (20 số)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(Trúng)</t>
        </is>
      </c>
      <c r="E206" s="3" t="inlineStr">
        <is>
          <t>34 (Không)</t>
        </is>
      </c>
      <c r="F206" s="3" t="inlineStr">
        <is>
          <t>---</t>
        </is>
      </c>
      <c r="G206" s="7" t="inlineStr">
        <is>
          <t>29, 55 (TRƯỢT ❌)</t>
        </is>
      </c>
      <c r="H206" s="6" t="inlineStr">
        <is>
          <t>TRÚNG N1 🎯</t>
        </is>
      </c>
      <c r="I206" s="3" t="inlineStr">
        <is>
          <t>00, 01, 05, 06, 10, 14, 15, 19, 23, 24, 28, 29, 32, 33, 37, 38, 41, 42, 46, 47, 50, 51, 55, 56, 60, 64, 65, 69, 73, 74, 78, 79, 82, 83, 87, 88, 91, 92, 96, 97 (40 số)</t>
        </is>
      </c>
      <c r="J206" s="3" t="inlineStr">
        <is>
          <t>50, 51, 55, 56, 60, 64, 65, 69, 73, 74, 78, 79, 82, 83, 87, 88, 91, 92, 96, 97 (20 số)</t>
        </is>
      </c>
      <c r="K206" s="3" t="inlineStr">
        <is>
          <t>50, 51, 55, 56, 60, 64, 65, 69, 73, 74, 78, 79, 82, 83, 87, 88, 91, 92, 96, 97 (20 số)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(Trúng)</t>
        </is>
      </c>
      <c r="D207" s="3" t="inlineStr">
        <is>
          <t>34 (Không)</t>
        </is>
      </c>
      <c r="E207" s="3" t="inlineStr">
        <is>
          <t>10 (Trúng)</t>
        </is>
      </c>
      <c r="F207" s="3" t="inlineStr">
        <is>
          <t>---</t>
        </is>
      </c>
      <c r="G207" s="7" t="inlineStr">
        <is>
          <t>08, 56 (TRƯỢT ❌)</t>
        </is>
      </c>
      <c r="H207" s="6" t="inlineStr">
        <is>
          <t>TRÚNG N1 🎯</t>
        </is>
      </c>
      <c r="I20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7" s="3" t="inlineStr">
        <is>
          <t>01, 03, 04, 06, 08, 09, 10, 12, 15, 17, 18, 21, 22, 24, 26, 27, 29, 30, 31, 33, 35, 38, 40, 42, 44, 45, 47, 49 (28 số)</t>
        </is>
      </c>
      <c r="K207" s="3" t="inlineStr">
        <is>
          <t>01, 03, 04, 06, 08, 09, 10, 12, 15, 17, 18, 21, 22, 24, 26, 27, 29, 30, 31, 33, 35, 38, 40, 42, 44, 45, 47, 49 (28 số)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3" t="inlineStr">
        <is>
          <t>---</t>
        </is>
      </c>
      <c r="G208" s="7" t="inlineStr">
        <is>
          <t>43, 48 (TRƯỢT ❌)</t>
        </is>
      </c>
      <c r="H208" s="6" t="inlineStr">
        <is>
          <t>TRÚNG N1 🎯</t>
        </is>
      </c>
      <c r="I208" s="3" t="inlineStr">
        <is>
          <t>02, 07, 11, 16, 20, 25, 34, 39, 43, 48, 52, 57, 61, 66, 70, 75, 84, 89, 93, 98 (20 số)</t>
        </is>
      </c>
      <c r="J208" s="3" t="inlineStr">
        <is>
          <t>52, 57, 61, 66, 70, 75, 84, 89, 93, 98 (10 số)</t>
        </is>
      </c>
      <c r="K208" s="3" t="inlineStr">
        <is>
          <t>52, 57, 61, 66, 70, 75, 84, 89, 93, 98 (10 số)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(Không)</t>
        </is>
      </c>
      <c r="F209" s="3" t="inlineStr">
        <is>
          <t>---</t>
        </is>
      </c>
      <c r="G209" s="7" t="inlineStr">
        <is>
          <t>06, 36 (TRƯỢT ❌)</t>
        </is>
      </c>
      <c r="H209" s="6" t="inlineStr">
        <is>
          <t>TRÚNG N1 🎯</t>
        </is>
      </c>
      <c r="I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9" s="3" t="inlineStr">
        <is>
          <t>50, 51, 54, 55, 56, 59, 60, 63, 64, 65, 68, 69, 72, 73, 74, 77, 78, 79, 81, 82, 83, 86, 87, 88, 90, 92, 95, 97 (28 số)</t>
        </is>
      </c>
      <c r="K209" s="3" t="inlineStr">
        <is>
          <t>50, 51, 54, 55, 56, 59, 60, 63, 64, 65, 68, 69, 72, 73, 74, 77, 78, 79, 81, 82, 83, 86, 87, 88, 90, 92, 95, 97 (28 số)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(Không)</t>
        </is>
      </c>
      <c r="E210" s="3" t="inlineStr">
        <is>
          <t>47 (Không)</t>
        </is>
      </c>
      <c r="F210" s="3" t="inlineStr">
        <is>
          <t>---</t>
        </is>
      </c>
      <c r="G210" s="7" t="inlineStr">
        <is>
          <t>04, 10 (TRƯỢT ❌)</t>
        </is>
      </c>
      <c r="H210" s="7" t="inlineStr">
        <is>
          <t>TRƯỢT KHUNG ❌</t>
        </is>
      </c>
      <c r="I210" s="3" t="inlineStr">
        <is>
          <t>01, 04, 06, 09, 10, 13, 15, 18, 22, 24, 27, 29, 31, 33, 36, 38, 40, 42, 45, 47, 51, 54, 56, 59, 60, 63, 65, 68, 72, 74, 77, 79, 81, 83, 86, 88, 90, 92, 95, 97 (40 số)</t>
        </is>
      </c>
      <c r="J210" s="3" t="inlineStr">
        <is>
          <t>51, 54, 56, 59, 60, 63, 65, 68, 72, 74, 77, 79, 81, 83, 86, 88, 90, 92, 95, 97 (20 số)</t>
        </is>
      </c>
      <c r="K210" s="3" t="inlineStr">
        <is>
          <t>51, 54, 56, 59, 60, 63, 65, 68, 72, 74, 77, 79, 81, 83, 86, 88, 90, 92, 95, 97 (20 số)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(Không)</t>
        </is>
      </c>
      <c r="D211" s="3" t="inlineStr">
        <is>
          <t>47 (Không)</t>
        </is>
      </c>
      <c r="E211" s="3" t="inlineStr">
        <is>
          <t>25 (Không)</t>
        </is>
      </c>
      <c r="F211" s="3" t="inlineStr">
        <is>
          <t>---</t>
        </is>
      </c>
      <c r="G211" s="7" t="inlineStr">
        <is>
          <t>52, 56 (TRƯỢT ❌)</t>
        </is>
      </c>
      <c r="H211" s="7" t="inlineStr">
        <is>
          <t>TRƯỢT KHUNG ❌</t>
        </is>
      </c>
      <c r="I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11" s="3" t="inlineStr">
        <is>
          <t>51, 52, 53, 56, 57, 58, 60, 61, 62, 65, 66, 67, 71, 74, 76, 79, 80, 83, 84, 85, 88, 89, 92, 93, 94, 97, 98, 99 (28 số)</t>
        </is>
      </c>
      <c r="K211" s="3" t="inlineStr">
        <is>
          <t>51, 52, 53, 56, 57, 58, 60, 61, 62, 65, 66, 67, 71, 74, 76, 79, 80, 83, 84, 85, 88, 89, 92, 93, 94, 97, 98, 99 (28 số)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(Không)</t>
        </is>
      </c>
      <c r="E212" s="3" t="inlineStr">
        <is>
          <t>60 (Không)</t>
        </is>
      </c>
      <c r="F212" s="3" t="inlineStr">
        <is>
          <t>---</t>
        </is>
      </c>
      <c r="G212" s="7" t="inlineStr">
        <is>
          <t>52, 80 (TRƯỢT ❌)</t>
        </is>
      </c>
      <c r="H212" s="7" t="inlineStr">
        <is>
          <t>TRƯỢT KHUNG ❌</t>
        </is>
      </c>
      <c r="I2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2" s="3" t="inlineStr">
        <is>
          <t>50, 52, 53, 55, 57, 58, 61, 62, 64, 66, 67, 69, 71, 73, 76, 78, 80, 82, 84, 85, 87, 89, 91, 93, 94, 96, 98, 99 (28 số)</t>
        </is>
      </c>
      <c r="K212" s="3" t="inlineStr">
        <is>
          <t>50, 52, 53, 55, 57, 58, 61, 62, 64, 66, 67, 69, 71, 73, 76, 78, 80, 82, 84, 85, 87, 89, 91, 93, 94, 96, 98, 99 (28 số)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(Trúng)</t>
        </is>
      </c>
      <c r="E213" s="3" t="inlineStr">
        <is>
          <t>67 (Không)</t>
        </is>
      </c>
      <c r="F213" s="3" t="inlineStr">
        <is>
          <t>---</t>
        </is>
      </c>
      <c r="G213" s="7" t="inlineStr">
        <is>
          <t>04, 29 (TRƯỢT ❌)</t>
        </is>
      </c>
      <c r="H213" s="6" t="inlineStr">
        <is>
          <t>TRÚNG N2 (Siêu Lọc 🎯)</t>
        </is>
      </c>
      <c r="I213" s="3" t="inlineStr">
        <is>
          <t>01, 04, 06, 09, 10, 13, 15, 18, 22, 24, 27, 29, 31, 33, 36, 38, 40, 42, 45, 47, 51, 54, 56, 59, 60, 63, 65, 68, 72, 74, 77, 79, 81, 83, 86, 88, 90, 92, 95, 97 (40 số)</t>
        </is>
      </c>
      <c r="J213" s="3" t="inlineStr">
        <is>
          <t>51, 54, 56, 59, 60, 63, 65, 68, 72, 74, 77, 79, 81, 83, 86, 88, 90, 92, 95, 97 (20 số)</t>
        </is>
      </c>
      <c r="K213" s="3" t="inlineStr">
        <is>
          <t>51, 54, 56, 59, 60, 63, 65, 68, 72, 74, 77, 79, 81, 83, 86, 88, 90, 92, 95, 97 (20 số)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(Không)</t>
        </is>
      </c>
      <c r="E214" s="3" t="inlineStr">
        <is>
          <t>79 (Không)</t>
        </is>
      </c>
      <c r="F214" s="3" t="inlineStr">
        <is>
          <t>---</t>
        </is>
      </c>
      <c r="G214" s="7" t="inlineStr">
        <is>
          <t>25, 44 (TRƯỢT ❌)</t>
        </is>
      </c>
      <c r="H214" s="7" t="inlineStr">
        <is>
          <t>TRƯỢT KHUNG ❌</t>
        </is>
      </c>
      <c r="I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4" s="3" t="inlineStr">
        <is>
          <t>02, 03, 05, 07, 08, 11, 12, 14, 17, 19, 20, 21, 23, 25, 26, 28, 30, 32, 34, 35, 37, 39, 41, 43, 44, 46, 48, 49 (28 số)</t>
        </is>
      </c>
      <c r="K214" s="3" t="inlineStr">
        <is>
          <t>02, 03, 05, 07, 08, 11, 12, 14, 17, 19, 20, 21, 23, 25, 26, 28, 30, 32, 34, 35, 37, 39, 41, 43, 44, 46, 48, 49 (28 số)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(Không)</t>
        </is>
      </c>
      <c r="E215" s="3" t="inlineStr">
        <is>
          <t>22 (Trúng)</t>
        </is>
      </c>
      <c r="F215" s="3" t="inlineStr">
        <is>
          <t>---</t>
        </is>
      </c>
      <c r="G215" s="7" t="inlineStr">
        <is>
          <t>18, 75 (TRƯỢT ❌)</t>
        </is>
      </c>
      <c r="H215" s="6" t="inlineStr">
        <is>
          <t>TRÚNG N3 (Siêu Lọc 🎯)</t>
        </is>
      </c>
      <c r="I215" s="3" t="inlineStr">
        <is>
          <t>02, 04, 07, 09, 11, 13, 16, 18, 20, 22, 25, 27, 31, 34, 36, 39, 40, 43, 45, 48, 52, 54, 57, 59, 61, 63, 66, 68, 70, 72, 75, 77, 81, 84, 86, 89, 90, 93, 95, 98 (40 số)</t>
        </is>
      </c>
      <c r="J215" s="3" t="inlineStr">
        <is>
          <t>02, 04, 07, 09, 11, 13, 16, 18, 20, 22, 25, 27, 31, 34, 36, 39, 40, 43, 45, 48 (20 số)</t>
        </is>
      </c>
      <c r="K215" s="3" t="inlineStr">
        <is>
          <t>02, 04, 07, 09, 11, 13, 16, 18, 20, 22, 25, 27, 31, 34, 36, 39, 40, 43, 45, 48 (20 số)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(Trúng)</t>
        </is>
      </c>
      <c r="E216" s="3" t="inlineStr">
        <is>
          <t>21 (Trúng)</t>
        </is>
      </c>
      <c r="F216" s="3" t="inlineStr">
        <is>
          <t>---</t>
        </is>
      </c>
      <c r="G216" s="7" t="inlineStr">
        <is>
          <t>35, 67 (TRƯỢT ❌)</t>
        </is>
      </c>
      <c r="H216" s="6" t="inlineStr">
        <is>
          <t>TRÚNG N2 (Siêu Lọc 🎯)</t>
        </is>
      </c>
      <c r="I2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6" s="3" t="inlineStr">
        <is>
          <t>03, 04, 08, 09, 12, 13, 14, 17, 18, 19, 21, 22, 23, 26, 27, 28, 30, 31, 32, 35, 36, 37, 40, 41, 44, 45, 46, 49 (28 số)</t>
        </is>
      </c>
      <c r="K216" s="3" t="inlineStr">
        <is>
          <t>03, 04, 08, 09, 12, 13, 14, 17, 18, 19, 21, 22, 23, 26, 27, 28, 30, 31, 32, 35, 36, 37, 40, 41, 44, 45, 46, 49 (28 số)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(Trúng)</t>
        </is>
      </c>
      <c r="D217" s="3" t="inlineStr">
        <is>
          <t>21 (Không)</t>
        </is>
      </c>
      <c r="E217" s="3" t="inlineStr">
        <is>
          <t>57 (Không)</t>
        </is>
      </c>
      <c r="F217" s="3" t="inlineStr">
        <is>
          <t>---</t>
        </is>
      </c>
      <c r="G217" s="7" t="inlineStr">
        <is>
          <t>44, 47 (TRƯỢT ❌)</t>
        </is>
      </c>
      <c r="H217" s="6" t="inlineStr">
        <is>
          <t>TRÚNG N1 🎯</t>
        </is>
      </c>
      <c r="I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7" s="3" t="inlineStr">
        <is>
          <t>51, 53, 54, 56, 58, 59, 60, 62, 63, 65, 67, 68, 71, 72, 74, 77, 79, 80, 81, 83, 85, 86, 88, 90, 92, 94, 97, 99 (28 số)</t>
        </is>
      </c>
      <c r="K217" s="3" t="inlineStr">
        <is>
          <t>51, 53, 54, 56, 58, 59, 60, 62, 63, 65, 67, 68, 71, 72, 74, 77, 79, 80, 81, 83, 85, 86, 88, 90, 92, 94, 97, 99 (28 số)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(Trúng)</t>
        </is>
      </c>
      <c r="D218" s="3" t="inlineStr">
        <is>
          <t>57 (Không)</t>
        </is>
      </c>
      <c r="E218" s="3" t="inlineStr">
        <is>
          <t>91 (Không)</t>
        </is>
      </c>
      <c r="F218" s="3" t="inlineStr">
        <is>
          <t>---</t>
        </is>
      </c>
      <c r="G218" s="7" t="inlineStr">
        <is>
          <t>22, 78 (TRƯỢT ❌)</t>
        </is>
      </c>
      <c r="H218" s="6" t="inlineStr">
        <is>
          <t>TRÚNG N1 🎯</t>
        </is>
      </c>
      <c r="I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8" s="3" t="inlineStr">
        <is>
          <t>50, 53, 54, 55, 58, 59, 62, 63, 64, 67, 68, 69, 71, 72, 73, 76, 77, 78, 80, 81, 82, 85, 86, 87, 90, 94, 95, 99 (28 số)</t>
        </is>
      </c>
      <c r="K218" s="3" t="inlineStr">
        <is>
          <t>50, 53, 54, 55, 58, 59, 62, 63, 64, 67, 68, 69, 71, 72, 73, 76, 77, 78, 80, 81, 82, 85, 86, 87, 90, 94, 95, 99 (28 số)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3" t="inlineStr">
        <is>
          <t>---</t>
        </is>
      </c>
      <c r="G219" s="7" t="inlineStr">
        <is>
          <t>21, 29 (TRƯỢT ❌)</t>
        </is>
      </c>
      <c r="H219" s="6" t="inlineStr">
        <is>
          <t>TRÚNG N3 (Siêu Lọc 🎯)</t>
        </is>
      </c>
      <c r="I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9" s="3" t="inlineStr">
        <is>
          <t>01, 03, 04, 06, 08, 09, 10, 12, 15, 17, 18, 21, 22, 24, 26, 27, 29, 30, 31, 33, 35, 38, 40, 42, 44, 45, 47, 49 (28 số)</t>
        </is>
      </c>
      <c r="K219" s="3" t="inlineStr">
        <is>
          <t>01, 03, 04, 06, 08, 09, 10, 12, 15, 17, 18, 21, 22, 24, 26, 27, 29, 30, 31, 33, 35, 38, 40, 42, 44, 45, 47, 49 (28 số)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3" t="inlineStr">
        <is>
          <t>---</t>
        </is>
      </c>
      <c r="G220" s="7" t="inlineStr">
        <is>
          <t>02, 57 (TRƯỢT ❌)</t>
        </is>
      </c>
      <c r="H220" s="7" t="inlineStr">
        <is>
          <t>TRƯỢT KHUNG ❌</t>
        </is>
      </c>
      <c r="I220" s="3" t="inlineStr">
        <is>
          <t>02, 04, 07, 09, 11, 13, 16, 18, 20, 22, 25, 27, 31, 34, 36, 39, 40, 43, 45, 48, 52, 54, 57, 59, 61, 63, 66, 68, 70, 72, 75, 77, 81, 84, 86, 89, 90, 93, 95, 98 (40 số)</t>
        </is>
      </c>
      <c r="J220" s="3" t="inlineStr">
        <is>
          <t>02, 04, 07, 09, 11, 13, 16, 18, 20, 22, 25, 27, 31, 34, 36, 39, 40, 43, 45, 48 (20 số)</t>
        </is>
      </c>
      <c r="K220" s="3" t="inlineStr">
        <is>
          <t>02, 04, 07, 09, 11, 13, 16, 18, 20, 22, 25, 27, 31, 34, 36, 39, 40, 43, 45, 48 (20 số)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(Không)</t>
        </is>
      </c>
      <c r="F221" s="3" t="inlineStr">
        <is>
          <t>---</t>
        </is>
      </c>
      <c r="G221" s="7" t="inlineStr">
        <is>
          <t>22, 40 (TRƯỢT ❌)</t>
        </is>
      </c>
      <c r="H221" s="7" t="inlineStr">
        <is>
          <t>TRƯỢT KHUNG ❌</t>
        </is>
      </c>
      <c r="I221" s="3" t="inlineStr">
        <is>
          <t>01, 04, 06, 09, 10, 13, 15, 18, 22, 24, 27, 29, 31, 33, 36, 38, 40, 42, 45, 47, 51, 54, 56, 59, 60, 63, 65, 68, 72, 74, 77, 79, 81, 83, 86, 88, 90, 92, 95, 97 (40 số)</t>
        </is>
      </c>
      <c r="J221" s="3" t="inlineStr">
        <is>
          <t>51, 54, 56, 59, 60, 63, 65, 68, 72, 74, 77, 79, 81, 83, 86, 88, 90, 92, 95, 97 (20 số)</t>
        </is>
      </c>
      <c r="K221" s="3" t="inlineStr">
        <is>
          <t>51, 54, 56, 59, 60, 63, 65, 68, 72, 74, 77, 79, 81, 83, 86, 88, 90, 92, 95, 97 (20 số)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(Không)</t>
        </is>
      </c>
      <c r="F222" s="3" t="inlineStr">
        <is>
          <t>---</t>
        </is>
      </c>
      <c r="G222" s="7" t="inlineStr">
        <is>
          <t>21, 26 (TRƯỢT ❌)</t>
        </is>
      </c>
      <c r="H222" s="6" t="inlineStr">
        <is>
          <t>TRÚNG N1 🎯</t>
        </is>
      </c>
      <c r="I222" s="3" t="inlineStr">
        <is>
          <t>01, 03, 06, 08, 10, 12, 15, 17, 21, 24, 26, 29, 30, 33, 35, 38, 42, 44, 47, 49, 51, 53, 56, 58, 60, 62, 65, 67, 71, 74, 76, 79, 80, 83, 85, 88, 92, 94, 97, 99 (40 số)</t>
        </is>
      </c>
      <c r="J222" s="3" t="inlineStr">
        <is>
          <t>51, 53, 56, 58, 60, 62, 65, 67, 71, 74, 76, 79, 80, 83, 85, 88, 92, 94, 97, 99 (20 số)</t>
        </is>
      </c>
      <c r="K222" s="3" t="inlineStr">
        <is>
          <t>51, 53, 56, 58, 60, 62, 65, 67, 71, 74, 76, 79, 80, 83, 85, 88, 92, 94, 97, 99 (20 số)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3" t="inlineStr">
        <is>
          <t>---</t>
        </is>
      </c>
      <c r="G223" s="7" t="inlineStr">
        <is>
          <t>14, 19 (TRƯỢT ❌)</t>
        </is>
      </c>
      <c r="H223" s="6" t="inlineStr">
        <is>
          <t>TRÚNG N2 (Siêu Lọc 🎯)</t>
        </is>
      </c>
      <c r="I223" s="3" t="inlineStr">
        <is>
          <t>00, 03, 05, 08, 12, 14, 17, 19, 21, 23, 26, 28, 30, 32, 35, 37, 41, 44, 46, 49, 50, 53, 55, 58, 62, 64, 67, 69, 71, 73, 76, 78, 80, 82, 85, 87, 91, 94, 96, 99 (40 số)</t>
        </is>
      </c>
      <c r="J223" s="3" t="inlineStr">
        <is>
          <t>50, 53, 55, 58, 62, 64, 67, 69, 71, 73, 76, 78, 80, 82, 85, 87, 91, 94, 96, 99 (20 số)</t>
        </is>
      </c>
      <c r="K223" s="3" t="inlineStr">
        <is>
          <t>50, 53, 55, 58, 62, 64, 67, 69, 71, 73, 76, 78, 80, 82, 85, 87, 91, 94, 96, 99 (20 số)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(Không)</t>
        </is>
      </c>
      <c r="E224" s="3" t="inlineStr">
        <is>
          <t>39 (Trúng)</t>
        </is>
      </c>
      <c r="F224" s="3" t="inlineStr">
        <is>
          <t>---</t>
        </is>
      </c>
      <c r="G224" s="7" t="inlineStr">
        <is>
          <t>18, 43 (TRƯỢT ❌)</t>
        </is>
      </c>
      <c r="H224" s="6" t="inlineStr">
        <is>
          <t>TRÚNG N1 🎯</t>
        </is>
      </c>
      <c r="I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4" s="3" t="inlineStr">
        <is>
          <t>02, 04, 05, 07, 09, 11, 13, 14, 18, 19, 20, 22, 23, 25, 27, 28, 31, 32, 34, 36, 37, 39, 40, 41, 43, 45, 46, 48 (28 số)</t>
        </is>
      </c>
      <c r="K224" s="3" t="inlineStr">
        <is>
          <t>02, 04, 05, 07, 09, 11, 13, 14, 18, 19, 20, 22, 23, 25, 27, 28, 31, 32, 34, 36, 37, 39, 40, 41, 43, 45, 46, 48 (28 số)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(Không)</t>
        </is>
      </c>
      <c r="F225" s="3" t="inlineStr">
        <is>
          <t>---</t>
        </is>
      </c>
      <c r="G225" s="7" t="inlineStr">
        <is>
          <t>33, 52 (TRƯỢT ❌)</t>
        </is>
      </c>
      <c r="H225" s="6" t="inlineStr">
        <is>
          <t>TRÚNG N2 (Siêu Lọc 🎯)</t>
        </is>
      </c>
      <c r="I225" s="3" t="inlineStr">
        <is>
          <t>01, 02, 06, 07, 10, 11, 15, 16, 20, 24, 25, 29, 33, 34, 38, 39, 42, 43, 47, 48, 51, 52, 56, 57, 60, 61, 65, 66, 70, 74, 75, 79, 83, 84, 88, 89, 92, 93, 97, 98 (40 số)</t>
        </is>
      </c>
      <c r="J225" s="3" t="inlineStr">
        <is>
          <t>01, 02, 06, 07, 10, 11, 15, 16, 20, 24, 25, 29, 33, 34, 38, 39, 42, 43, 47, 48 (20 số)</t>
        </is>
      </c>
      <c r="K225" s="3" t="inlineStr">
        <is>
          <t>01, 02, 06, 07, 10, 11, 15, 16, 20, 24, 25, 29, 33, 34, 38, 39, 42, 43, 47, 48 (20 số)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(Không)</t>
        </is>
      </c>
      <c r="F226" s="3" t="inlineStr">
        <is>
          <t>---</t>
        </is>
      </c>
      <c r="G226" s="7" t="inlineStr">
        <is>
          <t>52, 73 (TRƯỢT ❌)</t>
        </is>
      </c>
      <c r="H226" s="6" t="inlineStr">
        <is>
          <t>TRÚNG N1 🎯</t>
        </is>
      </c>
      <c r="I226" s="3" t="inlineStr">
        <is>
          <t>00, 02, 05, 07, 11, 14, 16, 19, 20, 23, 25, 28, 32, 34, 37, 39, 41, 43, 46, 48, 50, 52, 55, 57, 61, 64, 66, 69, 70, 73, 75, 78, 82, 84, 87, 89, 91, 93, 96, 98 (40 số)</t>
        </is>
      </c>
      <c r="J226" s="3" t="inlineStr">
        <is>
          <t>50, 52, 55, 57, 61, 64, 66, 69, 70, 73, 75, 78, 82, 84, 87, 89, 91, 93, 96, 98 (20 số)</t>
        </is>
      </c>
      <c r="K226" s="3" t="inlineStr">
        <is>
          <t>50, 52, 55, 57, 61, 64, 66, 69, 70, 73, 75, 78, 82, 84, 87, 89, 91, 93, 96, 98 (20 số)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3" t="inlineStr">
        <is>
          <t>---</t>
        </is>
      </c>
      <c r="G227" s="7" t="inlineStr">
        <is>
          <t>39, 61 (TRƯỢT ❌)</t>
        </is>
      </c>
      <c r="H227" s="6" t="inlineStr">
        <is>
          <t>TRÚNG N2 (Siêu Lọc 🎯)</t>
        </is>
      </c>
      <c r="I227" s="3" t="inlineStr">
        <is>
          <t>02, 03, 07, 08, 11, 12, 16, 17, 20, 21, 25, 26, 30, 34, 35, 39, 43, 44, 48, 49, 52, 53, 57, 58, 61, 62, 66, 67, 70, 71, 75, 76, 80, 84, 85, 89, 93, 94, 98, 99 (40 số)</t>
        </is>
      </c>
      <c r="J227" s="3" t="inlineStr">
        <is>
          <t>02, 03, 07, 08, 11, 12, 16, 17, 20, 21, 25, 26, 30, 34, 35, 39, 43, 44, 48, 49 (20 số)</t>
        </is>
      </c>
      <c r="K227" s="3" t="inlineStr">
        <is>
          <t>02, 03, 07, 08, 11, 12, 16, 17, 20, 21, 25, 26, 30, 34, 35, 39, 43, 44, 48, 49 (20 số)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(Không)</t>
        </is>
      </c>
      <c r="F228" s="3" t="inlineStr">
        <is>
          <t>---</t>
        </is>
      </c>
      <c r="G228" s="7" t="inlineStr">
        <is>
          <t>04, 13 (TRƯỢT ❌)</t>
        </is>
      </c>
      <c r="H228" s="7" t="inlineStr">
        <is>
          <t>TRƯỢT KHUNG ❌</t>
        </is>
      </c>
      <c r="I228" s="3" t="inlineStr">
        <is>
          <t>01, 04, 06, 09, 10, 13, 15, 18, 22, 24, 27, 29, 31, 33, 36, 38, 40, 42, 45, 47, 51, 54, 56, 59, 60, 63, 65, 68, 72, 74, 77, 79, 81, 83, 86, 88, 90, 92, 95, 97 (40 số)</t>
        </is>
      </c>
      <c r="J228" s="3" t="inlineStr">
        <is>
          <t>51, 54, 56, 59, 60, 63, 65, 68, 72, 74, 77, 79, 81, 83, 86, 88, 90, 92, 95, 97 (20 số)</t>
        </is>
      </c>
      <c r="K228" s="3" t="inlineStr">
        <is>
          <t>51, 54, 56, 59, 60, 63, 65, 68, 72, 74, 77, 79, 81, 83, 86, 88, 90, 92, 95, 97 (20 số)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(Không)</t>
        </is>
      </c>
      <c r="F229" s="3" t="inlineStr">
        <is>
          <t>---</t>
        </is>
      </c>
      <c r="G229" s="7" t="inlineStr">
        <is>
          <t>11, 19 (TRƯỢT ❌)</t>
        </is>
      </c>
      <c r="H229" s="6" t="inlineStr">
        <is>
          <t>TRÚNG N1 🎯</t>
        </is>
      </c>
      <c r="I229" s="3" t="inlineStr">
        <is>
          <t>00, 02, 05, 07, 11, 14, 16, 19, 20, 23, 25, 28, 32, 34, 37, 39, 41, 43, 46, 48, 50, 52, 55, 57, 61, 64, 66, 69, 70, 73, 75, 78, 82, 84, 87, 89, 91, 93, 96, 98 (40 số)</t>
        </is>
      </c>
      <c r="J229" s="3" t="inlineStr">
        <is>
          <t>50, 52, 55, 57, 61, 64, 66, 69, 70, 73, 75, 78, 82, 84, 87, 89, 91, 93, 96, 98 (20 số)</t>
        </is>
      </c>
      <c r="K229" s="3" t="inlineStr">
        <is>
          <t>50, 52, 55, 57, 61, 64, 66, 69, 70, 73, 75, 78, 82, 84, 87, 89, 91, 93, 96, 98 (20 số)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(Không)</t>
        </is>
      </c>
      <c r="F230" s="3" t="inlineStr">
        <is>
          <t>---</t>
        </is>
      </c>
      <c r="G230" s="7" t="inlineStr">
        <is>
          <t>34, 47 (TRƯỢT ❌)</t>
        </is>
      </c>
      <c r="H230" s="6" t="inlineStr">
        <is>
          <t>TRÚNG N1 🎯</t>
        </is>
      </c>
      <c r="I230" s="3" t="inlineStr">
        <is>
          <t>01, 02, 06, 07, 10, 11, 15, 16, 20, 24, 25, 29, 33, 34, 38, 39, 42, 43, 47, 48, 51, 52, 56, 57, 60, 61, 65, 66, 70, 74, 75, 79, 83, 84, 88, 89, 92, 93, 97, 98 (40 số)</t>
        </is>
      </c>
      <c r="J230" s="3" t="inlineStr">
        <is>
          <t>51, 52, 56, 57, 60, 61, 65, 66, 70, 74, 75, 79, 83, 84, 88, 89, 92, 93, 97, 98 (20 số)</t>
        </is>
      </c>
      <c r="K230" s="3" t="inlineStr">
        <is>
          <t>51, 52, 56, 57, 60, 61, 65, 66, 70, 74, 75, 79, 83, 84, 88, 89, 92, 93, 97, 98 (20 số)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13 (Trúng)</t>
        </is>
      </c>
      <c r="D231" s="3" t="inlineStr">
        <is>
          <t>38 (Không)</t>
        </is>
      </c>
      <c r="E231" s="3" t="inlineStr">
        <is>
          <t>17 (Không)</t>
        </is>
      </c>
      <c r="F231" s="3" t="inlineStr">
        <is>
          <t>---</t>
        </is>
      </c>
      <c r="G231" s="7" t="inlineStr">
        <is>
          <t>35, 67 (TRƯỢT ❌)</t>
        </is>
      </c>
      <c r="H231" s="6" t="inlineStr">
        <is>
          <t>TRÚNG N1 🎯</t>
        </is>
      </c>
      <c r="I231" s="3" t="inlineStr">
        <is>
          <t>03, 04, 08, 09, 12, 13, 17, 18, 21, 22, 26, 27, 30, 31, 35, 36, 40, 44, 45, 49, 53, 54, 58, 59, 62, 63, 67, 68, 71, 72, 76, 77, 80, 81, 85, 86, 90, 94, 95, 99 (40 số)</t>
        </is>
      </c>
      <c r="J231" s="3" t="inlineStr">
        <is>
          <t>53, 54, 58, 59, 62, 63, 67, 68, 71, 72, 76, 77, 80, 81, 85, 86, 90, 94, 95, 99 (20 số)</t>
        </is>
      </c>
      <c r="K231" s="3" t="inlineStr">
        <is>
          <t>53, 54, 58, 59, 62, 63, 67, 68, 71, 72, 76, 77, 80, 81, 85, 86, 90, 94, 95, 99 (20 số)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38 (Trúng)</t>
        </is>
      </c>
      <c r="D232" s="3" t="inlineStr">
        <is>
          <t>17 (Không)</t>
        </is>
      </c>
      <c r="E232" s="3" t="inlineStr">
        <is>
          <t>80 (Trúng)</t>
        </is>
      </c>
      <c r="F232" s="3" t="inlineStr">
        <is>
          <t>---</t>
        </is>
      </c>
      <c r="G232" s="7" t="inlineStr">
        <is>
          <t>06, 09 (TRƯỢT ❌)</t>
        </is>
      </c>
      <c r="H232" s="6" t="inlineStr">
        <is>
          <t>TRÚNG N1 🎯</t>
        </is>
      </c>
      <c r="I2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32" s="3" t="inlineStr">
        <is>
          <t>51, 53, 54, 56, 58, 59, 60, 62, 63, 65, 67, 68, 71, 72, 74, 77, 79, 80, 81, 83, 85, 86, 88, 90, 92, 94, 97, 99 (28 số)</t>
        </is>
      </c>
      <c r="K232" s="3" t="inlineStr">
        <is>
          <t>51, 53, 54, 56, 58, 59, 60, 62, 63, 65, 67, 68, 71, 72, 74, 77, 79, 80, 81, 83, 85, 86, 88, 90, 92, 94, 97, 99 (28 số)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17 (Không)</t>
        </is>
      </c>
      <c r="D233" s="3" t="inlineStr">
        <is>
          <t>80 (Không)</t>
        </is>
      </c>
      <c r="E233" s="3" t="inlineStr">
        <is>
          <t>61 (Không)</t>
        </is>
      </c>
      <c r="F233" s="3" t="inlineStr">
        <is>
          <t>---</t>
        </is>
      </c>
      <c r="G233" s="7" t="inlineStr">
        <is>
          <t>38, 68 (TRƯỢT ❌)</t>
        </is>
      </c>
      <c r="H233" s="7" t="inlineStr">
        <is>
          <t>TRƯỢT KHUNG ❌</t>
        </is>
      </c>
      <c r="I23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33" s="3" t="inlineStr">
        <is>
          <t>50, 51, 54, 55, 56, 59, 60, 63, 64, 65, 68, 69, 72, 73, 74, 77, 78, 79, 81, 82, 83, 86, 87, 88, 90, 92, 95, 97 (28 số)</t>
        </is>
      </c>
      <c r="K233" s="3" t="inlineStr">
        <is>
          <t>50, 51, 54, 55, 56, 59, 60, 63, 64, 65, 68, 69, 72, 73, 74, 77, 78, 79, 81, 82, 83, 86, 87, 88, 90, 92, 95, 97 (28 số)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80 (Trúng)</t>
        </is>
      </c>
      <c r="D234" s="3" t="inlineStr">
        <is>
          <t>61 (Không)</t>
        </is>
      </c>
      <c r="E234" s="3" t="inlineStr">
        <is>
          <t>45 (Trúng)</t>
        </is>
      </c>
      <c r="F234" s="3" t="inlineStr">
        <is>
          <t>---</t>
        </is>
      </c>
      <c r="G234" s="7" t="inlineStr">
        <is>
          <t>17, 19 (TRƯỢT ❌)</t>
        </is>
      </c>
      <c r="H234" s="6" t="inlineStr">
        <is>
          <t>TRÚNG N1 🎯</t>
        </is>
      </c>
      <c r="I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4" s="3" t="inlineStr">
        <is>
          <t>03, 04, 08, 09, 12, 13, 14, 17, 18, 19, 21, 22, 23, 26, 27, 28, 30, 31, 32, 35, 36, 37, 40, 41, 44, 45, 46, 49 (28 số)</t>
        </is>
      </c>
      <c r="K234" s="3" t="inlineStr">
        <is>
          <t>03, 04, 08, 09, 12, 13, 14, 17, 18, 19, 21, 22, 23, 26, 27, 28, 30, 31, 32, 35, 36, 37, 40, 41, 44, 45, 46, 49 (28 số)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61 (Không)</t>
        </is>
      </c>
      <c r="D235" s="3" t="inlineStr">
        <is>
          <t>45 (Trúng)</t>
        </is>
      </c>
      <c r="E235" s="3" t="inlineStr">
        <is>
          <t>68 (Không)</t>
        </is>
      </c>
      <c r="F235" s="3" t="inlineStr">
        <is>
          <t>---</t>
        </is>
      </c>
      <c r="G235" s="6" t="inlineStr">
        <is>
          <t>09, 45 (TRÚNG 🎯)</t>
        </is>
      </c>
      <c r="H235" s="6" t="inlineStr">
        <is>
          <t>TRÚNG N2 (Siêu Lọc 🎯)</t>
        </is>
      </c>
      <c r="I235" s="3" t="inlineStr">
        <is>
          <t>00, 04, 05, 09, 13, 14, 18, 19, 22, 23, 27, 28, 31, 32, 36, 37, 40, 41, 45, 46, 50, 54, 55, 59, 63, 64, 68, 69, 72, 73, 77, 78, 81, 82, 86, 87, 90, 91, 95, 96 (40 số)</t>
        </is>
      </c>
      <c r="J235" s="3" t="inlineStr">
        <is>
          <t>00, 04, 05, 09, 13, 14, 18, 19, 22, 23, 27, 28, 31, 32, 36, 37, 40, 41, 45, 46 (20 số)</t>
        </is>
      </c>
      <c r="K235" s="3" t="inlineStr">
        <is>
          <t>00, 04, 05, 09, 13, 14, 18, 19, 22, 23, 27, 28, 31, 32, 36, 37, 40, 41, 45, 46 (20 số)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45 (Trúng)</t>
        </is>
      </c>
      <c r="D236" s="3" t="inlineStr">
        <is>
          <t>68 (Trúng)</t>
        </is>
      </c>
      <c r="E236" s="3" t="inlineStr">
        <is>
          <t>37 (Không)</t>
        </is>
      </c>
      <c r="F236" s="3" t="inlineStr">
        <is>
          <t>---</t>
        </is>
      </c>
      <c r="G236" s="6" t="inlineStr">
        <is>
          <t>23, 68 (TRÚNG 🎯)</t>
        </is>
      </c>
      <c r="H236" s="6" t="inlineStr">
        <is>
          <t>TRÚNG N1 🎯</t>
        </is>
      </c>
      <c r="I236" s="3" t="inlineStr">
        <is>
          <t>00, 04, 05, 09, 13, 14, 18, 19, 22, 23, 27, 28, 31, 32, 36, 37, 40, 41, 45, 46, 50, 54, 55, 59, 63, 64, 68, 69, 72, 73, 77, 78, 81, 82, 86, 87, 90, 91, 95, 96 (40 số)</t>
        </is>
      </c>
      <c r="J236" s="3" t="inlineStr">
        <is>
          <t>50, 54, 55, 59, 63, 64, 68, 69, 72, 73, 77, 78, 81, 82, 86, 87, 90, 91, 95, 96 (20 số)</t>
        </is>
      </c>
      <c r="K236" s="3" t="inlineStr">
        <is>
          <t>50, 54, 55, 59, 63, 64, 68, 69, 72, 73, 77, 78, 81, 82, 86, 87, 90, 91, 95, 96 (20 số)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68 (Trúng)</t>
        </is>
      </c>
      <c r="D237" s="3" t="inlineStr">
        <is>
          <t>37 (Không)</t>
        </is>
      </c>
      <c r="E237" s="3" t="inlineStr">
        <is>
          <t>72 (Không)</t>
        </is>
      </c>
      <c r="F237" s="3" t="inlineStr">
        <is>
          <t>---</t>
        </is>
      </c>
      <c r="G237" s="7" t="inlineStr">
        <is>
          <t>03, 45 (TRƯỢT ❌)</t>
        </is>
      </c>
      <c r="H237" s="6" t="inlineStr">
        <is>
          <t>TRÚNG N1 🎯</t>
        </is>
      </c>
      <c r="I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37" s="3" t="inlineStr">
        <is>
          <t>02, 03, 04, 07, 08, 09, 12, 13, 17, 18, 20, 21, 22, 25, 26, 27, 30, 31, 34, 35, 36, 39, 40, 43, 44, 45, 48, 49 (28 số)</t>
        </is>
      </c>
      <c r="K237" s="3" t="inlineStr">
        <is>
          <t>02, 03, 04, 07, 08, 09, 12, 13, 17, 18, 20, 21, 22, 25, 26, 27, 30, 31, 34, 35, 36, 39, 40, 43, 44, 45, 48, 49 (28 số)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37 (Trúng)</t>
        </is>
      </c>
      <c r="D238" s="3" t="inlineStr">
        <is>
          <t>72 (Trúng)</t>
        </is>
      </c>
      <c r="E238" s="3" t="inlineStr">
        <is>
          <t>44 (Không)</t>
        </is>
      </c>
      <c r="F238" s="3" t="inlineStr">
        <is>
          <t>---</t>
        </is>
      </c>
      <c r="G238" s="7" t="inlineStr">
        <is>
          <t>59, 68 (TRƯỢT ❌)</t>
        </is>
      </c>
      <c r="H238" s="6" t="inlineStr">
        <is>
          <t>TRÚNG N1 🎯</t>
        </is>
      </c>
      <c r="I238" s="3" t="inlineStr">
        <is>
          <t>00, 04, 05, 09, 13, 14, 18, 19, 22, 23, 27, 28, 31, 32, 36, 37, 40, 41, 45, 46, 50, 54, 55, 59, 63, 64, 68, 69, 72, 73, 77, 78, 81, 82, 86, 87, 90, 91, 95, 96 (40 số)</t>
        </is>
      </c>
      <c r="J238" s="3" t="inlineStr">
        <is>
          <t>50, 54, 55, 59, 63, 64, 68, 69, 72, 73, 77, 78, 81, 82, 86, 87, 90, 91, 95, 96 (20 số)</t>
        </is>
      </c>
      <c r="K238" s="3" t="inlineStr">
        <is>
          <t>50, 54, 55, 59, 63, 64, 68, 69, 72, 73, 77, 78, 81, 82, 86, 87, 90, 91, 95, 96 (20 số)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72 (Không)</t>
        </is>
      </c>
      <c r="D239" s="3" t="inlineStr">
        <is>
          <t>44 (Trúng)</t>
        </is>
      </c>
      <c r="E239" s="3" t="inlineStr">
        <is>
          <t>21 (Trúng)</t>
        </is>
      </c>
      <c r="F239" s="3" t="inlineStr">
        <is>
          <t>---</t>
        </is>
      </c>
      <c r="G239" s="7" t="inlineStr">
        <is>
          <t>34, 43 (TRƯỢT ❌)</t>
        </is>
      </c>
      <c r="H239" s="6" t="inlineStr">
        <is>
          <t>TRÚNG N2 (Siêu Lọc 🎯)</t>
        </is>
      </c>
      <c r="I239" s="3" t="inlineStr">
        <is>
          <t>02, 03, 07, 08, 11, 12, 16, 17, 20, 21, 25, 26, 30, 34, 35, 39, 43, 44, 48, 49, 52, 53, 57, 58, 61, 62, 66, 67, 70, 71, 75, 76, 80, 84, 85, 89, 93, 94, 98, 99 (40 số)</t>
        </is>
      </c>
      <c r="J239" s="3" t="inlineStr">
        <is>
          <t>02, 03, 07, 08, 11, 12, 16, 17, 20, 21, 25, 26, 30, 34, 35, 39, 43, 44, 48, 49 (20 số)</t>
        </is>
      </c>
      <c r="K239" s="3" t="inlineStr">
        <is>
          <t>02, 03, 07, 08, 11, 12, 16, 17, 20, 21, 25, 26, 30, 34, 35, 39, 43, 44, 48, 49 (20 số)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44 (Trúng)</t>
        </is>
      </c>
      <c r="D240" s="3" t="inlineStr">
        <is>
          <t>21 (Không)</t>
        </is>
      </c>
      <c r="E240" s="3" t="inlineStr">
        <is>
          <t>42 (Không)</t>
        </is>
      </c>
      <c r="F240" s="3" t="inlineStr">
        <is>
          <t>---</t>
        </is>
      </c>
      <c r="G240" s="6" t="inlineStr">
        <is>
          <t>21, 34 (TRÚNG 🎯)</t>
        </is>
      </c>
      <c r="H240" s="6" t="inlineStr">
        <is>
          <t>TRÚNG N1 🎯</t>
        </is>
      </c>
      <c r="I240" s="3" t="inlineStr">
        <is>
          <t>02, 03, 07, 08, 11, 12, 16, 17, 20, 21, 25, 26, 30, 34, 35, 39, 43, 44, 48, 49, 52, 53, 57, 58, 61, 62, 66, 67, 70, 71, 75, 76, 80, 84, 85, 89, 93, 94, 98, 99 (40 số)</t>
        </is>
      </c>
      <c r="J240" s="3" t="inlineStr">
        <is>
          <t>52, 53, 57, 58, 61, 62, 66, 67, 70, 71, 75, 76, 80, 84, 85, 89, 93, 94, 98, 99 (20 số)</t>
        </is>
      </c>
      <c r="K240" s="3" t="inlineStr">
        <is>
          <t>52, 53, 57, 58, 61, 62, 66, 67, 70, 71, 75, 76, 80, 84, 85, 89, 93, 94, 98, 99 (20 số)</t>
        </is>
      </c>
    </row>
    <row r="241">
      <c r="A241" s="2" t="n">
        <v>239</v>
      </c>
      <c r="B241" s="2" t="inlineStr">
        <is>
          <t>Thứ hai ngày 31-08-2026</t>
        </is>
      </c>
      <c r="C241" s="3" t="inlineStr">
        <is>
          <t>21 (Không)</t>
        </is>
      </c>
      <c r="D241" s="3" t="inlineStr">
        <is>
          <t>42 (Không)</t>
        </is>
      </c>
      <c r="E241" s="3" t="inlineStr">
        <is>
          <t>11 (Không)</t>
        </is>
      </c>
      <c r="F241" s="3" t="inlineStr">
        <is>
          <t>---</t>
        </is>
      </c>
      <c r="G241" s="7" t="inlineStr">
        <is>
          <t>20, 34 (TRƯỢT ❌)</t>
        </is>
      </c>
      <c r="H241" s="7" t="inlineStr">
        <is>
          <t>TRƯỢT KHUNG ❌</t>
        </is>
      </c>
      <c r="I241" s="3" t="inlineStr">
        <is>
          <t>02, 04, 07, 09, 11, 13, 16, 18, 20, 22, 25, 27, 31, 34, 36, 39, 40, 43, 45, 48, 52, 54, 57, 59, 61, 63, 66, 68, 70, 72, 75, 77, 81, 84, 86, 89, 90, 93, 95, 98 (40 số)</t>
        </is>
      </c>
      <c r="J241" s="3" t="inlineStr">
        <is>
          <t>52, 54, 57, 59, 61, 63, 66, 68, 70, 72, 75, 77, 81, 84, 86, 89, 90, 93, 95, 98 (20 số)</t>
        </is>
      </c>
      <c r="K241" s="3" t="inlineStr">
        <is>
          <t>52, 54, 57, 59, 61, 63, 66, 68, 70, 72, 75, 77, 81, 84, 86, 89, 90, 93, 95, 98 (20 số)</t>
        </is>
      </c>
    </row>
    <row r="242">
      <c r="A242" s="2" t="n">
        <v>240</v>
      </c>
      <c r="B242" s="2" t="inlineStr">
        <is>
          <t>Thứ ba ngày 01-09-2026</t>
        </is>
      </c>
      <c r="C242" s="3" t="inlineStr">
        <is>
          <t>42 (Trúng)</t>
        </is>
      </c>
      <c r="D242" s="3" t="inlineStr">
        <is>
          <t>11 (Không)</t>
        </is>
      </c>
      <c r="E242" s="3" t="inlineStr">
        <is>
          <t>66 (Trúng)</t>
        </is>
      </c>
      <c r="F242" s="3" t="inlineStr">
        <is>
          <t>---</t>
        </is>
      </c>
      <c r="G242" s="7" t="inlineStr">
        <is>
          <t>51, 63 (TRƯỢT ❌)</t>
        </is>
      </c>
      <c r="H242" s="6" t="inlineStr">
        <is>
          <t>TRÚNG N1 🎯</t>
        </is>
      </c>
      <c r="I24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42" s="3" t="inlineStr">
        <is>
          <t>51, 52, 54, 56, 57, 59, 60, 61, 63, 65, 66, 68, 72, 74, 77, 79, 81, 83, 84, 86, 88, 89, 90, 92, 93, 95, 97, 98 (28 số)</t>
        </is>
      </c>
      <c r="K242" s="3" t="inlineStr">
        <is>
          <t>51, 52, 54, 56, 57, 59, 60, 61, 63, 65, 66, 68, 72, 74, 77, 79, 81, 83, 84, 86, 88, 89, 90, 92, 93, 95, 97, 98 (28 số)</t>
        </is>
      </c>
    </row>
    <row r="243">
      <c r="A243" s="2" t="n">
        <v>241</v>
      </c>
      <c r="B243" s="2" t="inlineStr">
        <is>
          <t>Thứ tư ngày 02-09-2026</t>
        </is>
      </c>
      <c r="C243" s="3" t="inlineStr">
        <is>
          <t>11 (Không)</t>
        </is>
      </c>
      <c r="D243" s="3" t="inlineStr">
        <is>
          <t>66 (Không)</t>
        </is>
      </c>
      <c r="E243" s="3" t="inlineStr">
        <is>
          <t>37 (Không)</t>
        </is>
      </c>
      <c r="F243" s="3" t="inlineStr">
        <is>
          <t>---</t>
        </is>
      </c>
      <c r="G243" s="7" t="inlineStr">
        <is>
          <t>10, 15 (TRƯỢT ❌)</t>
        </is>
      </c>
      <c r="H243" s="7" t="inlineStr">
        <is>
          <t>TRƯỢT KHUNG ❌</t>
        </is>
      </c>
      <c r="I243" s="3" t="inlineStr">
        <is>
          <t>00, 01, 05, 06, 10, 14, 15, 19, 23, 24, 28, 29, 32, 33, 37, 38, 41, 42, 46, 47, 50, 51, 55, 56, 60, 64, 65, 69, 73, 74, 78, 79, 82, 83, 87, 88, 91, 92, 96, 97 (40 số)</t>
        </is>
      </c>
      <c r="J243" s="3" t="inlineStr">
        <is>
          <t>50, 51, 55, 56, 60, 64, 65, 69, 73, 74, 78, 79, 82, 83, 87, 88, 91, 92, 96, 97 (20 số)</t>
        </is>
      </c>
      <c r="K243" s="3" t="inlineStr">
        <is>
          <t>50, 51, 55, 56, 60, 64, 65, 69, 73, 74, 78, 79, 82, 83, 87, 88, 91, 92, 96, 97 (20 số)</t>
        </is>
      </c>
    </row>
    <row r="244">
      <c r="A244" s="2" t="n">
        <v>242</v>
      </c>
      <c r="B244" s="2" t="inlineStr">
        <is>
          <t>Thứ năm ngày 03-09-2026</t>
        </is>
      </c>
      <c r="C244" s="3" t="inlineStr">
        <is>
          <t>66 (Không)</t>
        </is>
      </c>
      <c r="D244" s="3" t="inlineStr">
        <is>
          <t>37 (Trúng)</t>
        </is>
      </c>
      <c r="E244" s="3" t="inlineStr">
        <is>
          <t>35 (Trúng)</t>
        </is>
      </c>
      <c r="F244" s="3" t="inlineStr">
        <is>
          <t>---</t>
        </is>
      </c>
      <c r="G244" s="7" t="inlineStr">
        <is>
          <t>08, 44 (TRƯỢT ❌)</t>
        </is>
      </c>
      <c r="H244" s="6" t="inlineStr">
        <is>
          <t>TRÚNG N2 (Siêu Lọc 🎯)</t>
        </is>
      </c>
      <c r="I244" s="3" t="inlineStr">
        <is>
          <t>00, 03, 05, 08, 12, 14, 17, 19, 21, 23, 26, 28, 30, 32, 35, 37, 41, 44, 46, 49, 50, 53, 55, 58, 62, 64, 67, 69, 71, 73, 76, 78, 80, 82, 85, 87, 91, 94, 96, 99 (40 số)</t>
        </is>
      </c>
      <c r="J244" s="3" t="inlineStr">
        <is>
          <t>00, 03, 05, 08, 12, 14, 17, 19, 21, 23, 26, 28, 30, 32, 35, 37, 41, 44, 46, 49 (20 số)</t>
        </is>
      </c>
      <c r="K244" s="3" t="inlineStr">
        <is>
          <t>00, 03, 05, 08, 12, 14, 17, 19, 21, 23, 26, 28, 30, 32, 35, 37, 41, 44, 46, 49 (20 số)</t>
        </is>
      </c>
    </row>
    <row r="245">
      <c r="A245" s="2" t="n">
        <v>243</v>
      </c>
      <c r="B245" s="2" t="inlineStr">
        <is>
          <t>Thứ sáu ngày 04-09-2026</t>
        </is>
      </c>
      <c r="C245" s="3" t="inlineStr">
        <is>
          <t>37 (Trúng)</t>
        </is>
      </c>
      <c r="D245" s="3" t="inlineStr">
        <is>
          <t>35 (Không)</t>
        </is>
      </c>
      <c r="E245" s="3" t="inlineStr">
        <is>
          <t>90 (Không)</t>
        </is>
      </c>
      <c r="F245" s="3" t="inlineStr">
        <is>
          <t>---</t>
        </is>
      </c>
      <c r="G245" s="7" t="inlineStr">
        <is>
          <t>06, 14 (TRƯỢT ❌)</t>
        </is>
      </c>
      <c r="H245" s="6" t="inlineStr">
        <is>
          <t>TRÚNG N1 🎯</t>
        </is>
      </c>
      <c r="I245" s="3" t="inlineStr">
        <is>
          <t>00, 01, 05, 06, 10, 14, 15, 19, 23, 24, 28, 29, 32, 33, 37, 38, 41, 42, 46, 47, 50, 51, 55, 56, 60, 64, 65, 69, 73, 74, 78, 79, 82, 83, 87, 88, 91, 92, 96, 97 (40 số)</t>
        </is>
      </c>
      <c r="J245" s="3" t="inlineStr">
        <is>
          <t>50, 51, 55, 56, 60, 64, 65, 69, 73, 74, 78, 79, 82, 83, 87, 88, 91, 92, 96, 97 (20 số)</t>
        </is>
      </c>
      <c r="K245" s="3" t="inlineStr">
        <is>
          <t>50, 51, 55, 56, 60, 64, 65, 69, 73, 74, 78, 79, 82, 83, 87, 88, 91, 92, 96, 97 (20 số)</t>
        </is>
      </c>
    </row>
    <row r="246">
      <c r="A246" s="2" t="n">
        <v>244</v>
      </c>
      <c r="B246" s="2" t="inlineStr">
        <is>
          <t>Thứ bảy ngày 05-09-2026</t>
        </is>
      </c>
      <c r="C246" s="3" t="inlineStr">
        <is>
          <t>35 (Không)</t>
        </is>
      </c>
      <c r="D246" s="3" t="inlineStr">
        <is>
          <t>90 (Trúng)</t>
        </is>
      </c>
      <c r="E246" s="3" t="inlineStr">
        <is>
          <t>87 (Không)</t>
        </is>
      </c>
      <c r="F246" s="3" t="inlineStr">
        <is>
          <t>---</t>
        </is>
      </c>
      <c r="G246" s="7" t="inlineStr">
        <is>
          <t>31, 59 (TRƯỢT ❌)</t>
        </is>
      </c>
      <c r="H246" s="6" t="inlineStr">
        <is>
          <t>TRÚNG N2 (Siêu Lọc 🎯)</t>
        </is>
      </c>
      <c r="I246" s="3" t="inlineStr">
        <is>
          <t>01, 04, 06, 09, 10, 13, 15, 18, 22, 24, 27, 29, 31, 33, 36, 38, 40, 42, 45, 47, 51, 54, 56, 59, 60, 63, 65, 68, 72, 74, 77, 79, 81, 83, 86, 88, 90, 92, 95, 97 (40 số)</t>
        </is>
      </c>
      <c r="J246" s="3" t="inlineStr">
        <is>
          <t>51, 54, 56, 59, 60, 63, 65, 68, 72, 74, 77, 79, 81, 83, 86, 88, 90, 92, 95, 97 (20 số)</t>
        </is>
      </c>
      <c r="K246" s="3" t="inlineStr">
        <is>
          <t>51, 54, 56, 59, 60, 63, 65, 68, 72, 74, 77, 79, 81, 83, 86, 88, 90, 92, 95, 97 (20 số)</t>
        </is>
      </c>
    </row>
    <row r="247">
      <c r="A247" s="2" t="n">
        <v>245</v>
      </c>
      <c r="B247" s="2" t="inlineStr">
        <is>
          <t>Chủ nhật ngày 06-09-2026</t>
        </is>
      </c>
      <c r="C247" s="3" t="inlineStr">
        <is>
          <t>90 (Không)</t>
        </is>
      </c>
      <c r="D247" s="3" t="inlineStr">
        <is>
          <t>87 (Không)</t>
        </is>
      </c>
      <c r="E247" s="3" t="inlineStr">
        <is>
          <t>04 (Không)</t>
        </is>
      </c>
      <c r="F247" s="3" t="inlineStr">
        <is>
          <t>---</t>
        </is>
      </c>
      <c r="G247" s="7" t="inlineStr">
        <is>
          <t>33, 35 (TRƯỢT ❌)</t>
        </is>
      </c>
      <c r="H247" s="7" t="inlineStr">
        <is>
          <t>TRƯỢT KHUNG ❌</t>
        </is>
      </c>
      <c r="I24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47" s="3" t="inlineStr">
        <is>
          <t>01, 03, 06, 08, 10, 12, 14, 15, 17, 19, 21, 23, 24, 26, 28, 29, 30, 32, 33, 35, 37, 38, 41, 42, 44, 46, 47, 49 (28 số)</t>
        </is>
      </c>
      <c r="K247" s="3" t="inlineStr">
        <is>
          <t>01, 03, 06, 08, 10, 12, 14, 15, 17, 19, 21, 23, 24, 26, 28, 29, 30, 32, 33, 35, 37, 38, 41, 42, 44, 46, 47, 49 (28 số)</t>
        </is>
      </c>
    </row>
    <row r="248">
      <c r="A248" s="2" t="n">
        <v>246</v>
      </c>
      <c r="B248" s="2" t="inlineStr">
        <is>
          <t>Thứ hai ngày 07-09-2026</t>
        </is>
      </c>
      <c r="C248" s="3" t="inlineStr">
        <is>
          <t>87 (Trúng)</t>
        </is>
      </c>
      <c r="D248" s="3" t="inlineStr">
        <is>
          <t>04 (Không)</t>
        </is>
      </c>
      <c r="E248" s="3" t="inlineStr">
        <is>
          <t>81 (Không)</t>
        </is>
      </c>
      <c r="F248" s="3" t="inlineStr">
        <is>
          <t>---</t>
        </is>
      </c>
      <c r="G248" s="7" t="inlineStr">
        <is>
          <t>16, 19 (TRƯỢT ❌)</t>
        </is>
      </c>
      <c r="H248" s="6" t="inlineStr">
        <is>
          <t>TRÚNG N1 🎯</t>
        </is>
      </c>
      <c r="I248" s="3" t="inlineStr">
        <is>
          <t>00, 02, 05, 07, 11, 14, 16, 19, 20, 23, 25, 28, 32, 34, 37, 39, 41, 43, 46, 48, 50, 52, 55, 57, 61, 64, 66, 69, 70, 73, 75, 78, 82, 84, 87, 89, 91, 93, 96, 98 (40 số)</t>
        </is>
      </c>
      <c r="J248" s="3" t="inlineStr">
        <is>
          <t>00, 02, 05, 07, 11, 14, 16, 19, 20, 23, 25, 28, 32, 34, 37, 39, 41, 43, 46, 48 (20 số)</t>
        </is>
      </c>
      <c r="K248" s="3" t="inlineStr">
        <is>
          <t>00, 02, 05, 07, 11, 14, 16, 19, 20, 23, 25, 28, 32, 34, 37, 39, 41, 43, 46, 48 (20 số)</t>
        </is>
      </c>
    </row>
    <row r="249">
      <c r="A249" s="2" t="n">
        <v>247</v>
      </c>
      <c r="B249" s="2" t="inlineStr">
        <is>
          <t>Thứ ba ngày 08-09-2026</t>
        </is>
      </c>
      <c r="C249" s="3" t="inlineStr">
        <is>
          <t>04 (Không)</t>
        </is>
      </c>
      <c r="D249" s="3" t="inlineStr">
        <is>
          <t>81 (Không)</t>
        </is>
      </c>
      <c r="E249" s="3" t="inlineStr">
        <is>
          <t>52 (Không)</t>
        </is>
      </c>
      <c r="F249" s="3" t="inlineStr">
        <is>
          <t>---</t>
        </is>
      </c>
      <c r="G249" s="7" t="inlineStr">
        <is>
          <t>08, 38 (TRƯỢT ❌)</t>
        </is>
      </c>
      <c r="H249" s="7" t="inlineStr">
        <is>
          <t>TRƯỢT KHUNG ❌</t>
        </is>
      </c>
      <c r="I249" s="3" t="inlineStr">
        <is>
          <t>01, 03, 06, 08, 10, 12, 15, 17, 21, 24, 26, 29, 30, 33, 35, 38, 42, 44, 47, 49, 51, 53, 56, 58, 60, 62, 65, 67, 71, 74, 76, 79, 80, 83, 85, 88, 92, 94, 97, 99 (40 số)</t>
        </is>
      </c>
      <c r="J249" s="3" t="inlineStr">
        <is>
          <t>51, 53, 56, 58, 60, 62, 65, 67, 71, 74, 76, 79, 80, 83, 85, 88, 92, 94, 97, 99 (20 số)</t>
        </is>
      </c>
      <c r="K249" s="3" t="inlineStr">
        <is>
          <t>51, 53, 56, 58, 60, 62, 65, 67, 71, 74, 76, 79, 80, 83, 85, 88, 92, 94, 97, 99 (20 số)</t>
        </is>
      </c>
    </row>
    <row r="250">
      <c r="A250" s="2" t="n">
        <v>248</v>
      </c>
      <c r="B250" s="2" t="inlineStr">
        <is>
          <t>Thứ tư ngày 09-09-2026</t>
        </is>
      </c>
      <c r="C250" s="3" t="inlineStr">
        <is>
          <t>81 (Trúng)</t>
        </is>
      </c>
      <c r="D250" s="3" t="inlineStr">
        <is>
          <t>52 (Không)</t>
        </is>
      </c>
      <c r="E250" s="3" t="inlineStr">
        <is>
          <t>51 (Không)</t>
        </is>
      </c>
      <c r="F250" s="3" t="inlineStr">
        <is>
          <t>---</t>
        </is>
      </c>
      <c r="G250" s="7" t="inlineStr">
        <is>
          <t>04, 18 (TRƯỢT ❌)</t>
        </is>
      </c>
      <c r="H250" s="6" t="inlineStr">
        <is>
          <t>TRÚNG N1 🎯</t>
        </is>
      </c>
      <c r="I25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50" s="3" t="inlineStr">
        <is>
          <t>02, 04, 05, 07, 09, 11, 13, 14, 18, 19, 20, 22, 23, 25, 27, 28, 31, 32, 34, 36, 37, 39, 40, 41, 43, 45, 46, 48 (28 số)</t>
        </is>
      </c>
      <c r="K250" s="3" t="inlineStr">
        <is>
          <t>02, 04, 05, 07, 09, 11, 13, 14, 18, 19, 20, 22, 23, 25, 27, 28, 31, 32, 34, 36, 37, 39, 40, 41, 43, 45, 46, 48 (28 số)</t>
        </is>
      </c>
    </row>
    <row r="251">
      <c r="A251" s="2" t="n">
        <v>249</v>
      </c>
      <c r="B251" s="2" t="inlineStr">
        <is>
          <t>Thứ năm ngày 10-09-2026</t>
        </is>
      </c>
      <c r="C251" s="3" t="inlineStr">
        <is>
          <t>52 (Không)</t>
        </is>
      </c>
      <c r="D251" s="3" t="inlineStr">
        <is>
          <t>51 (Không)</t>
        </is>
      </c>
      <c r="E251" s="3" t="inlineStr">
        <is>
          <t>99 (Không)</t>
        </is>
      </c>
      <c r="F251" s="3" t="inlineStr">
        <is>
          <t>---</t>
        </is>
      </c>
      <c r="G251" s="7" t="inlineStr">
        <is>
          <t>14, 53 (TRƯỢT ❌)</t>
        </is>
      </c>
      <c r="H251" s="7" t="inlineStr">
        <is>
          <t>TRƯỢT KHUNG ❌</t>
        </is>
      </c>
      <c r="I251" s="3" t="inlineStr">
        <is>
          <t>00, 03, 05, 08, 12, 14, 17, 19, 21, 23, 26, 28, 30, 32, 35, 37, 41, 44, 46, 49, 50, 53, 55, 58, 62, 64, 67, 69, 71, 73, 76, 78, 80, 82, 85, 87, 91, 94, 96, 99 (40 số)</t>
        </is>
      </c>
      <c r="J251" s="3" t="inlineStr">
        <is>
          <t>00, 03, 05, 08, 12, 14, 17, 19, 21, 23, 26, 28, 30, 32, 35, 37, 41, 44, 46, 49 (20 số)</t>
        </is>
      </c>
      <c r="K251" s="3" t="inlineStr">
        <is>
          <t>00, 03, 05, 08, 12, 14, 17, 19, 21, 23, 26, 28, 30, 32, 35, 37, 41, 44, 46, 49 (20 số)</t>
        </is>
      </c>
    </row>
    <row r="252">
      <c r="A252" s="2" t="n">
        <v>250</v>
      </c>
      <c r="B252" s="2" t="inlineStr">
        <is>
          <t>Thứ sáu ngày 11-09-2026</t>
        </is>
      </c>
      <c r="C252" s="3" t="inlineStr">
        <is>
          <t>51 (Không)</t>
        </is>
      </c>
      <c r="D252" s="3" t="inlineStr">
        <is>
          <t>99 (Không)</t>
        </is>
      </c>
      <c r="E252" s="3" t="inlineStr">
        <is>
          <t>22 (Không)</t>
        </is>
      </c>
      <c r="F252" s="3" t="inlineStr">
        <is>
          <t>---</t>
        </is>
      </c>
      <c r="G252" s="7" t="inlineStr">
        <is>
          <t>00, 41 (TRƯỢT ❌)</t>
        </is>
      </c>
      <c r="H252" s="7" t="inlineStr">
        <is>
          <t>TRƯỢT KHUNG ❌</t>
        </is>
      </c>
      <c r="I252" s="3" t="inlineStr">
        <is>
          <t>00, 02, 05, 07, 11, 14, 16, 19, 20, 23, 25, 28, 32, 34, 37, 39, 41, 43, 46, 48, 50, 52, 55, 57, 61, 64, 66, 69, 70, 73, 75, 78, 82, 84, 87, 89, 91, 93, 96, 98 (40 số)</t>
        </is>
      </c>
      <c r="J252" s="3" t="inlineStr">
        <is>
          <t>00, 02, 05, 07, 11, 14, 16, 19, 20, 23, 25, 28, 32, 34, 37, 39, 41, 43, 46, 48 (20 số)</t>
        </is>
      </c>
      <c r="K252" s="3" t="inlineStr">
        <is>
          <t>00, 02, 05, 07, 11, 14, 16, 19, 20, 23, 25, 28, 32, 34, 37, 39, 41, 43, 46, 48 (20 số)</t>
        </is>
      </c>
    </row>
    <row r="253">
      <c r="A253" s="2" t="n">
        <v>251</v>
      </c>
      <c r="B253" s="2" t="inlineStr">
        <is>
          <t>Thứ bảy ngày 12-09-2026</t>
        </is>
      </c>
      <c r="C253" s="3" t="inlineStr">
        <is>
          <t>99 (Không)</t>
        </is>
      </c>
      <c r="D253" s="3" t="inlineStr">
        <is>
          <t>22 (Không)</t>
        </is>
      </c>
      <c r="E253" s="3" t="inlineStr">
        <is>
          <t>29 (Trúng)</t>
        </is>
      </c>
      <c r="F253" s="3" t="inlineStr">
        <is>
          <t>---</t>
        </is>
      </c>
      <c r="G253" s="7" t="inlineStr">
        <is>
          <t>01, 39 (TRƯỢT ❌)</t>
        </is>
      </c>
      <c r="H253" s="6" t="inlineStr">
        <is>
          <t>TRÚNG N3 (Siêu Lọc 🎯)</t>
        </is>
      </c>
      <c r="I253" s="3" t="inlineStr">
        <is>
          <t>01, 02, 06, 07, 10, 11, 15, 16, 20, 24, 25, 29, 33, 34, 38, 39, 42, 43, 47, 48, 51, 52, 56, 57, 60, 61, 65, 66, 70, 74, 75, 79, 83, 84, 88, 89, 92, 93, 97, 98 (40 số)</t>
        </is>
      </c>
      <c r="J253" s="3" t="inlineStr">
        <is>
          <t>01, 02, 06, 07, 10, 11, 15, 16, 20, 24, 25, 29, 33, 34, 38, 39, 42, 43, 47, 48 (20 số)</t>
        </is>
      </c>
      <c r="K253" s="3" t="inlineStr">
        <is>
          <t>01, 02, 06, 07, 10, 11, 15, 16, 20, 24, 25, 29, 33, 34, 38, 39, 42, 43, 47, 48 (20 số)</t>
        </is>
      </c>
    </row>
    <row r="254">
      <c r="A254" s="2" t="n">
        <v>252</v>
      </c>
      <c r="B254" s="2" t="inlineStr">
        <is>
          <t>Chủ nhật ngày 13-09-2026</t>
        </is>
      </c>
      <c r="C254" s="3" t="inlineStr">
        <is>
          <t>22 (Trúng)</t>
        </is>
      </c>
      <c r="D254" s="3" t="inlineStr">
        <is>
          <t>29 (Không)</t>
        </is>
      </c>
      <c r="E254" s="3" t="inlineStr">
        <is>
          <t>44 (Không)</t>
        </is>
      </c>
      <c r="F254" s="3" t="inlineStr">
        <is>
          <t>---</t>
        </is>
      </c>
      <c r="G254" s="7" t="inlineStr">
        <is>
          <t>21, 27 (TRƯỢT ❌)</t>
        </is>
      </c>
      <c r="H254" s="6" t="inlineStr">
        <is>
          <t>TRÚNG N1 🎯</t>
        </is>
      </c>
      <c r="I2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54" s="3" t="inlineStr">
        <is>
          <t>51, 53, 54, 56, 58, 59, 60, 62, 63, 65, 67, 68, 71, 72, 74, 77, 79, 80, 81, 83, 85, 86, 88, 90, 92, 94, 97, 99 (28 số)</t>
        </is>
      </c>
      <c r="K254" s="3" t="inlineStr">
        <is>
          <t>51, 53, 54, 56, 58, 59, 60, 62, 63, 65, 67, 68, 71, 72, 74, 77, 79, 80, 81, 83, 85, 86, 88, 90, 92, 94, 97, 99 (28 số)</t>
        </is>
      </c>
    </row>
    <row r="255">
      <c r="A255" s="2" t="n">
        <v>253</v>
      </c>
      <c r="B255" s="2" t="inlineStr">
        <is>
          <t>Thứ hai ngày 14-09-2026</t>
        </is>
      </c>
      <c r="C255" s="3" t="inlineStr">
        <is>
          <t>29 (Trúng)</t>
        </is>
      </c>
      <c r="D255" s="3" t="inlineStr">
        <is>
          <t>44 (Không)</t>
        </is>
      </c>
      <c r="E255" s="3" t="inlineStr">
        <is>
          <t>60 (Trúng)</t>
        </is>
      </c>
      <c r="F255" s="3" t="inlineStr">
        <is>
          <t>---</t>
        </is>
      </c>
      <c r="G255" s="7" t="inlineStr">
        <is>
          <t>24, 75 (TRƯỢT ❌)</t>
        </is>
      </c>
      <c r="H255" s="6" t="inlineStr">
        <is>
          <t>TRÚNG N1 🎯</t>
        </is>
      </c>
      <c r="I25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55" s="3" t="inlineStr">
        <is>
          <t>51, 52, 53, 56, 57, 58, 60, 61, 62, 65, 66, 67, 71, 74, 76, 79, 80, 83, 84, 85, 88, 89, 92, 93, 94, 97, 98, 99 (28 số)</t>
        </is>
      </c>
      <c r="K255" s="3" t="inlineStr">
        <is>
          <t>51, 52, 53, 56, 57, 58, 60, 61, 62, 65, 66, 67, 71, 74, 76, 79, 80, 83, 84, 85, 88, 89, 92, 93, 94, 97, 98, 99 (28 số)</t>
        </is>
      </c>
    </row>
    <row r="256">
      <c r="A256" s="2" t="n">
        <v>254</v>
      </c>
      <c r="B256" s="2" t="inlineStr">
        <is>
          <t>Thứ ba ngày 15-09-2026</t>
        </is>
      </c>
      <c r="C256" s="3" t="inlineStr">
        <is>
          <t>44 (Trúng)</t>
        </is>
      </c>
      <c r="D256" s="3" t="inlineStr">
        <is>
          <t>60 (Trúng)</t>
        </is>
      </c>
      <c r="E256" s="3" t="inlineStr">
        <is>
          <t>67 (Trúng)</t>
        </is>
      </c>
      <c r="F256" s="3" t="inlineStr">
        <is>
          <t>---</t>
        </is>
      </c>
      <c r="G256" s="7" t="inlineStr">
        <is>
          <t>13, 15 (TRƯỢT ❌)</t>
        </is>
      </c>
      <c r="H256" s="6" t="inlineStr">
        <is>
          <t>TRÚNG N1 🎯</t>
        </is>
      </c>
      <c r="I2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56" s="3" t="inlineStr">
        <is>
          <t>51, 53, 54, 56, 58, 59, 60, 62, 63, 65, 67, 68, 71, 72, 74, 77, 79, 80, 81, 83, 85, 86, 88, 90, 92, 94, 97, 99 (28 số)</t>
        </is>
      </c>
      <c r="K256" s="3" t="inlineStr">
        <is>
          <t>51, 53, 54, 56, 58, 59, 60, 62, 63, 65, 67, 68, 71, 72, 74, 77, 79, 80, 81, 83, 85, 86, 88, 90, 92, 94, 97, 99 (28 số)</t>
        </is>
      </c>
    </row>
    <row r="257">
      <c r="A257" s="2" t="n">
        <v>255</v>
      </c>
      <c r="B257" s="2" t="inlineStr">
        <is>
          <t>Thứ tư ngày 16-09-2026</t>
        </is>
      </c>
      <c r="C257" s="3" t="inlineStr">
        <is>
          <t>60 (Trúng)</t>
        </is>
      </c>
      <c r="D257" s="3" t="inlineStr">
        <is>
          <t>67 (Không)</t>
        </is>
      </c>
      <c r="E257" s="3" t="inlineStr">
        <is>
          <t>12 (Trúng)</t>
        </is>
      </c>
      <c r="F257" s="3" t="inlineStr">
        <is>
          <t>---</t>
        </is>
      </c>
      <c r="G257" s="7" t="inlineStr">
        <is>
          <t>21, 24 (TRƯỢT ❌)</t>
        </is>
      </c>
      <c r="H257" s="6" t="inlineStr">
        <is>
          <t>TRÚNG N1 🎯</t>
        </is>
      </c>
      <c r="I25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57" s="3" t="inlineStr">
        <is>
          <t>01, 03, 06, 08, 10, 12, 14, 15, 17, 19, 21, 23, 24, 26, 28, 29, 30, 32, 33, 35, 37, 38, 41, 42, 44, 46, 47, 49 (28 số)</t>
        </is>
      </c>
      <c r="K257" s="3" t="inlineStr">
        <is>
          <t>01, 03, 06, 08, 10, 12, 14, 15, 17, 19, 21, 23, 24, 26, 28, 29, 30, 32, 33, 35, 37, 38, 41, 42, 44, 46, 47, 49 (28 số)</t>
        </is>
      </c>
    </row>
    <row r="258">
      <c r="A258" s="2" t="n">
        <v>256</v>
      </c>
      <c r="B258" s="2" t="inlineStr">
        <is>
          <t>Thứ năm ngày 17-09-2026</t>
        </is>
      </c>
      <c r="C258" s="3" t="inlineStr">
        <is>
          <t>67 (Không)</t>
        </is>
      </c>
      <c r="D258" s="3" t="inlineStr">
        <is>
          <t>12 (Không)</t>
        </is>
      </c>
      <c r="E258" s="3" t="inlineStr">
        <is>
          <t>38 (Trúng)</t>
        </is>
      </c>
      <c r="F258" s="3" t="inlineStr">
        <is>
          <t>---</t>
        </is>
      </c>
      <c r="G258" s="7" t="inlineStr">
        <is>
          <t>36, 60 (TRƯỢT ❌)</t>
        </is>
      </c>
      <c r="H258" s="6" t="inlineStr">
        <is>
          <t>TRÚNG N3 (Siêu Lọc 🎯)</t>
        </is>
      </c>
      <c r="I25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58" s="3" t="inlineStr">
        <is>
          <t>01, 02, 04, 06, 07, 09, 10, 13, 15, 18, 20, 22, 24, 25, 27, 29, 31, 33, 34, 36, 38, 39, 40, 42, 43, 45, 47, 48 (28 số)</t>
        </is>
      </c>
      <c r="K258" s="3" t="inlineStr">
        <is>
          <t>01, 02, 04, 06, 07, 09, 10, 13, 15, 18, 20, 22, 24, 25, 27, 29, 31, 33, 34, 36, 38, 39, 40, 42, 43, 45, 47, 48 (28 số)</t>
        </is>
      </c>
    </row>
    <row r="259">
      <c r="A259" s="2" t="n">
        <v>257</v>
      </c>
      <c r="B259" s="2" t="inlineStr">
        <is>
          <t>Thứ sáu ngày 18-09-2026</t>
        </is>
      </c>
      <c r="C259" s="3" t="inlineStr">
        <is>
          <t>12 (Không)</t>
        </is>
      </c>
      <c r="D259" s="3" t="inlineStr">
        <is>
          <t>38 (Không)</t>
        </is>
      </c>
      <c r="E259" s="3" t="inlineStr">
        <is>
          <t>32 (Không)</t>
        </is>
      </c>
      <c r="F259" s="3" t="inlineStr">
        <is>
          <t>---</t>
        </is>
      </c>
      <c r="G259" s="7" t="inlineStr">
        <is>
          <t>40, 79 (TRƯỢT ❌)</t>
        </is>
      </c>
      <c r="H259" s="7" t="inlineStr">
        <is>
          <t>TRƯỢT KHUNG ❌</t>
        </is>
      </c>
      <c r="I25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59" s="3" t="inlineStr">
        <is>
          <t>51, 52, 54, 56, 57, 59, 60, 61, 63, 65, 66, 68, 72, 74, 77, 79, 81, 83, 84, 86, 88, 89, 90, 92, 93, 95, 97, 98 (28 số)</t>
        </is>
      </c>
      <c r="K259" s="3" t="inlineStr">
        <is>
          <t>51, 52, 54, 56, 57, 59, 60, 61, 63, 65, 66, 68, 72, 74, 77, 79, 81, 83, 84, 86, 88, 89, 90, 92, 93, 95, 97, 98 (28 số)</t>
        </is>
      </c>
    </row>
    <row r="260">
      <c r="A260" s="2" t="n">
        <v>258</v>
      </c>
      <c r="B260" s="2" t="inlineStr">
        <is>
          <t>Thứ bảy ngày 19-09-2026</t>
        </is>
      </c>
      <c r="C260" s="3" t="inlineStr">
        <is>
          <t>38 (Không)</t>
        </is>
      </c>
      <c r="D260" s="3" t="inlineStr">
        <is>
          <t>32 (Không)</t>
        </is>
      </c>
      <c r="E260" s="3" t="inlineStr">
        <is>
          <t>22 (Không)</t>
        </is>
      </c>
      <c r="F260" s="3" t="inlineStr">
        <is>
          <t>---</t>
        </is>
      </c>
      <c r="G260" s="7" t="inlineStr">
        <is>
          <t>12, 55 (TRƯỢT ❌)</t>
        </is>
      </c>
      <c r="H260" s="7" t="inlineStr">
        <is>
          <t>TRƯỢT KHUNG ❌</t>
        </is>
      </c>
      <c r="I260" s="3" t="inlineStr">
        <is>
          <t>00, 03, 05, 08, 12, 14, 17, 19, 21, 23, 26, 28, 30, 32, 35, 37, 41, 44, 46, 49, 50, 53, 55, 58, 62, 64, 67, 69, 71, 73, 76, 78, 80, 82, 85, 87, 91, 94, 96, 99 (40 số)</t>
        </is>
      </c>
      <c r="J260" s="3" t="inlineStr">
        <is>
          <t>50, 53, 55, 58, 62, 64, 67, 69, 71, 73, 76, 78, 80, 82, 85, 87, 91, 94, 96, 99 (20 số)</t>
        </is>
      </c>
      <c r="K260" s="3" t="inlineStr">
        <is>
          <t>50, 53, 55, 58, 62, 64, 67, 69, 71, 73, 76, 78, 80, 82, 85, 87, 91, 94, 96, 99 (20 số)</t>
        </is>
      </c>
    </row>
    <row r="261">
      <c r="A261" s="2" t="n">
        <v>259</v>
      </c>
      <c r="B261" s="2" t="inlineStr">
        <is>
          <t>Chủ nhật ngày 20-09-2026</t>
        </is>
      </c>
      <c r="C261" s="3" t="inlineStr">
        <is>
          <t>32 (Trúng)</t>
        </is>
      </c>
      <c r="D261" s="3" t="inlineStr">
        <is>
          <t>22 (Không)</t>
        </is>
      </c>
      <c r="E261" s="3" t="inlineStr">
        <is>
          <t>06 (Không)</t>
        </is>
      </c>
      <c r="F261" s="3" t="inlineStr">
        <is>
          <t>---</t>
        </is>
      </c>
      <c r="G261" s="7" t="inlineStr">
        <is>
          <t>28, 35 (TRƯỢT ❌)</t>
        </is>
      </c>
      <c r="H261" s="6" t="inlineStr">
        <is>
          <t>TRÚNG N1 🎯</t>
        </is>
      </c>
      <c r="I261" s="3" t="inlineStr">
        <is>
          <t>00, 03, 05, 08, 12, 14, 17, 19, 21, 23, 26, 28, 30, 32, 35, 37, 41, 44, 46, 49, 50, 53, 55, 58, 62, 64, 67, 69, 71, 73, 76, 78, 80, 82, 85, 87, 91, 94, 96, 99 (40 số)</t>
        </is>
      </c>
      <c r="J261" s="3" t="inlineStr">
        <is>
          <t>50, 53, 55, 58, 62, 64, 67, 69, 71, 73, 76, 78, 80, 82, 85, 87, 91, 94, 96, 99 (20 số)</t>
        </is>
      </c>
      <c r="K261" s="3" t="inlineStr">
        <is>
          <t>50, 53, 55, 58, 62, 64, 67, 69, 71, 73, 76, 78, 80, 82, 85, 87, 91, 94, 96, 99 (20 số)</t>
        </is>
      </c>
    </row>
    <row r="262">
      <c r="A262" s="2" t="n">
        <v>260</v>
      </c>
      <c r="B262" s="2" t="inlineStr">
        <is>
          <t>Thứ hai ngày 21-09-2026</t>
        </is>
      </c>
      <c r="C262" s="3" t="inlineStr">
        <is>
          <t>22 (Không)</t>
        </is>
      </c>
      <c r="D262" s="3" t="inlineStr">
        <is>
          <t>06 (Không)</t>
        </is>
      </c>
      <c r="E262" s="3" t="inlineStr">
        <is>
          <t>96 (Trúng)</t>
        </is>
      </c>
      <c r="F262" s="3" t="inlineStr">
        <is>
          <t>---</t>
        </is>
      </c>
      <c r="G262" s="7" t="inlineStr">
        <is>
          <t>32, 56 (TRƯỢT ❌)</t>
        </is>
      </c>
      <c r="H262" s="6" t="inlineStr">
        <is>
          <t>TRÚNG N3 (Siêu Lọc 🎯)</t>
        </is>
      </c>
      <c r="I262" s="3" t="inlineStr">
        <is>
          <t>00, 01, 05, 06, 10, 14, 15, 19, 23, 24, 28, 29, 32, 33, 37, 38, 41, 42, 46, 47, 50, 51, 55, 56, 60, 64, 65, 69, 73, 74, 78, 79, 82, 83, 87, 88, 91, 92, 96, 97 (40 số)</t>
        </is>
      </c>
      <c r="J262" s="3" t="inlineStr">
        <is>
          <t>50, 51, 55, 56, 60, 64, 65, 69, 73, 74, 78, 79, 82, 83, 87, 88, 91, 92, 96, 97 (20 số)</t>
        </is>
      </c>
      <c r="K262" s="3" t="inlineStr">
        <is>
          <t>50, 51, 55, 56, 60, 64, 65, 69, 73, 74, 78, 79, 82, 83, 87, 88, 91, 92, 96, 97 (20 số)</t>
        </is>
      </c>
    </row>
    <row r="263">
      <c r="A263" s="2" t="n">
        <v>261</v>
      </c>
      <c r="B263" s="2" t="inlineStr">
        <is>
          <t>Thứ ba ngày 22-09-2026</t>
        </is>
      </c>
      <c r="C263" s="3" t="inlineStr">
        <is>
          <t>06 (Trúng)</t>
        </is>
      </c>
      <c r="D263" s="3" t="inlineStr">
        <is>
          <t>96 (Không)</t>
        </is>
      </c>
      <c r="E263" s="3" t="inlineStr">
        <is>
          <t>65 (Trúng)</t>
        </is>
      </c>
      <c r="F263" s="3" t="inlineStr">
        <is>
          <t>---</t>
        </is>
      </c>
      <c r="G263" s="7" t="inlineStr">
        <is>
          <t>07, 35 (TRƯỢT ❌)</t>
        </is>
      </c>
      <c r="H263" s="6" t="inlineStr">
        <is>
          <t>TRÚNG N1 🎯</t>
        </is>
      </c>
      <c r="I2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63" s="3" t="inlineStr">
        <is>
          <t>51, 52, 53, 56, 57, 58, 60, 61, 62, 65, 66, 67, 71, 74, 76, 79, 80, 83, 84, 85, 88, 89, 92, 93, 94, 97, 98, 99 (28 số)</t>
        </is>
      </c>
      <c r="K263" s="3" t="inlineStr">
        <is>
          <t>51, 52, 53, 56, 57, 58, 60, 61, 62, 65, 66, 67, 71, 74, 76, 79, 80, 83, 84, 85, 88, 89, 92, 93, 94, 97, 98, 99 (28 số)</t>
        </is>
      </c>
    </row>
    <row r="264">
      <c r="A264" s="2" t="n">
        <v>262</v>
      </c>
      <c r="B264" s="2" t="inlineStr">
        <is>
          <t>Thứ tư ngày 23-09-2026</t>
        </is>
      </c>
      <c r="C264" s="3" t="inlineStr">
        <is>
          <t>96 (Không)</t>
        </is>
      </c>
      <c r="D264" s="3" t="inlineStr">
        <is>
          <t>65 (Không)</t>
        </is>
      </c>
      <c r="E264" s="3" t="inlineStr">
        <is>
          <t>32 (Không)</t>
        </is>
      </c>
      <c r="F264" s="3" t="inlineStr">
        <is>
          <t>---</t>
        </is>
      </c>
      <c r="G264" s="7" t="inlineStr">
        <is>
          <t>06, 21 (TRƯỢT ❌)</t>
        </is>
      </c>
      <c r="H264" s="7" t="inlineStr">
        <is>
          <t>TRƯỢT KHUNG ❌</t>
        </is>
      </c>
      <c r="I26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64" s="3" t="inlineStr">
        <is>
          <t>01, 02, 03, 06, 07, 08, 10, 12, 15, 17, 20, 21, 24, 25, 26, 29, 30, 33, 34, 35, 38, 39, 42, 43, 44, 47, 48, 49 (28 số)</t>
        </is>
      </c>
      <c r="K264" s="3" t="inlineStr">
        <is>
          <t>01, 02, 03, 06, 07, 08, 10, 12, 15, 17, 20, 21, 24, 25, 26, 29, 30, 33, 34, 35, 38, 39, 42, 43, 44, 47, 48, 49 (28 số)</t>
        </is>
      </c>
    </row>
    <row r="265">
      <c r="A265" s="2" t="n">
        <v>263</v>
      </c>
      <c r="B265" s="2" t="inlineStr">
        <is>
          <t>Thứ năm ngày 24-09-2026</t>
        </is>
      </c>
      <c r="C265" s="3" t="inlineStr">
        <is>
          <t>65 (Không)</t>
        </is>
      </c>
      <c r="D265" s="3" t="inlineStr">
        <is>
          <t>32 (Trúng)</t>
        </is>
      </c>
      <c r="E265" s="3" t="inlineStr">
        <is>
          <t>73 (Không)</t>
        </is>
      </c>
      <c r="F265" s="3" t="inlineStr">
        <is>
          <t>---</t>
        </is>
      </c>
      <c r="G265" s="7" t="inlineStr">
        <is>
          <t>11, 16 (TRƯỢT ❌)</t>
        </is>
      </c>
      <c r="H265" s="6" t="inlineStr">
        <is>
          <t>TRÚNG N2 (Siêu Lọc 🎯)</t>
        </is>
      </c>
      <c r="I2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65" s="3" t="inlineStr">
        <is>
          <t>02, 04, 05, 07, 09, 11, 13, 14, 18, 19, 20, 22, 23, 25, 27, 28, 31, 32, 34, 36, 37, 39, 40, 41, 43, 45, 46, 48 (28 số)</t>
        </is>
      </c>
      <c r="K265" s="3" t="inlineStr">
        <is>
          <t>02, 04, 05, 07, 09, 11, 13, 14, 18, 19, 20, 22, 23, 25, 27, 28, 31, 32, 34, 36, 37, 39, 40, 41, 43, 45, 46, 48 (28 số)</t>
        </is>
      </c>
    </row>
    <row r="266">
      <c r="A266" s="2" t="n">
        <v>264</v>
      </c>
      <c r="B266" s="2" t="inlineStr">
        <is>
          <t>Thứ sáu ngày 25-09-2026</t>
        </is>
      </c>
      <c r="C266" s="3" t="inlineStr">
        <is>
          <t>32 (Trúng)</t>
        </is>
      </c>
      <c r="D266" s="3" t="inlineStr">
        <is>
          <t>73 (Trúng)</t>
        </is>
      </c>
      <c r="E266" s="3" t="inlineStr">
        <is>
          <t>15 (Không)</t>
        </is>
      </c>
      <c r="F266" s="3" t="inlineStr">
        <is>
          <t>---</t>
        </is>
      </c>
      <c r="G266" s="7" t="inlineStr">
        <is>
          <t>48, 50 (TRƯỢT ❌)</t>
        </is>
      </c>
      <c r="H266" s="6" t="inlineStr">
        <is>
          <t>TRÚNG N1 🎯</t>
        </is>
      </c>
      <c r="I26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66" s="3" t="inlineStr">
        <is>
          <t>50, 51, 52, 55, 56, 57, 60, 61, 64, 65, 66, 69, 73, 74, 78, 79, 82, 83, 84, 87, 88, 89, 91, 92, 93, 96, 97, 98 (28 số)</t>
        </is>
      </c>
      <c r="K266" s="3" t="inlineStr">
        <is>
          <t>50, 51, 52, 55, 56, 57, 60, 61, 64, 65, 66, 69, 73, 74, 78, 79, 82, 83, 84, 87, 88, 89, 91, 92, 93, 96, 97, 98 (28 số)</t>
        </is>
      </c>
    </row>
    <row r="267">
      <c r="A267" s="2" t="n">
        <v>265</v>
      </c>
      <c r="B267" s="2" t="inlineStr">
        <is>
          <t>Thứ bảy ngày 26-09-2026</t>
        </is>
      </c>
      <c r="C267" s="3" t="inlineStr">
        <is>
          <t>73 (Không)</t>
        </is>
      </c>
      <c r="D267" s="3" t="inlineStr">
        <is>
          <t>15 (Không)</t>
        </is>
      </c>
      <c r="E267" s="3" t="inlineStr">
        <is>
          <t>51 (Không)</t>
        </is>
      </c>
      <c r="F267" s="3" t="inlineStr">
        <is>
          <t>---</t>
        </is>
      </c>
      <c r="G267" s="7" t="inlineStr">
        <is>
          <t>22, 45 (TRƯỢT ❌)</t>
        </is>
      </c>
      <c r="H267" s="7" t="inlineStr">
        <is>
          <t>TRƯỢT KHUNG ❌</t>
        </is>
      </c>
      <c r="I26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67" s="3" t="inlineStr">
        <is>
          <t>02, 03, 04, 07, 08, 09, 12, 13, 17, 18, 20, 21, 22, 25, 26, 27, 30, 31, 34, 35, 36, 39, 40, 43, 44, 45, 48, 49 (28 số)</t>
        </is>
      </c>
      <c r="K267" s="3" t="inlineStr">
        <is>
          <t>02, 03, 04, 07, 08, 09, 12, 13, 17, 18, 20, 21, 22, 25, 26, 27, 30, 31, 34, 35, 36, 39, 40, 43, 44, 45, 48, 49 (28 số)</t>
        </is>
      </c>
    </row>
    <row r="268">
      <c r="A268" s="2" t="n">
        <v>266</v>
      </c>
      <c r="B268" s="2" t="inlineStr">
        <is>
          <t>Chủ nhật ngày 27-09-2026</t>
        </is>
      </c>
      <c r="C268" s="3" t="inlineStr">
        <is>
          <t>15 (Trúng)</t>
        </is>
      </c>
      <c r="D268" s="3" t="inlineStr">
        <is>
          <t>51 (Trúng)</t>
        </is>
      </c>
      <c r="E268" s="3" t="inlineStr">
        <is>
          <t>42 (Không)</t>
        </is>
      </c>
      <c r="F268" s="3" t="inlineStr">
        <is>
          <t>---</t>
        </is>
      </c>
      <c r="G268" s="7" t="inlineStr">
        <is>
          <t>24, 34 (TRƯỢT ❌)</t>
        </is>
      </c>
      <c r="H268" s="6" t="inlineStr">
        <is>
          <t>TRÚNG N1 🎯</t>
        </is>
      </c>
      <c r="I268" s="3" t="inlineStr">
        <is>
          <t>01, 02, 06, 07, 10, 11, 15, 16, 20, 24, 25, 29, 33, 34, 38, 39, 42, 43, 47, 48, 51, 52, 56, 57, 60, 61, 65, 66, 70, 74, 75, 79, 83, 84, 88, 89, 92, 93, 97, 98 (40 số)</t>
        </is>
      </c>
      <c r="J268" s="3" t="inlineStr">
        <is>
          <t>51, 52, 56, 57, 60, 61, 65, 66, 70, 74, 75, 79, 83, 84, 88, 89, 92, 93, 97, 98 (20 số)</t>
        </is>
      </c>
      <c r="K268" s="3" t="inlineStr">
        <is>
          <t>51, 52, 56, 57, 60, 61, 65, 66, 70, 74, 75, 79, 83, 84, 88, 89, 92, 93, 97, 98 (20 số)</t>
        </is>
      </c>
    </row>
    <row r="269">
      <c r="A269" s="2" t="n">
        <v>267</v>
      </c>
      <c r="B269" s="2" t="inlineStr">
        <is>
          <t>Thứ Hai ngày 28-09-2026</t>
        </is>
      </c>
      <c r="C269" s="3" t="inlineStr">
        <is>
          <t>51 (Trúng)</t>
        </is>
      </c>
      <c r="D269" s="3" t="inlineStr">
        <is>
          <t>42 (Trúng)</t>
        </is>
      </c>
      <c r="E269" s="3" t="inlineStr">
        <is>
          <t>08 (Không)</t>
        </is>
      </c>
      <c r="F269" s="3" t="inlineStr">
        <is>
          <t>---</t>
        </is>
      </c>
      <c r="G269" s="7" t="inlineStr">
        <is>
          <t>15, 75 (TRƯỢT ❌)</t>
        </is>
      </c>
      <c r="H269" s="6" t="inlineStr">
        <is>
          <t>TRÚNG N1 🎯</t>
        </is>
      </c>
      <c r="I26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69" s="3" t="inlineStr">
        <is>
          <t>01, 02, 05, 06, 07, 10, 11, 14, 15, 19, 20, 23, 24, 25, 28, 29, 32, 33, 34, 37, 38, 39, 41, 42, 43, 46, 47, 48 (28 số)</t>
        </is>
      </c>
      <c r="K269" s="3" t="inlineStr">
        <is>
          <t>01, 02, 05, 06, 07, 10, 11, 14, 15, 19, 20, 23, 24, 25, 28, 29, 32, 33, 34, 37, 38, 39, 41, 42, 43, 46, 47, 48 (28 số)</t>
        </is>
      </c>
    </row>
    <row r="270">
      <c r="A270" s="2" t="n">
        <v>268</v>
      </c>
      <c r="B270" s="2" t="inlineStr">
        <is>
          <t>Thứ Ba ngày 29-09-2026</t>
        </is>
      </c>
      <c r="C270" s="3" t="inlineStr">
        <is>
          <t>42 (Không)</t>
        </is>
      </c>
      <c r="D270" s="3" t="inlineStr">
        <is>
          <t>08 (Không)</t>
        </is>
      </c>
      <c r="E270" s="3" t="inlineStr">
        <is>
          <t>83 (Không)</t>
        </is>
      </c>
      <c r="F270" s="3" t="inlineStr">
        <is>
          <t>---</t>
        </is>
      </c>
      <c r="G270" s="7" t="inlineStr">
        <is>
          <t>19, 26 (TRƯỢT ❌)</t>
        </is>
      </c>
      <c r="H270" s="7" t="inlineStr">
        <is>
          <t>TRƯỢT KHUNG ❌</t>
        </is>
      </c>
      <c r="I27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70" s="3" t="inlineStr">
        <is>
          <t>50, 53, 54, 55, 58, 59, 62, 63, 64, 67, 68, 69, 71, 72, 73, 76, 77, 78, 80, 81, 82, 85, 86, 87, 90, 94, 95, 99 (28 số)</t>
        </is>
      </c>
      <c r="K270" s="3" t="inlineStr">
        <is>
          <t>50, 53, 54, 55, 58, 59, 62, 63, 64, 67, 68, 69, 71, 72, 73, 76, 77, 78, 80, 81, 82, 85, 86, 87, 90, 94, 95, 99 (28 số)</t>
        </is>
      </c>
    </row>
    <row r="271">
      <c r="A271" s="2" t="n">
        <v>269</v>
      </c>
      <c r="B271" s="2" t="inlineStr">
        <is>
          <t>Thứ Tư ngày 30-09-2026</t>
        </is>
      </c>
      <c r="C271" s="3" t="inlineStr">
        <is>
          <t>08 (Trúng)</t>
        </is>
      </c>
      <c r="D271" s="3" t="inlineStr">
        <is>
          <t>83 (Trúng)</t>
        </is>
      </c>
      <c r="E271" s="3" t="inlineStr">
        <is>
          <t>61 (Không)</t>
        </is>
      </c>
      <c r="F271" s="3" t="inlineStr">
        <is>
          <t>---</t>
        </is>
      </c>
      <c r="G271" s="7" t="inlineStr">
        <is>
          <t>17, 42 (TRƯỢT ❌)</t>
        </is>
      </c>
      <c r="H271" s="6" t="inlineStr">
        <is>
          <t>TRÚNG N1 🎯</t>
        </is>
      </c>
      <c r="I27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71" s="3" t="inlineStr">
        <is>
          <t>51, 53, 54, 56, 58, 59, 60, 62, 63, 65, 67, 68, 71, 72, 74, 77, 79, 80, 81, 83, 85, 86, 88, 90, 92, 94, 97, 99 (28 số)</t>
        </is>
      </c>
      <c r="K271" s="3" t="inlineStr">
        <is>
          <t>51, 53, 54, 56, 58, 59, 60, 62, 63, 65, 67, 68, 71, 72, 74, 77, 79, 80, 81, 83, 85, 86, 88, 90, 92, 94, 97, 99 (28 số)</t>
        </is>
      </c>
    </row>
    <row r="272">
      <c r="A272" s="2" t="n">
        <v>270</v>
      </c>
      <c r="B272" s="2" t="inlineStr">
        <is>
          <t>Thứ Năm ngày 01-10-2026</t>
        </is>
      </c>
      <c r="C272" s="3" t="inlineStr">
        <is>
          <t>83 (Trúng)</t>
        </is>
      </c>
      <c r="D272" s="3" t="inlineStr">
        <is>
          <t>61 (Không)</t>
        </is>
      </c>
      <c r="E272" s="3" t="inlineStr">
        <is>
          <t>51 (Không)</t>
        </is>
      </c>
      <c r="F272" s="3" t="inlineStr">
        <is>
          <t>---</t>
        </is>
      </c>
      <c r="G272" s="7" t="inlineStr">
        <is>
          <t>07, 15 (TRƯỢT ❌)</t>
        </is>
      </c>
      <c r="H272" s="6" t="inlineStr">
        <is>
          <t>TRÚNG N1 🎯</t>
        </is>
      </c>
      <c r="I27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72" s="3" t="inlineStr">
        <is>
          <t>01, 02, 05, 06, 07, 10, 11, 14, 15, 19, 20, 23, 24, 25, 28, 29, 32, 33, 34, 37, 38, 39, 41, 42, 43, 46, 47, 48 (28 số)</t>
        </is>
      </c>
      <c r="K272" s="3" t="inlineStr">
        <is>
          <t>01, 02, 05, 06, 07, 10, 11, 14, 15, 19, 20, 23, 24, 25, 28, 29, 32, 33, 34, 37, 38, 39, 41, 42, 43, 46, 47, 48 (28 số)</t>
        </is>
      </c>
    </row>
    <row r="273">
      <c r="A273" s="2" t="n">
        <v>271</v>
      </c>
      <c r="B273" s="2" t="inlineStr">
        <is>
          <t>Thứ Sáu ngày 02-10-2026</t>
        </is>
      </c>
      <c r="C273" s="3" t="inlineStr">
        <is>
          <t>61 (Trúng)</t>
        </is>
      </c>
      <c r="D273" s="3" t="inlineStr">
        <is>
          <t>51 (Không)</t>
        </is>
      </c>
      <c r="E273" s="3" t="inlineStr">
        <is>
          <t>54 (Không)</t>
        </is>
      </c>
      <c r="F273" s="3" t="inlineStr">
        <is>
          <t>---</t>
        </is>
      </c>
      <c r="G273" s="7" t="inlineStr">
        <is>
          <t>65, 83 (TRƯỢT ❌)</t>
        </is>
      </c>
      <c r="H273" s="6" t="inlineStr">
        <is>
          <t>TRÚNG N1 🎯</t>
        </is>
      </c>
      <c r="I2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73" s="3" t="inlineStr">
        <is>
          <t>01, 02, 05, 06, 07, 10, 11, 14, 15, 19, 20, 23, 24, 25, 28, 29, 32, 33, 34, 37, 38, 39, 41, 42, 43, 46, 47, 48 (28 số)</t>
        </is>
      </c>
      <c r="K273" s="3" t="inlineStr">
        <is>
          <t>01, 02, 05, 06, 07, 10, 11, 14, 15, 19, 20, 23, 24, 25, 28, 29, 32, 33, 34, 37, 38, 39, 41, 42, 43, 46, 47, 48 (28 số)</t>
        </is>
      </c>
    </row>
    <row r="274">
      <c r="A274" s="2" t="n">
        <v>272</v>
      </c>
      <c r="B274" s="2" t="inlineStr">
        <is>
          <t>Thứ Bảy ngày 03-10-2026</t>
        </is>
      </c>
      <c r="C274" s="3" t="inlineStr">
        <is>
          <t>51 (Trúng)</t>
        </is>
      </c>
      <c r="D274" s="3" t="inlineStr">
        <is>
          <t>54 (Không)</t>
        </is>
      </c>
      <c r="E274" s="3" t="inlineStr">
        <is>
          <t>54 (Không)</t>
        </is>
      </c>
      <c r="F274" s="3" t="inlineStr">
        <is>
          <t>---</t>
        </is>
      </c>
      <c r="G274" s="7" t="inlineStr">
        <is>
          <t>37, 38 (TRƯỢT ❌)</t>
        </is>
      </c>
      <c r="H274" s="6" t="inlineStr">
        <is>
          <t>TRÚNG N1 🎯</t>
        </is>
      </c>
      <c r="I27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74" s="3" t="inlineStr">
        <is>
          <t>01, 02, 05, 06, 07, 10, 11, 14, 15, 19, 20, 23, 24, 25, 28, 29, 32, 33, 34, 37, 38, 39, 41, 42, 43, 46, 47, 48 (28 số)</t>
        </is>
      </c>
      <c r="K274" s="3" t="inlineStr">
        <is>
          <t>01, 02, 05, 06, 07, 10, 11, 14, 15, 19, 20, 23, 24, 25, 28, 29, 32, 33, 34, 37, 38, 39, 41, 42, 43, 46, 47, 48 (28 số)</t>
        </is>
      </c>
    </row>
    <row r="275">
      <c r="A275" s="2" t="n">
        <v>273</v>
      </c>
      <c r="B275" s="2" t="inlineStr">
        <is>
          <t>Chủ Nhật ngày 04-10-2026</t>
        </is>
      </c>
      <c r="C275" s="3" t="inlineStr">
        <is>
          <t>54 (Trúng)</t>
        </is>
      </c>
      <c r="D275" s="3" t="inlineStr">
        <is>
          <t>54 (Không)</t>
        </is>
      </c>
      <c r="E275" s="3" t="inlineStr">
        <is>
          <t>88 (Không)</t>
        </is>
      </c>
      <c r="F275" s="3" t="inlineStr">
        <is>
          <t>---</t>
        </is>
      </c>
      <c r="G275" s="7" t="inlineStr">
        <is>
          <t>26, 59 (TRƯỢT ❌)</t>
        </is>
      </c>
      <c r="H275" s="6" t="inlineStr">
        <is>
          <t>TRÚNG N1 🎯</t>
        </is>
      </c>
      <c r="I27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75" s="3" t="inlineStr">
        <is>
          <t>02, 03, 04, 07, 08, 09, 12, 13, 17, 18, 20, 21, 22, 25, 26, 27, 30, 31, 34, 35, 36, 39, 40, 43, 44, 45, 48, 49 (28 số)</t>
        </is>
      </c>
      <c r="K275" s="3" t="inlineStr">
        <is>
          <t>02, 03, 04, 07, 08, 09, 12, 13, 17, 18, 20, 21, 22, 25, 26, 27, 30, 31, 34, 35, 36, 39, 40, 43, 44, 45, 48, 49 (28 số)</t>
        </is>
      </c>
    </row>
    <row r="276">
      <c r="A276" s="2" t="n">
        <v>274</v>
      </c>
      <c r="B276" s="2" t="inlineStr">
        <is>
          <t>Thứ Hai ngày 05-10-2026</t>
        </is>
      </c>
      <c r="C276" s="3" t="inlineStr">
        <is>
          <t>54 (Trúng)</t>
        </is>
      </c>
      <c r="D276" s="3" t="inlineStr">
        <is>
          <t>88 (Không)</t>
        </is>
      </c>
      <c r="E276" s="3" t="inlineStr">
        <is>
          <t>39 (Trúng)</t>
        </is>
      </c>
      <c r="F276" s="3" t="inlineStr">
        <is>
          <t>---</t>
        </is>
      </c>
      <c r="G276" s="6" t="inlineStr">
        <is>
          <t>44, 54 (TRÚNG 🎯)</t>
        </is>
      </c>
      <c r="H276" s="6" t="inlineStr">
        <is>
          <t>TRÚNG N1 🎯</t>
        </is>
      </c>
      <c r="I27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76" s="3" t="inlineStr">
        <is>
          <t>02, 03, 04, 07, 08, 09, 12, 13, 17, 18, 20, 21, 22, 25, 26, 27, 30, 31, 34, 35, 36, 39, 40, 43, 44, 45, 48, 49 (28 số)</t>
        </is>
      </c>
      <c r="K276" s="3" t="inlineStr">
        <is>
          <t>02, 03, 04, 07, 08, 09, 12, 13, 17, 18, 20, 21, 22, 25, 26, 27, 30, 31, 34, 35, 36, 39, 40, 43, 44, 45, 48, 49 (28 số)</t>
        </is>
      </c>
    </row>
    <row r="277">
      <c r="A277" s="2" t="n">
        <v>275</v>
      </c>
      <c r="B277" s="2" t="inlineStr">
        <is>
          <t>Thứ Ba ngày 06-10-2026</t>
        </is>
      </c>
      <c r="C277" s="3" t="inlineStr">
        <is>
          <t>88 (Trúng)</t>
        </is>
      </c>
      <c r="D277" s="3" t="inlineStr">
        <is>
          <t>39 (Không)</t>
        </is>
      </c>
      <c r="E277" s="3" t="inlineStr">
        <is>
          <t>35 (Trúng)</t>
        </is>
      </c>
      <c r="F277" s="3" t="inlineStr">
        <is>
          <t>---</t>
        </is>
      </c>
      <c r="G277" s="7" t="inlineStr">
        <is>
          <t>49, 79 (TRƯỢT ❌)</t>
        </is>
      </c>
      <c r="H277" s="6" t="inlineStr">
        <is>
          <t>TRÚNG N1 🎯</t>
        </is>
      </c>
      <c r="I277" s="3" t="inlineStr">
        <is>
          <t>01, 03, 06, 08, 10, 12, 15, 17, 21, 24, 26, 29, 30, 33, 35, 38, 42, 44, 47, 49, 51, 53, 56, 58, 60, 62, 65, 67, 71, 74, 76, 79, 80, 83, 85, 88, 92, 94, 97, 99 (40 số)</t>
        </is>
      </c>
      <c r="J277" s="3" t="inlineStr">
        <is>
          <t>01, 03, 06, 08, 10, 12, 15, 17, 21, 24, 26, 29, 30, 33, 35, 38, 42, 44, 47, 49 (20 số)</t>
        </is>
      </c>
      <c r="K277" s="3" t="inlineStr">
        <is>
          <t>01, 03, 06, 08, 10, 12, 15, 17, 21, 24, 26, 29, 30, 33, 35, 38, 42, 44, 47, 49 (20 số)</t>
        </is>
      </c>
    </row>
    <row r="278">
      <c r="A278" s="2" t="n">
        <v>276</v>
      </c>
      <c r="B278" s="2" t="inlineStr">
        <is>
          <t>Thứ Tư ngày 07-10-2026</t>
        </is>
      </c>
      <c r="C278" s="3" t="inlineStr">
        <is>
          <t>39 (Trúng)</t>
        </is>
      </c>
      <c r="D278" s="3" t="inlineStr">
        <is>
          <t>35 (Không)</t>
        </is>
      </c>
      <c r="E278" s="3" t="inlineStr">
        <is>
          <t>53 (Không)</t>
        </is>
      </c>
      <c r="F278" s="3" t="inlineStr">
        <is>
          <t>---</t>
        </is>
      </c>
      <c r="G278" s="7" t="inlineStr">
        <is>
          <t>14, 48 (TRƯỢT ❌)</t>
        </is>
      </c>
      <c r="H278" s="6" t="inlineStr">
        <is>
          <t>TRÚNG N1 🎯</t>
        </is>
      </c>
      <c r="I27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78" s="3" t="inlineStr">
        <is>
          <t>50, 51, 52, 55, 56, 57, 60, 61, 64, 65, 66, 69, 73, 74, 78, 79, 82, 83, 84, 87, 88, 89, 91, 92, 93, 96, 97, 98 (28 số)</t>
        </is>
      </c>
      <c r="K278" s="3" t="inlineStr">
        <is>
          <t>50, 51, 52, 55, 56, 57, 60, 61, 64, 65, 66, 69, 73, 74, 78, 79, 82, 83, 84, 87, 88, 89, 91, 92, 93, 96, 97, 98 (28 số)</t>
        </is>
      </c>
    </row>
    <row r="279">
      <c r="A279" s="2" t="n">
        <v>277</v>
      </c>
      <c r="B279" s="2" t="inlineStr">
        <is>
          <t>Thứ Năm ngày 08-10-2026</t>
        </is>
      </c>
      <c r="C279" s="3" t="inlineStr">
        <is>
          <t>35 (Trúng)</t>
        </is>
      </c>
      <c r="D279" s="3" t="inlineStr">
        <is>
          <t>53 (Trúng)</t>
        </is>
      </c>
      <c r="E279" s="3" t="inlineStr">
        <is>
          <t>63 (Không)</t>
        </is>
      </c>
      <c r="F279" s="3" t="inlineStr">
        <is>
          <t>---</t>
        </is>
      </c>
      <c r="G279" s="6" t="inlineStr">
        <is>
          <t>26, 35 (TRÚNG 🎯)</t>
        </is>
      </c>
      <c r="H279" s="6" t="inlineStr">
        <is>
          <t>TRÚNG N1 🎯</t>
        </is>
      </c>
      <c r="I279" s="3" t="inlineStr">
        <is>
          <t>00, 03, 05, 08, 12, 14, 17, 19, 21, 23, 26, 28, 30, 32, 35, 37, 41, 44, 46, 49, 50, 53, 55, 58, 62, 64, 67, 69, 71, 73, 76, 78, 80, 82, 85, 87, 91, 94, 96, 99 (40 số)</t>
        </is>
      </c>
      <c r="J279" s="3" t="inlineStr">
        <is>
          <t>50, 53, 55, 58, 62, 64, 67, 69, 71, 73, 76, 78, 80, 82, 85, 87, 91, 94, 96, 99 (20 số)</t>
        </is>
      </c>
      <c r="K279" s="3" t="inlineStr">
        <is>
          <t>50, 53, 55, 58, 62, 64, 67, 69, 71, 73, 76, 78, 80, 82, 85, 87, 91, 94, 96, 99 (20 số)</t>
        </is>
      </c>
    </row>
    <row r="280">
      <c r="A280" s="2" t="n">
        <v>278</v>
      </c>
      <c r="B280" s="2" t="inlineStr">
        <is>
          <t>Thứ Sáu ngày 09-10-2026</t>
        </is>
      </c>
      <c r="C280" s="3" t="inlineStr">
        <is>
          <t>53 (Trúng)</t>
        </is>
      </c>
      <c r="D280" s="3" t="inlineStr">
        <is>
          <t>63 (Không)</t>
        </is>
      </c>
      <c r="E280" s="3" t="inlineStr">
        <is>
          <t>87 (Không)</t>
        </is>
      </c>
      <c r="F280" s="3" t="inlineStr">
        <is>
          <t>---</t>
        </is>
      </c>
      <c r="G280" s="7" t="inlineStr">
        <is>
          <t>02, 03 (TRƯỢT ❌)</t>
        </is>
      </c>
      <c r="H280" s="6" t="inlineStr">
        <is>
          <t>TRÚNG N1 🎯</t>
        </is>
      </c>
      <c r="I28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80" s="3" t="inlineStr">
        <is>
          <t>02, 03, 04, 07, 08, 09, 12, 13, 17, 18, 20, 21, 22, 25, 26, 27, 30, 31, 34, 35, 36, 39, 40, 43, 44, 45, 48, 49 (28 số)</t>
        </is>
      </c>
      <c r="K280" s="3" t="inlineStr">
        <is>
          <t>02, 03, 04, 07, 08, 09, 12, 13, 17, 18, 20, 21, 22, 25, 26, 27, 30, 31, 34, 35, 36, 39, 40, 43, 44, 45, 48, 49 (28 số)</t>
        </is>
      </c>
    </row>
    <row r="281">
      <c r="A281" s="2" t="n">
        <v>279</v>
      </c>
      <c r="B281" s="2" t="inlineStr">
        <is>
          <t>Thứ Bảy ngày 10-10-2026</t>
        </is>
      </c>
      <c r="C281" s="3" t="inlineStr">
        <is>
          <t>63 (Trúng)</t>
        </is>
      </c>
      <c r="D281" s="3" t="inlineStr">
        <is>
          <t>87 (Không)</t>
        </is>
      </c>
      <c r="E281" s="3" t="inlineStr">
        <is>
          <t>18 (Trúng)</t>
        </is>
      </c>
      <c r="F281" s="3" t="inlineStr">
        <is>
          <t>---</t>
        </is>
      </c>
      <c r="G281" s="6" t="inlineStr">
        <is>
          <t>18, 30 (TRÚNG 🎯)</t>
        </is>
      </c>
      <c r="H281" s="6" t="inlineStr">
        <is>
          <t>TRÚNG N1 🎯</t>
        </is>
      </c>
      <c r="I281" s="3" t="inlineStr">
        <is>
          <t>03, 04, 08, 09, 12, 13, 17, 18, 21, 22, 26, 27, 30, 31, 35, 36, 40, 44, 45, 49, 53, 54, 58, 59, 62, 63, 67, 68, 71, 72, 76, 77, 80, 81, 85, 86, 90, 94, 95, 99 (40 số)</t>
        </is>
      </c>
      <c r="J281" s="3" t="inlineStr">
        <is>
          <t>03, 04, 08, 09, 12, 13, 17, 18, 21, 22, 26, 27, 30, 31, 35, 36, 40, 44, 45, 49 (20 số)</t>
        </is>
      </c>
      <c r="K281" s="3" t="inlineStr">
        <is>
          <t>03, 04, 08, 09, 12, 13, 17, 18, 21, 22, 26, 27, 30, 31, 35, 36, 40, 44, 45, 49 (20 số)</t>
        </is>
      </c>
    </row>
    <row r="282">
      <c r="A282" s="2" t="n">
        <v>280</v>
      </c>
      <c r="B282" s="2" t="inlineStr">
        <is>
          <t>Chủ Nhật ngày 11-10-2026</t>
        </is>
      </c>
      <c r="C282" s="3" t="inlineStr">
        <is>
          <t>87 (Không)</t>
        </is>
      </c>
      <c r="D282" s="3" t="inlineStr">
        <is>
          <t>18 (Không)</t>
        </is>
      </c>
      <c r="E282" s="3" t="inlineStr">
        <is>
          <t>59 (Không)</t>
        </is>
      </c>
      <c r="F282" s="3" t="inlineStr">
        <is>
          <t>---</t>
        </is>
      </c>
      <c r="G282" s="7" t="inlineStr">
        <is>
          <t>06, 53 (TRƯỢT ❌)</t>
        </is>
      </c>
      <c r="H282" s="7" t="inlineStr">
        <is>
          <t>TRƯỢT KHUNG ❌</t>
        </is>
      </c>
      <c r="I28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82" s="3" t="inlineStr">
        <is>
          <t>01, 02, 03, 06, 07, 08, 10, 12, 15, 17, 20, 21, 24, 25, 26, 29, 30, 33, 34, 35, 38, 39, 42, 43, 44, 47, 48, 49 (28 số)</t>
        </is>
      </c>
      <c r="K282" s="3" t="inlineStr">
        <is>
          <t>01, 02, 03, 06, 07, 08, 10, 12, 15, 17, 20, 21, 24, 25, 26, 29, 30, 33, 34, 35, 38, 39, 42, 43, 44, 47, 48, 49 (28 số)</t>
        </is>
      </c>
    </row>
    <row r="283">
      <c r="A283" s="2" t="n">
        <v>281</v>
      </c>
      <c r="B283" s="2" t="inlineStr">
        <is>
          <t>Thứ Hai ngày 12-10-2026</t>
        </is>
      </c>
      <c r="C283" s="3" t="inlineStr">
        <is>
          <t>18 (Trúng)</t>
        </is>
      </c>
      <c r="D283" s="3" t="inlineStr">
        <is>
          <t>59 (Trúng)</t>
        </is>
      </c>
      <c r="E283" s="3" t="inlineStr">
        <is>
          <t>66 (Không)</t>
        </is>
      </c>
      <c r="F283" s="3" t="inlineStr">
        <is>
          <t>---</t>
        </is>
      </c>
      <c r="G283" s="7" t="inlineStr">
        <is>
          <t>38, 49 (TRƯỢT ❌)</t>
        </is>
      </c>
      <c r="H283" s="6" t="inlineStr">
        <is>
          <t>TRÚNG N1 🎯</t>
        </is>
      </c>
      <c r="I28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83" s="3" t="inlineStr">
        <is>
          <t>51, 53, 54, 56, 58, 59, 60, 62, 63, 65, 67, 68, 71, 72, 74, 77, 79, 80, 81, 83, 85, 86, 88, 90, 92, 94, 97, 99 (28 số)</t>
        </is>
      </c>
      <c r="K283" s="3" t="inlineStr">
        <is>
          <t>51, 53, 54, 56, 58, 59, 60, 62, 63, 65, 67, 68, 71, 72, 74, 77, 79, 80, 81, 83, 85, 86, 88, 90, 92, 94, 97, 99 (28 số)</t>
        </is>
      </c>
    </row>
    <row r="284">
      <c r="A284" s="2" t="n">
        <v>282</v>
      </c>
      <c r="B284" s="2" t="inlineStr">
        <is>
          <t>Thứ Ba ngày 13-10-2026</t>
        </is>
      </c>
      <c r="C284" s="3" t="inlineStr">
        <is>
          <t>59 (Trúng)</t>
        </is>
      </c>
      <c r="D284" s="3" t="inlineStr">
        <is>
          <t>66 (Không)</t>
        </is>
      </c>
      <c r="E284" s="3" t="inlineStr">
        <is>
          <t>56 (Không)</t>
        </is>
      </c>
      <c r="F284" s="3" t="inlineStr">
        <is>
          <t>---</t>
        </is>
      </c>
      <c r="G284" s="7" t="inlineStr">
        <is>
          <t>18, 78 (TRƯỢT ❌)</t>
        </is>
      </c>
      <c r="H284" s="6" t="inlineStr">
        <is>
          <t>TRÚNG N1 🎯</t>
        </is>
      </c>
      <c r="I28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84" s="3" t="inlineStr">
        <is>
          <t>02, 04, 05, 07, 09, 11, 13, 14, 18, 19, 20, 22, 23, 25, 27, 28, 31, 32, 34, 36, 37, 39, 40, 41, 43, 45, 46, 48 (28 số)</t>
        </is>
      </c>
      <c r="K284" s="3" t="inlineStr">
        <is>
          <t>02, 04, 05, 07, 09, 11, 13, 14, 18, 19, 20, 22, 23, 25, 27, 28, 31, 32, 34, 36, 37, 39, 40, 41, 43, 45, 46, 48 (28 số)</t>
        </is>
      </c>
    </row>
    <row r="285">
      <c r="A285" s="2" t="n">
        <v>283</v>
      </c>
      <c r="B285" s="2" t="inlineStr">
        <is>
          <t>Thứ Tư ngày 14-10-2026</t>
        </is>
      </c>
      <c r="C285" s="3" t="inlineStr">
        <is>
          <t>66 (Không)</t>
        </is>
      </c>
      <c r="D285" s="3" t="inlineStr">
        <is>
          <t>56 (Không)</t>
        </is>
      </c>
      <c r="E285" s="3" t="inlineStr">
        <is>
          <t>38 (Không)</t>
        </is>
      </c>
      <c r="F285" s="3" t="inlineStr">
        <is>
          <t>---</t>
        </is>
      </c>
      <c r="G285" s="7" t="inlineStr">
        <is>
          <t>04, 45 (TRƯỢT ❌)</t>
        </is>
      </c>
      <c r="H285" s="7" t="inlineStr">
        <is>
          <t>TRƯỢT KHUNG ❌</t>
        </is>
      </c>
      <c r="I285" s="3" t="inlineStr">
        <is>
          <t>00, 04, 05, 09, 13, 14, 18, 19, 22, 23, 27, 28, 31, 32, 36, 37, 40, 41, 45, 46, 50, 54, 55, 59, 63, 64, 68, 69, 72, 73, 77, 78, 81, 82, 86, 87, 90, 91, 95, 96 (40 số)</t>
        </is>
      </c>
      <c r="J285" s="3" t="inlineStr">
        <is>
          <t>00, 04, 05, 09, 13, 14, 18, 19, 22, 23, 27, 28, 31, 32, 36, 37, 40, 41, 45, 46 (20 số)</t>
        </is>
      </c>
      <c r="K285" s="3" t="inlineStr">
        <is>
          <t>00, 04, 05, 09, 13, 14, 18, 19, 22, 23, 27, 28, 31, 32, 36, 37, 40, 41, 45, 46 (20 số)</t>
        </is>
      </c>
    </row>
    <row r="286">
      <c r="A286" s="2" t="n">
        <v>284</v>
      </c>
      <c r="B286" s="2" t="inlineStr">
        <is>
          <t>Thứ Năm ngày 15-10-2026</t>
        </is>
      </c>
      <c r="C286" s="3" t="inlineStr">
        <is>
          <t>56 (Không)</t>
        </is>
      </c>
      <c r="D286" s="3" t="inlineStr">
        <is>
          <t>38 (Không)</t>
        </is>
      </c>
      <c r="E286" s="3" t="inlineStr">
        <is>
          <t>42 (Không)</t>
        </is>
      </c>
      <c r="F286" s="3" t="inlineStr">
        <is>
          <t>---</t>
        </is>
      </c>
      <c r="G286" s="7" t="inlineStr">
        <is>
          <t>27, 58 (TRƯỢT ❌)</t>
        </is>
      </c>
      <c r="H286" s="7" t="inlineStr">
        <is>
          <t>TRƯỢT KHUNG ❌</t>
        </is>
      </c>
      <c r="I28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86" s="3" t="inlineStr">
        <is>
          <t>03, 04, 08, 09, 12, 13, 14, 17, 18, 19, 21, 22, 23, 26, 27, 28, 30, 31, 32, 35, 36, 37, 40, 41, 44, 45, 46, 49 (28 số)</t>
        </is>
      </c>
      <c r="K286" s="3" t="inlineStr">
        <is>
          <t>03, 04, 08, 09, 12, 13, 14, 17, 18, 19, 21, 22, 23, 26, 27, 28, 30, 31, 32, 35, 36, 37, 40, 41, 44, 45, 46, 49 (28 số)</t>
        </is>
      </c>
    </row>
    <row r="287">
      <c r="A287" s="2" t="n">
        <v>285</v>
      </c>
      <c r="B287" s="2" t="inlineStr">
        <is>
          <t>Thứ Sáu ngày 16-10-2026</t>
        </is>
      </c>
      <c r="C287" s="3" t="inlineStr">
        <is>
          <t>38 (Trúng)</t>
        </is>
      </c>
      <c r="D287" s="3" t="inlineStr">
        <is>
          <t>42 (Không)</t>
        </is>
      </c>
      <c r="E287" s="3" t="inlineStr">
        <is>
          <t>90 (Không)</t>
        </is>
      </c>
      <c r="F287" s="3" t="inlineStr">
        <is>
          <t>---</t>
        </is>
      </c>
      <c r="G287" s="6" t="inlineStr">
        <is>
          <t>42, 53 (TRÚNG 🎯)</t>
        </is>
      </c>
      <c r="H287" s="6" t="inlineStr">
        <is>
          <t>TRÚNG N1 🎯</t>
        </is>
      </c>
      <c r="I287" s="3" t="inlineStr">
        <is>
          <t>01, 03, 06, 08, 10, 12, 15, 17, 21, 24, 26, 29, 30, 33, 35, 38, 42, 44, 47, 49, 51, 53, 56, 58, 60, 62, 65, 67, 71, 74, 76, 79, 80, 83, 85, 88, 92, 94, 97, 99 (40 số)</t>
        </is>
      </c>
      <c r="J287" s="3" t="inlineStr">
        <is>
          <t>51, 53, 56, 58, 60, 62, 65, 67, 71, 74, 76, 79, 80, 83, 85, 88, 92, 94, 97, 99 (20 số)</t>
        </is>
      </c>
      <c r="K287" s="3" t="inlineStr">
        <is>
          <t>51, 53, 56, 58, 60, 62, 65, 67, 71, 74, 76, 79, 80, 83, 85, 88, 92, 94, 97, 99 (20 số)</t>
        </is>
      </c>
    </row>
    <row r="288">
      <c r="A288" s="2" t="n">
        <v>286</v>
      </c>
      <c r="B288" s="2" t="inlineStr">
        <is>
          <t>Thứ Bảy ngày 17-10-2026</t>
        </is>
      </c>
      <c r="C288" s="3" t="inlineStr">
        <is>
          <t>42 (Không)</t>
        </is>
      </c>
      <c r="D288" s="3" t="inlineStr">
        <is>
          <t>90 (Trúng)</t>
        </is>
      </c>
      <c r="E288" s="3" t="inlineStr">
        <is>
          <t>09 (Không)</t>
        </is>
      </c>
      <c r="F288" s="3" t="inlineStr">
        <is>
          <t>---</t>
        </is>
      </c>
      <c r="G288" s="7" t="inlineStr">
        <is>
          <t>26, 49 (TRƯỢT ❌)</t>
        </is>
      </c>
      <c r="H288" s="6" t="inlineStr">
        <is>
          <t>TRÚNG N2 (Siêu Lọc 🎯)</t>
        </is>
      </c>
      <c r="I288" s="3" t="inlineStr">
        <is>
          <t>03, 04, 08, 09, 12, 13, 17, 18, 21, 22, 26, 27, 30, 31, 35, 36, 40, 44, 45, 49, 53, 54, 58, 59, 62, 63, 67, 68, 71, 72, 76, 77, 80, 81, 85, 86, 90, 94, 95, 99 (40 số)</t>
        </is>
      </c>
      <c r="J288" s="3" t="inlineStr">
        <is>
          <t>53, 54, 58, 59, 62, 63, 67, 68, 71, 72, 76, 77, 80, 81, 85, 86, 90, 94, 95, 99 (20 số)</t>
        </is>
      </c>
      <c r="K288" s="3" t="inlineStr">
        <is>
          <t>53, 54, 58, 59, 62, 63, 67, 68, 71, 72, 76, 77, 80, 81, 85, 86, 90, 94, 95, 99 (20 số)</t>
        </is>
      </c>
    </row>
    <row r="289">
      <c r="A289" s="2" t="n">
        <v>287</v>
      </c>
      <c r="B289" s="2" t="inlineStr">
        <is>
          <t>Chủ Nhật ngày 18-10-2026</t>
        </is>
      </c>
      <c r="C289" s="3" t="inlineStr">
        <is>
          <t>90 (Trúng)</t>
        </is>
      </c>
      <c r="D289" s="3" t="inlineStr">
        <is>
          <t>09 (Trúng)</t>
        </is>
      </c>
      <c r="E289" s="3" t="inlineStr">
        <is>
          <t>63 (Không)</t>
        </is>
      </c>
      <c r="F289" s="3" t="inlineStr">
        <is>
          <t>---</t>
        </is>
      </c>
      <c r="G289" s="7" t="inlineStr">
        <is>
          <t>04, 44 (TRƯỢT ❌)</t>
        </is>
      </c>
      <c r="H289" s="6" t="inlineStr">
        <is>
          <t>TRÚNG N1 🎯</t>
        </is>
      </c>
      <c r="I289" s="3" t="inlineStr">
        <is>
          <t>03, 04, 08, 09, 12, 13, 17, 18, 21, 22, 26, 27, 30, 31, 35, 36, 40, 44, 45, 49, 53, 54, 58, 59, 62, 63, 67, 68, 71, 72, 76, 77, 80, 81, 85, 86, 90, 94, 95, 99 (40 số)</t>
        </is>
      </c>
      <c r="J289" s="3" t="inlineStr">
        <is>
          <t>03, 04, 08, 09, 12, 13, 17, 18, 21, 22, 26, 27, 30, 31, 35, 36, 40, 44, 45, 49 (20 số)</t>
        </is>
      </c>
      <c r="K289" s="3" t="inlineStr">
        <is>
          <t>03, 04, 08, 09, 12, 13, 17, 18, 21, 22, 26, 27, 30, 31, 35, 36, 40, 44, 45, 49 (20 số)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042</t>
        </is>
      </c>
      <c r="D3" s="3" t="inlineStr">
        <is>
          <t>Càng 0</t>
        </is>
      </c>
      <c r="E3" s="3" t="inlineStr">
        <is>
          <t>Đề 42</t>
        </is>
      </c>
      <c r="F3" s="3" t="n">
        <v>60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242</t>
        </is>
      </c>
      <c r="D4" s="3" t="inlineStr">
        <is>
          <t>Càng 2</t>
        </is>
      </c>
      <c r="E4" s="3" t="inlineStr">
        <is>
          <t>Đề 42</t>
        </is>
      </c>
      <c r="F4" s="3" t="n">
        <v>60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442</t>
        </is>
      </c>
      <c r="D5" s="3" t="inlineStr">
        <is>
          <t>Càng 4</t>
        </is>
      </c>
      <c r="E5" s="3" t="inlineStr">
        <is>
          <t>Đề 42</t>
        </is>
      </c>
      <c r="F5" s="3" t="n">
        <v>60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542</t>
        </is>
      </c>
      <c r="D6" s="3" t="inlineStr">
        <is>
          <t>Càng 5</t>
        </is>
      </c>
      <c r="E6" s="3" t="inlineStr">
        <is>
          <t>Đề 42</t>
        </is>
      </c>
      <c r="F6" s="3" t="n">
        <v>60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742</t>
        </is>
      </c>
      <c r="D7" s="3" t="inlineStr">
        <is>
          <t>Càng 7</t>
        </is>
      </c>
      <c r="E7" s="3" t="inlineStr">
        <is>
          <t>Đề 42</t>
        </is>
      </c>
      <c r="F7" s="3" t="n">
        <v>60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038</t>
        </is>
      </c>
      <c r="D8" s="3" t="inlineStr">
        <is>
          <t>Càng 0</t>
        </is>
      </c>
      <c r="E8" s="3" t="inlineStr">
        <is>
          <t>Đề 38</t>
        </is>
      </c>
      <c r="F8" s="3" t="n">
        <v>57.6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238</t>
        </is>
      </c>
      <c r="D9" s="3" t="inlineStr">
        <is>
          <t>Càng 2</t>
        </is>
      </c>
      <c r="E9" s="3" t="inlineStr">
        <is>
          <t>Đề 38</t>
        </is>
      </c>
      <c r="F9" s="3" t="n">
        <v>57.6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438</t>
        </is>
      </c>
      <c r="D10" s="3" t="inlineStr">
        <is>
          <t>Càng 4</t>
        </is>
      </c>
      <c r="E10" s="3" t="inlineStr">
        <is>
          <t>Đề 38</t>
        </is>
      </c>
      <c r="F10" s="3" t="n">
        <v>57.6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538</t>
        </is>
      </c>
      <c r="D11" s="3" t="inlineStr">
        <is>
          <t>Càng 5</t>
        </is>
      </c>
      <c r="E11" s="3" t="inlineStr">
        <is>
          <t>Đề 38</t>
        </is>
      </c>
      <c r="F11" s="3" t="n">
        <v>57.6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738</t>
        </is>
      </c>
      <c r="D12" s="3" t="inlineStr">
        <is>
          <t>Càng 7</t>
        </is>
      </c>
      <c r="E12" s="3" t="inlineStr">
        <is>
          <t>Đề 38</t>
        </is>
      </c>
      <c r="F12" s="3" t="n">
        <v>57.6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051</t>
        </is>
      </c>
      <c r="D13" s="3" t="inlineStr">
        <is>
          <t>Càng 0</t>
        </is>
      </c>
      <c r="E13" s="3" t="inlineStr">
        <is>
          <t>Đề 51</t>
        </is>
      </c>
      <c r="F13" s="3" t="n">
        <v>54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251</t>
        </is>
      </c>
      <c r="D14" s="3" t="inlineStr">
        <is>
          <t>Càng 2</t>
        </is>
      </c>
      <c r="E14" s="3" t="inlineStr">
        <is>
          <t>Đề 51</t>
        </is>
      </c>
      <c r="F14" s="3" t="n">
        <v>54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451</t>
        </is>
      </c>
      <c r="D15" s="3" t="inlineStr">
        <is>
          <t>Càng 4</t>
        </is>
      </c>
      <c r="E15" s="3" t="inlineStr">
        <is>
          <t>Đề 51</t>
        </is>
      </c>
      <c r="F15" s="3" t="n">
        <v>54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551</t>
        </is>
      </c>
      <c r="D16" s="3" t="inlineStr">
        <is>
          <t>Càng 5</t>
        </is>
      </c>
      <c r="E16" s="3" t="inlineStr">
        <is>
          <t>Đề 51</t>
        </is>
      </c>
      <c r="F16" s="3" t="n">
        <v>54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751</t>
        </is>
      </c>
      <c r="D17" s="3" t="inlineStr">
        <is>
          <t>Càng 7</t>
        </is>
      </c>
      <c r="E17" s="3" t="inlineStr">
        <is>
          <t>Đề 51</t>
        </is>
      </c>
      <c r="F17" s="3" t="n">
        <v>54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083</t>
        </is>
      </c>
      <c r="D18" s="3" t="inlineStr">
        <is>
          <t>Càng 0</t>
        </is>
      </c>
      <c r="E18" s="3" t="inlineStr">
        <is>
          <t>Đề 83</t>
        </is>
      </c>
      <c r="F18" s="3" t="n">
        <v>51.6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283</t>
        </is>
      </c>
      <c r="D19" s="3" t="inlineStr">
        <is>
          <t>Càng 2</t>
        </is>
      </c>
      <c r="E19" s="3" t="inlineStr">
        <is>
          <t>Đề 83</t>
        </is>
      </c>
      <c r="F19" s="3" t="n">
        <v>51.6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483</t>
        </is>
      </c>
      <c r="D20" s="3" t="inlineStr">
        <is>
          <t>Càng 4</t>
        </is>
      </c>
      <c r="E20" s="3" t="inlineStr">
        <is>
          <t>Đề 83</t>
        </is>
      </c>
      <c r="F20" s="3" t="n">
        <v>51.6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583</t>
        </is>
      </c>
      <c r="D21" s="3" t="inlineStr">
        <is>
          <t>Càng 5</t>
        </is>
      </c>
      <c r="E21" s="3" t="inlineStr">
        <is>
          <t>Đề 83</t>
        </is>
      </c>
      <c r="F21" s="3" t="n">
        <v>51.6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783</t>
        </is>
      </c>
      <c r="D22" s="3" t="inlineStr">
        <is>
          <t>Càng 7</t>
        </is>
      </c>
      <c r="E22" s="3" t="inlineStr">
        <is>
          <t>Đề 83</t>
        </is>
      </c>
      <c r="F22" s="3" t="n">
        <v>51.6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0042</t>
        </is>
      </c>
      <c r="D24" s="3" t="inlineStr">
        <is>
          <t>Càng 0</t>
        </is>
      </c>
      <c r="E24" s="3" t="inlineStr">
        <is>
          <t>Ba Càng 042</t>
        </is>
      </c>
      <c r="F24" s="3" t="n">
        <v>66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2042</t>
        </is>
      </c>
      <c r="D25" s="3" t="inlineStr">
        <is>
          <t>Càng 2</t>
        </is>
      </c>
      <c r="E25" s="3" t="inlineStr">
        <is>
          <t>Ba Càng 042</t>
        </is>
      </c>
      <c r="F25" s="3" t="n">
        <v>66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0242</t>
        </is>
      </c>
      <c r="D26" s="3" t="inlineStr">
        <is>
          <t>Càng 0</t>
        </is>
      </c>
      <c r="E26" s="3" t="inlineStr">
        <is>
          <t>Ba Càng 242</t>
        </is>
      </c>
      <c r="F26" s="3" t="n">
        <v>66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2242</t>
        </is>
      </c>
      <c r="D27" s="3" t="inlineStr">
        <is>
          <t>Càng 2</t>
        </is>
      </c>
      <c r="E27" s="3" t="inlineStr">
        <is>
          <t>Ba Càng 242</t>
        </is>
      </c>
      <c r="F27" s="3" t="n">
        <v>66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0442</t>
        </is>
      </c>
      <c r="D28" s="3" t="inlineStr">
        <is>
          <t>Càng 0</t>
        </is>
      </c>
      <c r="E28" s="3" t="inlineStr">
        <is>
          <t>Ba Càng 442</t>
        </is>
      </c>
      <c r="F28" s="3" t="n">
        <v>66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2442</t>
        </is>
      </c>
      <c r="D29" s="3" t="inlineStr">
        <is>
          <t>Càng 2</t>
        </is>
      </c>
      <c r="E29" s="3" t="inlineStr">
        <is>
          <t>Ba Càng 442</t>
        </is>
      </c>
      <c r="F29" s="3" t="n">
        <v>66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0542</t>
        </is>
      </c>
      <c r="D30" s="3" t="inlineStr">
        <is>
          <t>Càng 0</t>
        </is>
      </c>
      <c r="E30" s="3" t="inlineStr">
        <is>
          <t>Ba Càng 542</t>
        </is>
      </c>
      <c r="F30" s="3" t="n">
        <v>66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2542</t>
        </is>
      </c>
      <c r="D31" s="3" t="inlineStr">
        <is>
          <t>Càng 2</t>
        </is>
      </c>
      <c r="E31" s="3" t="inlineStr">
        <is>
          <t>Ba Càng 542</t>
        </is>
      </c>
      <c r="F31" s="3" t="n">
        <v>66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0742</t>
        </is>
      </c>
      <c r="D32" s="3" t="inlineStr">
        <is>
          <t>Càng 0</t>
        </is>
      </c>
      <c r="E32" s="3" t="inlineStr">
        <is>
          <t>Ba Càng 742</t>
        </is>
      </c>
      <c r="F32" s="3" t="n">
        <v>66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2742</t>
        </is>
      </c>
      <c r="D33" s="3" t="inlineStr">
        <is>
          <t>Càng 2</t>
        </is>
      </c>
      <c r="E33" s="3" t="inlineStr">
        <is>
          <t>Ba Càng 742</t>
        </is>
      </c>
      <c r="F33" s="3" t="n">
        <v>66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0038</t>
        </is>
      </c>
      <c r="D34" s="3" t="inlineStr">
        <is>
          <t>Càng 0</t>
        </is>
      </c>
      <c r="E34" s="3" t="inlineStr">
        <is>
          <t>Ba Càng 038</t>
        </is>
      </c>
      <c r="F34" s="3" t="n">
        <v>63.4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2038</t>
        </is>
      </c>
      <c r="D35" s="3" t="inlineStr">
        <is>
          <t>Càng 2</t>
        </is>
      </c>
      <c r="E35" s="3" t="inlineStr">
        <is>
          <t>Ba Càng 038</t>
        </is>
      </c>
      <c r="F35" s="3" t="n">
        <v>63.4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0238</t>
        </is>
      </c>
      <c r="D36" s="3" t="inlineStr">
        <is>
          <t>Càng 0</t>
        </is>
      </c>
      <c r="E36" s="3" t="inlineStr">
        <is>
          <t>Ba Càng 238</t>
        </is>
      </c>
      <c r="F36" s="3" t="n">
        <v>63.4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2238</t>
        </is>
      </c>
      <c r="D37" s="3" t="inlineStr">
        <is>
          <t>Càng 2</t>
        </is>
      </c>
      <c r="E37" s="3" t="inlineStr">
        <is>
          <t>Ba Càng 238</t>
        </is>
      </c>
      <c r="F37" s="3" t="n">
        <v>63.4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0438</t>
        </is>
      </c>
      <c r="D38" s="3" t="inlineStr">
        <is>
          <t>Càng 0</t>
        </is>
      </c>
      <c r="E38" s="3" t="inlineStr">
        <is>
          <t>Ba Càng 438</t>
        </is>
      </c>
      <c r="F38" s="3" t="n">
        <v>63.4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2438</t>
        </is>
      </c>
      <c r="D39" s="3" t="inlineStr">
        <is>
          <t>Càng 2</t>
        </is>
      </c>
      <c r="E39" s="3" t="inlineStr">
        <is>
          <t>Ba Càng 438</t>
        </is>
      </c>
      <c r="F39" s="3" t="n">
        <v>63.4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0538</t>
        </is>
      </c>
      <c r="D40" s="3" t="inlineStr">
        <is>
          <t>Càng 0</t>
        </is>
      </c>
      <c r="E40" s="3" t="inlineStr">
        <is>
          <t>Ba Càng 538</t>
        </is>
      </c>
      <c r="F40" s="3" t="n">
        <v>63.4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2538</t>
        </is>
      </c>
      <c r="D41" s="3" t="inlineStr">
        <is>
          <t>Càng 2</t>
        </is>
      </c>
      <c r="E41" s="3" t="inlineStr">
        <is>
          <t>Ba Càng 538</t>
        </is>
      </c>
      <c r="F41" s="3" t="n">
        <v>63.4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0738</t>
        </is>
      </c>
      <c r="D42" s="3" t="inlineStr">
        <is>
          <t>Càng 0</t>
        </is>
      </c>
      <c r="E42" s="3" t="inlineStr">
        <is>
          <t>Ba Càng 738</t>
        </is>
      </c>
      <c r="F42" s="3" t="n">
        <v>63.4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2738</t>
        </is>
      </c>
      <c r="D43" s="3" t="inlineStr">
        <is>
          <t>Càng 2</t>
        </is>
      </c>
      <c r="E43" s="3" t="inlineStr">
        <is>
          <t>Ba Càng 738</t>
        </is>
      </c>
      <c r="F43" s="3" t="n">
        <v>63.4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36917</t>
        </is>
      </c>
      <c r="D232" s="3" t="inlineStr">
        <is>
          <t>917</t>
        </is>
      </c>
      <c r="E232" s="3" t="inlineStr">
        <is>
          <t>6917</t>
        </is>
      </c>
      <c r="F232" s="3" t="inlineStr">
        <is>
          <t>009, 013, 016, 018, 023, 026, 028, 033, 034, 038... (100 số)</t>
        </is>
      </c>
      <c r="G232" s="3" t="inlineStr">
        <is>
          <t>TRƯỢT ❌</t>
        </is>
      </c>
      <c r="H232" s="3" t="inlineStr">
        <is>
          <t>TRƯỢT ❌</t>
        </is>
      </c>
      <c r="I232" s="3" t="inlineStr">
        <is>
          <t>... (200 số)</t>
        </is>
      </c>
      <c r="J232" s="3" t="inlineStr">
        <is>
          <t>TRƯỢT ❌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85080</t>
        </is>
      </c>
      <c r="D233" s="3" t="inlineStr">
        <is>
          <t>080</t>
        </is>
      </c>
      <c r="E233" s="3" t="inlineStr">
        <is>
          <t>5080</t>
        </is>
      </c>
      <c r="F233" s="3" t="inlineStr">
        <is>
          <t>000, 009, 010, 013, 016, 017, 018, 021, 023, 038... (100 số)</t>
        </is>
      </c>
      <c r="G233" s="3" t="inlineStr">
        <is>
          <t>TRƯỢT ❌</t>
        </is>
      </c>
      <c r="H233" s="3" t="inlineStr">
        <is>
          <t>TRƯỢT ❌</t>
        </is>
      </c>
      <c r="I233" s="3" t="inlineStr">
        <is>
          <t>... (200 số)</t>
        </is>
      </c>
      <c r="J233" s="3" t="inlineStr">
        <is>
          <t>TRƯỢT ❌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85361</t>
        </is>
      </c>
      <c r="D234" s="3" t="inlineStr">
        <is>
          <t>361</t>
        </is>
      </c>
      <c r="E234" s="3" t="inlineStr">
        <is>
          <t>5361</t>
        </is>
      </c>
      <c r="F234" s="3" t="inlineStr">
        <is>
          <t>000, 009, 010, 013, 017, 018, 021, 023, 025, 038... (100 số)</t>
        </is>
      </c>
      <c r="G234" s="3" t="inlineStr">
        <is>
          <t>TRƯỢT ❌</t>
        </is>
      </c>
      <c r="H234" s="3" t="inlineStr">
        <is>
          <t>TRƯỢT ❌</t>
        </is>
      </c>
      <c r="I234" s="3" t="inlineStr">
        <is>
          <t>... (200 số)</t>
        </is>
      </c>
      <c r="J234" s="3" t="inlineStr">
        <is>
          <t>TRƯỢT ❌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82645</t>
        </is>
      </c>
      <c r="D235" s="3" t="inlineStr">
        <is>
          <t>645</t>
        </is>
      </c>
      <c r="E235" s="3" t="inlineStr">
        <is>
          <t>2645</t>
        </is>
      </c>
      <c r="F235" s="3" t="inlineStr">
        <is>
          <t>009, 013, 018, 021, 022, 023, 025, 026, 028, 033... (100 số)</t>
        </is>
      </c>
      <c r="G235" s="3" t="inlineStr">
        <is>
          <t>TRƯỢT ❌</t>
        </is>
      </c>
      <c r="H235" s="3" t="inlineStr">
        <is>
          <t>TRƯỢT ❌</t>
        </is>
      </c>
      <c r="I235" s="3" t="inlineStr">
        <is>
          <t>... (200 số)</t>
        </is>
      </c>
      <c r="J235" s="3" t="inlineStr">
        <is>
          <t>TRƯỢT ❌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06168</t>
        </is>
      </c>
      <c r="D236" s="3" t="inlineStr">
        <is>
          <t>168</t>
        </is>
      </c>
      <c r="E236" s="3" t="inlineStr">
        <is>
          <t>6168</t>
        </is>
      </c>
      <c r="F236" s="3" t="inlineStr">
        <is>
          <t>009, 010, 013, 017, 018, 021, 023, 026, 028, 038... (100 số)</t>
        </is>
      </c>
      <c r="G236" s="3" t="inlineStr">
        <is>
          <t>TRƯỢT ❌</t>
        </is>
      </c>
      <c r="H236" s="3" t="inlineStr">
        <is>
          <t>TRƯỢT ❌</t>
        </is>
      </c>
      <c r="I236" s="3" t="inlineStr">
        <is>
          <t>... (200 số)</t>
        </is>
      </c>
      <c r="J236" s="3" t="inlineStr">
        <is>
          <t>TRƯỢT ❌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90737</t>
        </is>
      </c>
      <c r="D237" s="3" t="inlineStr">
        <is>
          <t>737</t>
        </is>
      </c>
      <c r="E237" s="3" t="inlineStr">
        <is>
          <t>0737</t>
        </is>
      </c>
      <c r="F237" s="3" t="inlineStr">
        <is>
          <t>009, 010, 017, 018, 021, 022, 023, 025, 038, 039... (100 số)</t>
        </is>
      </c>
      <c r="G237" s="3" t="inlineStr">
        <is>
          <t>TRƯỢT ❌</t>
        </is>
      </c>
      <c r="H237" s="3" t="inlineStr">
        <is>
          <t>TRƯỢT ❌</t>
        </is>
      </c>
      <c r="I237" s="3" t="inlineStr">
        <is>
          <t>... (200 số)</t>
        </is>
      </c>
      <c r="J237" s="3" t="inlineStr">
        <is>
          <t>TRƯỢT ❌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83772</t>
        </is>
      </c>
      <c r="D238" s="3" t="inlineStr">
        <is>
          <t>772</t>
        </is>
      </c>
      <c r="E238" s="3" t="inlineStr">
        <is>
          <t>3772</t>
        </is>
      </c>
      <c r="F238" s="3" t="inlineStr">
        <is>
          <t>009, 010, 013, 017, 018, 021, 022, 023, 025, 037... (100 số)</t>
        </is>
      </c>
      <c r="G238" s="3" t="inlineStr">
        <is>
          <t>TRƯỢT ❌</t>
        </is>
      </c>
      <c r="H238" s="3" t="inlineStr">
        <is>
          <t>TRƯỢT ❌</t>
        </is>
      </c>
      <c r="I238" s="3" t="inlineStr">
        <is>
          <t>... (200 số)</t>
        </is>
      </c>
      <c r="J238" s="3" t="inlineStr">
        <is>
          <t>TRƯỢT ❌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35644</t>
        </is>
      </c>
      <c r="D239" s="3" t="inlineStr">
        <is>
          <t>644</t>
        </is>
      </c>
      <c r="E239" s="3" t="inlineStr">
        <is>
          <t>5644</t>
        </is>
      </c>
      <c r="F239" s="3" t="inlineStr">
        <is>
          <t>013, 017, 018, 021, 022, 023, 025, 037, 038, 039... (100 số)</t>
        </is>
      </c>
      <c r="G239" s="3" t="inlineStr">
        <is>
          <t>TRƯỢT ❌</t>
        </is>
      </c>
      <c r="H239" s="3" t="inlineStr">
        <is>
          <t>TRƯỢT ❌</t>
        </is>
      </c>
      <c r="I239" s="3" t="inlineStr">
        <is>
          <t>... (200 số)</t>
        </is>
      </c>
      <c r="J239" s="3" t="inlineStr">
        <is>
          <t>TRƯỢT ❌</t>
        </is>
      </c>
    </row>
    <row r="240">
      <c r="A240" s="2" t="n">
        <v>239</v>
      </c>
      <c r="B240" s="2" t="inlineStr">
        <is>
          <t>Thứ hai ngày 31-08-2026</t>
        </is>
      </c>
      <c r="C240" s="3" t="inlineStr">
        <is>
          <t>05521</t>
        </is>
      </c>
      <c r="D240" s="3" t="inlineStr">
        <is>
          <t>521</t>
        </is>
      </c>
      <c r="E240" s="3" t="inlineStr">
        <is>
          <t>5521</t>
        </is>
      </c>
      <c r="F240" s="3" t="inlineStr">
        <is>
          <t>009, 013, 017, 021, 022, 023, 025, 026, 037, 038... (100 số)</t>
        </is>
      </c>
      <c r="G240" s="3" t="inlineStr">
        <is>
          <t>TRÚNG 🎯</t>
        </is>
      </c>
      <c r="H240" s="3" t="inlineStr">
        <is>
          <t>TRÚNG 🎯</t>
        </is>
      </c>
      <c r="I240" s="3" t="inlineStr">
        <is>
          <t>... (200 số)</t>
        </is>
      </c>
      <c r="J240" s="3" t="inlineStr">
        <is>
          <t>TRƯỢT ❌</t>
        </is>
      </c>
    </row>
    <row r="241">
      <c r="A241" s="2" t="n">
        <v>240</v>
      </c>
      <c r="B241" s="2" t="inlineStr">
        <is>
          <t>Thứ ba ngày 01-09-2026</t>
        </is>
      </c>
      <c r="C241" s="3" t="inlineStr">
        <is>
          <t>44542</t>
        </is>
      </c>
      <c r="D241" s="3" t="inlineStr">
        <is>
          <t>542</t>
        </is>
      </c>
      <c r="E241" s="3" t="inlineStr">
        <is>
          <t>4542</t>
        </is>
      </c>
      <c r="F241" s="3" t="inlineStr">
        <is>
          <t>013, 017, 018, 021, 023, 025, 026, 037, 038, 039... (100 số)</t>
        </is>
      </c>
      <c r="G241" s="3" t="inlineStr">
        <is>
          <t>TRƯỢT ❌</t>
        </is>
      </c>
      <c r="H241" s="3" t="inlineStr">
        <is>
          <t>TRƯỢT ❌</t>
        </is>
      </c>
      <c r="I241" s="3" t="inlineStr">
        <is>
          <t>... (200 số)</t>
        </is>
      </c>
      <c r="J241" s="3" t="inlineStr">
        <is>
          <t>TRƯỢT ❌</t>
        </is>
      </c>
    </row>
    <row r="242">
      <c r="A242" s="2" t="n">
        <v>241</v>
      </c>
      <c r="B242" s="2" t="inlineStr">
        <is>
          <t>Thứ tư ngày 02-09-2026</t>
        </is>
      </c>
      <c r="C242" s="3" t="inlineStr">
        <is>
          <t>39511</t>
        </is>
      </c>
      <c r="D242" s="3" t="inlineStr">
        <is>
          <t>511</t>
        </is>
      </c>
      <c r="E242" s="3" t="inlineStr">
        <is>
          <t>9511</t>
        </is>
      </c>
      <c r="F242" s="3" t="inlineStr">
        <is>
          <t>013, 017, 018, 021, 022, 023, 025, 026, 037, 038... (100 số)</t>
        </is>
      </c>
      <c r="G242" s="3" t="inlineStr">
        <is>
          <t>TRƯỢT ❌</t>
        </is>
      </c>
      <c r="H242" s="3" t="inlineStr">
        <is>
          <t>TRƯỢT ❌</t>
        </is>
      </c>
      <c r="I242" s="3" t="inlineStr">
        <is>
          <t>... (200 số)</t>
        </is>
      </c>
      <c r="J242" s="3" t="inlineStr">
        <is>
          <t>TRƯỢT ❌</t>
        </is>
      </c>
    </row>
    <row r="243">
      <c r="A243" s="2" t="n">
        <v>242</v>
      </c>
      <c r="B243" s="2" t="inlineStr">
        <is>
          <t>Thứ năm ngày 03-09-2026</t>
        </is>
      </c>
      <c r="C243" s="3" t="inlineStr">
        <is>
          <t>50066</t>
        </is>
      </c>
      <c r="D243" s="3" t="inlineStr">
        <is>
          <t>066</t>
        </is>
      </c>
      <c r="E243" s="3" t="inlineStr">
        <is>
          <t>0066</t>
        </is>
      </c>
      <c r="F243" s="3" t="inlineStr">
        <is>
          <t>011, 013, 017, 018, 021, 023, 028, 033, 037, 038... (100 số)</t>
        </is>
      </c>
      <c r="G243" s="3" t="inlineStr">
        <is>
          <t>TRƯỢT ❌</t>
        </is>
      </c>
      <c r="H243" s="3" t="inlineStr">
        <is>
          <t>TRƯỢT ❌</t>
        </is>
      </c>
      <c r="I243" s="3" t="inlineStr">
        <is>
          <t>... (200 số)</t>
        </is>
      </c>
      <c r="J243" s="3" t="inlineStr">
        <is>
          <t>TRƯỢT ❌</t>
        </is>
      </c>
    </row>
    <row r="244">
      <c r="A244" s="2" t="n">
        <v>243</v>
      </c>
      <c r="B244" s="2" t="inlineStr">
        <is>
          <t>Thứ sáu ngày 04-09-2026</t>
        </is>
      </c>
      <c r="C244" s="3" t="inlineStr">
        <is>
          <t>24037</t>
        </is>
      </c>
      <c r="D244" s="3" t="inlineStr">
        <is>
          <t>037</t>
        </is>
      </c>
      <c r="E244" s="3" t="inlineStr">
        <is>
          <t>4037</t>
        </is>
      </c>
      <c r="F244" s="3" t="inlineStr">
        <is>
          <t>011, 013, 017, 018, 021, 026, 028, 037, 038, 042... (100 số)</t>
        </is>
      </c>
      <c r="G244" s="3" t="inlineStr">
        <is>
          <t>TRÚNG 🎯</t>
        </is>
      </c>
      <c r="H244" s="3" t="inlineStr">
        <is>
          <t>TRÚNG 🎯</t>
        </is>
      </c>
      <c r="I244" s="3" t="inlineStr">
        <is>
          <t>... (200 số)</t>
        </is>
      </c>
      <c r="J244" s="3" t="inlineStr">
        <is>
          <t>TRƯỢT ❌</t>
        </is>
      </c>
    </row>
    <row r="245">
      <c r="A245" s="2" t="n">
        <v>244</v>
      </c>
      <c r="B245" s="2" t="inlineStr">
        <is>
          <t>Thứ bảy ngày 05-09-2026</t>
        </is>
      </c>
      <c r="C245" s="3" t="inlineStr">
        <is>
          <t>61435</t>
        </is>
      </c>
      <c r="D245" s="3" t="inlineStr">
        <is>
          <t>435</t>
        </is>
      </c>
      <c r="E245" s="3" t="inlineStr">
        <is>
          <t>1435</t>
        </is>
      </c>
      <c r="F245" s="3" t="inlineStr">
        <is>
          <t>011, 013, 017, 018, 021, 022, 023, 026, 028, 037... (100 số)</t>
        </is>
      </c>
      <c r="G245" s="3" t="inlineStr">
        <is>
          <t>TRƯỢT ❌</t>
        </is>
      </c>
      <c r="H245" s="3" t="inlineStr">
        <is>
          <t>TRƯỢT ❌</t>
        </is>
      </c>
      <c r="I245" s="3" t="inlineStr">
        <is>
          <t>... (200 số)</t>
        </is>
      </c>
      <c r="J245" s="3" t="inlineStr">
        <is>
          <t>TRƯỢT ❌</t>
        </is>
      </c>
    </row>
    <row r="246">
      <c r="A246" s="2" t="n">
        <v>245</v>
      </c>
      <c r="B246" s="2" t="inlineStr">
        <is>
          <t>Chủ nhật ngày 06-09-2026</t>
        </is>
      </c>
      <c r="C246" s="3" t="inlineStr">
        <is>
          <t>34990</t>
        </is>
      </c>
      <c r="D246" s="3" t="inlineStr">
        <is>
          <t>990</t>
        </is>
      </c>
      <c r="E246" s="3" t="inlineStr">
        <is>
          <t>4990</t>
        </is>
      </c>
      <c r="F246" s="3" t="inlineStr">
        <is>
          <t>013, 018, 021, 023, 026, 028, 033, 035, 037, 038... (100 số)</t>
        </is>
      </c>
      <c r="G246" s="3" t="inlineStr">
        <is>
          <t>TRƯỢT ❌</t>
        </is>
      </c>
      <c r="H246" s="3" t="inlineStr">
        <is>
          <t>TRƯỢT ❌</t>
        </is>
      </c>
      <c r="I246" s="3" t="inlineStr">
        <is>
          <t>... (200 số)</t>
        </is>
      </c>
      <c r="J246" s="3" t="inlineStr">
        <is>
          <t>TRƯỢT ❌</t>
        </is>
      </c>
    </row>
    <row r="247">
      <c r="A247" s="2" t="n">
        <v>246</v>
      </c>
      <c r="B247" s="2" t="inlineStr">
        <is>
          <t>Thứ hai ngày 07-09-2026</t>
        </is>
      </c>
      <c r="C247" s="3" t="inlineStr">
        <is>
          <t>39687</t>
        </is>
      </c>
      <c r="D247" s="3" t="inlineStr">
        <is>
          <t>687</t>
        </is>
      </c>
      <c r="E247" s="3" t="inlineStr">
        <is>
          <t>9687</t>
        </is>
      </c>
      <c r="F247" s="3" t="inlineStr">
        <is>
          <t>011, 013, 017, 018, 021, 026, 028, 035, 037, 038... (100 số)</t>
        </is>
      </c>
      <c r="G247" s="3" t="inlineStr">
        <is>
          <t>TRƯỢT ❌</t>
        </is>
      </c>
      <c r="H247" s="3" t="inlineStr">
        <is>
          <t>TRƯỢT ❌</t>
        </is>
      </c>
      <c r="I247" s="3" t="inlineStr">
        <is>
          <t>... (200 số)</t>
        </is>
      </c>
      <c r="J247" s="3" t="inlineStr">
        <is>
          <t>TRƯỢT ❌</t>
        </is>
      </c>
    </row>
    <row r="248">
      <c r="A248" s="2" t="n">
        <v>247</v>
      </c>
      <c r="B248" s="2" t="inlineStr">
        <is>
          <t>Thứ ba ngày 08-09-2026</t>
        </is>
      </c>
      <c r="C248" s="3" t="inlineStr">
        <is>
          <t>94504</t>
        </is>
      </c>
      <c r="D248" s="3" t="inlineStr">
        <is>
          <t>504</t>
        </is>
      </c>
      <c r="E248" s="3" t="inlineStr">
        <is>
          <t>4504</t>
        </is>
      </c>
      <c r="F248" s="3" t="inlineStr">
        <is>
          <t>013, 017, 018, 023, 026, 028, 033, 035, 037, 038... (100 số)</t>
        </is>
      </c>
      <c r="G248" s="3" t="inlineStr">
        <is>
          <t>TRƯỢT ❌</t>
        </is>
      </c>
      <c r="H248" s="3" t="inlineStr">
        <is>
          <t>TRƯỢT ❌</t>
        </is>
      </c>
      <c r="I248" s="3" t="inlineStr">
        <is>
          <t>... (200 số)</t>
        </is>
      </c>
      <c r="J248" s="3" t="inlineStr">
        <is>
          <t>TRƯỢT ❌</t>
        </is>
      </c>
    </row>
    <row r="249">
      <c r="A249" s="2" t="n">
        <v>248</v>
      </c>
      <c r="B249" s="2" t="inlineStr">
        <is>
          <t>Thứ tư ngày 09-09-2026</t>
        </is>
      </c>
      <c r="C249" s="3" t="inlineStr">
        <is>
          <t>30981</t>
        </is>
      </c>
      <c r="D249" s="3" t="inlineStr">
        <is>
          <t>981</t>
        </is>
      </c>
      <c r="E249" s="3" t="inlineStr">
        <is>
          <t>0981</t>
        </is>
      </c>
      <c r="F249" s="3" t="inlineStr">
        <is>
          <t>004, 011, 013, 017, 018, 021, 023, 026, 028, 037... (100 số)</t>
        </is>
      </c>
      <c r="G249" s="3" t="inlineStr">
        <is>
          <t>TRƯỢT ❌</t>
        </is>
      </c>
      <c r="H249" s="3" t="inlineStr">
        <is>
          <t>TRƯỢT ❌</t>
        </is>
      </c>
      <c r="I249" s="3" t="inlineStr">
        <is>
          <t>... (200 số)</t>
        </is>
      </c>
      <c r="J249" s="3" t="inlineStr">
        <is>
          <t>TRƯỢT ❌</t>
        </is>
      </c>
    </row>
    <row r="250">
      <c r="A250" s="2" t="n">
        <v>249</v>
      </c>
      <c r="B250" s="2" t="inlineStr">
        <is>
          <t>Thứ năm ngày 10-09-2026</t>
        </is>
      </c>
      <c r="C250" s="3" t="inlineStr">
        <is>
          <t>29352</t>
        </is>
      </c>
      <c r="D250" s="3" t="inlineStr">
        <is>
          <t>352</t>
        </is>
      </c>
      <c r="E250" s="3" t="inlineStr">
        <is>
          <t>9352</t>
        </is>
      </c>
      <c r="F250" s="3" t="inlineStr">
        <is>
          <t>004, 011, 013, 017, 018, 021, 023, 033, 035, 037... (100 số)</t>
        </is>
      </c>
      <c r="G250" s="3" t="inlineStr">
        <is>
          <t>TRƯỢT ❌</t>
        </is>
      </c>
      <c r="H250" s="3" t="inlineStr">
        <is>
          <t>TRƯỢT ❌</t>
        </is>
      </c>
      <c r="I250" s="3" t="inlineStr">
        <is>
          <t>... (200 số)</t>
        </is>
      </c>
      <c r="J250" s="3" t="inlineStr">
        <is>
          <t>TRƯỢT ❌</t>
        </is>
      </c>
    </row>
    <row r="251">
      <c r="A251" s="2" t="n">
        <v>250</v>
      </c>
      <c r="B251" s="2" t="inlineStr">
        <is>
          <t>Thứ sáu ngày 11-09-2026</t>
        </is>
      </c>
      <c r="C251" s="3" t="inlineStr">
        <is>
          <t>58851</t>
        </is>
      </c>
      <c r="D251" s="3" t="inlineStr">
        <is>
          <t>851</t>
        </is>
      </c>
      <c r="E251" s="3" t="inlineStr">
        <is>
          <t>8851</t>
        </is>
      </c>
      <c r="F251" s="3" t="inlineStr">
        <is>
          <t>004, 011, 013, 017, 018, 021, 023, 037, 038, 039... (100 số)</t>
        </is>
      </c>
      <c r="G251" s="3" t="inlineStr">
        <is>
          <t>TRƯỢT ❌</t>
        </is>
      </c>
      <c r="H251" s="3" t="inlineStr">
        <is>
          <t>TRƯỢT ❌</t>
        </is>
      </c>
      <c r="I251" s="3" t="inlineStr">
        <is>
          <t>... (200 số)</t>
        </is>
      </c>
      <c r="J251" s="3" t="inlineStr">
        <is>
          <t>TRƯỢT ❌</t>
        </is>
      </c>
    </row>
    <row r="252">
      <c r="A252" s="2" t="n">
        <v>251</v>
      </c>
      <c r="B252" s="2" t="inlineStr">
        <is>
          <t>Thứ bảy ngày 12-09-2026</t>
        </is>
      </c>
      <c r="C252" s="3" t="inlineStr">
        <is>
          <t>83799</t>
        </is>
      </c>
      <c r="D252" s="3" t="inlineStr">
        <is>
          <t>799</t>
        </is>
      </c>
      <c r="E252" s="3" t="inlineStr">
        <is>
          <t>3799</t>
        </is>
      </c>
      <c r="F252" s="3" t="inlineStr">
        <is>
          <t>004, 011, 013, 017, 018, 021, 023, 028, 037, 038... (100 số)</t>
        </is>
      </c>
      <c r="G252" s="3" t="inlineStr">
        <is>
          <t>TRƯỢT ❌</t>
        </is>
      </c>
      <c r="H252" s="3" t="inlineStr">
        <is>
          <t>TRƯỢT ❌</t>
        </is>
      </c>
      <c r="I252" s="3" t="inlineStr">
        <is>
          <t>... (200 số)</t>
        </is>
      </c>
      <c r="J252" s="3" t="inlineStr">
        <is>
          <t>TRƯỢT ❌</t>
        </is>
      </c>
    </row>
    <row r="253">
      <c r="A253" s="2" t="n">
        <v>252</v>
      </c>
      <c r="B253" s="2" t="inlineStr">
        <is>
          <t>Chủ nhật ngày 13-09-2026</t>
        </is>
      </c>
      <c r="C253" s="3" t="inlineStr">
        <is>
          <t>74522</t>
        </is>
      </c>
      <c r="D253" s="3" t="inlineStr">
        <is>
          <t>522</t>
        </is>
      </c>
      <c r="E253" s="3" t="inlineStr">
        <is>
          <t>4522</t>
        </is>
      </c>
      <c r="F253" s="3" t="inlineStr">
        <is>
          <t>004, 011, 013, 017, 021, 023, 028, 037, 038, 042... (100 số)</t>
        </is>
      </c>
      <c r="G253" s="3" t="inlineStr">
        <is>
          <t>TRƯỢT ❌</t>
        </is>
      </c>
      <c r="H253" s="3" t="inlineStr">
        <is>
          <t>TRƯỢT ❌</t>
        </is>
      </c>
      <c r="I253" s="3" t="inlineStr">
        <is>
          <t>... (200 số)</t>
        </is>
      </c>
      <c r="J253" s="3" t="inlineStr">
        <is>
          <t>TRƯỢT ❌</t>
        </is>
      </c>
    </row>
    <row r="254">
      <c r="A254" s="2" t="n">
        <v>253</v>
      </c>
      <c r="B254" s="2" t="inlineStr">
        <is>
          <t>Thứ hai ngày 14-09-2026</t>
        </is>
      </c>
      <c r="C254" s="3" t="inlineStr">
        <is>
          <t>31429</t>
        </is>
      </c>
      <c r="D254" s="3" t="inlineStr">
        <is>
          <t>429</t>
        </is>
      </c>
      <c r="E254" s="3" t="inlineStr">
        <is>
          <t>1429</t>
        </is>
      </c>
      <c r="F254" s="3" t="inlineStr">
        <is>
          <t>004, 011, 013, 017, 021, 022, 023, 037, 038, 039... (100 số)</t>
        </is>
      </c>
      <c r="G254" s="3" t="inlineStr">
        <is>
          <t>TRƯỢT ❌</t>
        </is>
      </c>
      <c r="H254" s="3" t="inlineStr">
        <is>
          <t>TRƯỢT ❌</t>
        </is>
      </c>
      <c r="I254" s="3" t="inlineStr">
        <is>
          <t>... (200 số)</t>
        </is>
      </c>
      <c r="J254" s="3" t="inlineStr">
        <is>
          <t>TRƯỢT ❌</t>
        </is>
      </c>
    </row>
    <row r="255">
      <c r="A255" s="2" t="n">
        <v>254</v>
      </c>
      <c r="B255" s="2" t="inlineStr">
        <is>
          <t>Thứ ba ngày 15-09-2026</t>
        </is>
      </c>
      <c r="C255" s="3" t="inlineStr">
        <is>
          <t>96344</t>
        </is>
      </c>
      <c r="D255" s="3" t="inlineStr">
        <is>
          <t>344</t>
        </is>
      </c>
      <c r="E255" s="3" t="inlineStr">
        <is>
          <t>6344</t>
        </is>
      </c>
      <c r="F255" s="3" t="inlineStr">
        <is>
          <t>004, 011, 013, 017, 021, 022, 023, 028, 029, 033... (100 số)</t>
        </is>
      </c>
      <c r="G255" s="3" t="inlineStr">
        <is>
          <t>TRƯỢT ❌</t>
        </is>
      </c>
      <c r="H255" s="3" t="inlineStr">
        <is>
          <t>TRƯỢT ❌</t>
        </is>
      </c>
      <c r="I255" s="3" t="inlineStr">
        <is>
          <t>... (200 số)</t>
        </is>
      </c>
      <c r="J255" s="3" t="inlineStr">
        <is>
          <t>TRƯỢT ❌</t>
        </is>
      </c>
    </row>
    <row r="256">
      <c r="A256" s="2" t="n">
        <v>255</v>
      </c>
      <c r="B256" s="2" t="inlineStr">
        <is>
          <t>Thứ tư ngày 16-09-2026</t>
        </is>
      </c>
      <c r="C256" s="3" t="inlineStr">
        <is>
          <t>71960</t>
        </is>
      </c>
      <c r="D256" s="3" t="inlineStr">
        <is>
          <t>960</t>
        </is>
      </c>
      <c r="E256" s="3" t="inlineStr">
        <is>
          <t>1960</t>
        </is>
      </c>
      <c r="F256" s="3" t="inlineStr">
        <is>
          <t>004, 011, 013, 017, 021, 022, 023, 028, 029, 033... (100 số)</t>
        </is>
      </c>
      <c r="G256" s="3" t="inlineStr">
        <is>
          <t>TRƯỢT ❌</t>
        </is>
      </c>
      <c r="H256" s="3" t="inlineStr">
        <is>
          <t>TRƯỢT ❌</t>
        </is>
      </c>
      <c r="I256" s="3" t="inlineStr">
        <is>
          <t>... (200 số)</t>
        </is>
      </c>
      <c r="J256" s="3" t="inlineStr">
        <is>
          <t>TRƯỢT ❌</t>
        </is>
      </c>
    </row>
    <row r="257">
      <c r="A257" s="2" t="n">
        <v>256</v>
      </c>
      <c r="B257" s="2" t="inlineStr">
        <is>
          <t>Thứ năm ngày 17-09-2026</t>
        </is>
      </c>
      <c r="C257" s="3" t="inlineStr">
        <is>
          <t>27367</t>
        </is>
      </c>
      <c r="D257" s="3" t="inlineStr">
        <is>
          <t>367</t>
        </is>
      </c>
      <c r="E257" s="3" t="inlineStr">
        <is>
          <t>7367</t>
        </is>
      </c>
      <c r="F257" s="3" t="inlineStr">
        <is>
          <t>011, 013, 017, 021, 022, 023, 028, 029, 033, 037... (100 số)</t>
        </is>
      </c>
      <c r="G257" s="3" t="inlineStr">
        <is>
          <t>TRƯỢT ❌</t>
        </is>
      </c>
      <c r="H257" s="3" t="inlineStr">
        <is>
          <t>TRƯỢT ❌</t>
        </is>
      </c>
      <c r="I257" s="3" t="inlineStr">
        <is>
          <t>... (200 số)</t>
        </is>
      </c>
      <c r="J257" s="3" t="inlineStr">
        <is>
          <t>TRƯỢT ❌</t>
        </is>
      </c>
    </row>
    <row r="258">
      <c r="A258" s="2" t="n">
        <v>257</v>
      </c>
      <c r="B258" s="2" t="inlineStr">
        <is>
          <t>Thứ sáu ngày 18-09-2026</t>
        </is>
      </c>
      <c r="C258" s="3" t="inlineStr">
        <is>
          <t>73412</t>
        </is>
      </c>
      <c r="D258" s="3" t="inlineStr">
        <is>
          <t>412</t>
        </is>
      </c>
      <c r="E258" s="3" t="inlineStr">
        <is>
          <t>3412</t>
        </is>
      </c>
      <c r="F258" s="3" t="inlineStr">
        <is>
          <t>004, 013, 017, 021, 022, 023, 029, 037, 038, 042... (100 số)</t>
        </is>
      </c>
      <c r="G258" s="3" t="inlineStr">
        <is>
          <t>TRƯỢT ❌</t>
        </is>
      </c>
      <c r="H258" s="3" t="inlineStr">
        <is>
          <t>TRƯỢT ❌</t>
        </is>
      </c>
      <c r="I258" s="3" t="inlineStr">
        <is>
          <t>... (200 số)</t>
        </is>
      </c>
      <c r="J258" s="3" t="inlineStr">
        <is>
          <t>TRƯỢT ❌</t>
        </is>
      </c>
    </row>
    <row r="259">
      <c r="A259" s="2" t="n">
        <v>258</v>
      </c>
      <c r="B259" s="2" t="inlineStr">
        <is>
          <t>Thứ bảy ngày 19-09-2026</t>
        </is>
      </c>
      <c r="C259" s="3" t="inlineStr">
        <is>
          <t>21538</t>
        </is>
      </c>
      <c r="D259" s="3" t="inlineStr">
        <is>
          <t>538</t>
        </is>
      </c>
      <c r="E259" s="3" t="inlineStr">
        <is>
          <t>1538</t>
        </is>
      </c>
      <c r="F259" s="3" t="inlineStr">
        <is>
          <t>004, 013, 017, 023, 033, 035, 037, 038, 042, 044... (100 số)</t>
        </is>
      </c>
      <c r="G259" s="3" t="inlineStr">
        <is>
          <t>TRÚNG 🎯</t>
        </is>
      </c>
      <c r="H259" s="3" t="inlineStr">
        <is>
          <t>TRÚNG 🎯</t>
        </is>
      </c>
      <c r="I259" s="3" t="inlineStr">
        <is>
          <t>... (200 số)</t>
        </is>
      </c>
      <c r="J259" s="3" t="inlineStr">
        <is>
          <t>TRƯỢT ❌</t>
        </is>
      </c>
    </row>
    <row r="260">
      <c r="A260" s="2" t="n">
        <v>259</v>
      </c>
      <c r="B260" s="2" t="inlineStr">
        <is>
          <t>Chủ nhật ngày 20-09-2026</t>
        </is>
      </c>
      <c r="C260" s="3" t="inlineStr">
        <is>
          <t>40432</t>
        </is>
      </c>
      <c r="D260" s="3" t="inlineStr">
        <is>
          <t>432</t>
        </is>
      </c>
      <c r="E260" s="3" t="inlineStr">
        <is>
          <t>0432</t>
        </is>
      </c>
      <c r="F260" s="3" t="inlineStr">
        <is>
          <t>004, 011, 012, 013, 017, 021, 022, 023, 029, 037... (100 số)</t>
        </is>
      </c>
      <c r="G260" s="3" t="inlineStr">
        <is>
          <t>TRƯỢT ❌</t>
        </is>
      </c>
      <c r="H260" s="3" t="inlineStr">
        <is>
          <t>TRƯỢT ❌</t>
        </is>
      </c>
      <c r="I260" s="3" t="inlineStr">
        <is>
          <t>... (200 số)</t>
        </is>
      </c>
      <c r="J260" s="3" t="inlineStr">
        <is>
          <t>TRƯỢT ❌</t>
        </is>
      </c>
    </row>
    <row r="261">
      <c r="A261" s="2" t="n">
        <v>260</v>
      </c>
      <c r="B261" s="2" t="inlineStr">
        <is>
          <t>Thứ hai ngày 21-09-2026</t>
        </is>
      </c>
      <c r="C261" s="3" t="inlineStr">
        <is>
          <t>31922</t>
        </is>
      </c>
      <c r="D261" s="3" t="inlineStr">
        <is>
          <t>922</t>
        </is>
      </c>
      <c r="E261" s="3" t="inlineStr">
        <is>
          <t>1922</t>
        </is>
      </c>
      <c r="F261" s="3" t="inlineStr">
        <is>
          <t>012, 017, 021, 022, 023, 029, 032, 035, 037, 038... (100 số)</t>
        </is>
      </c>
      <c r="G261" s="3" t="inlineStr">
        <is>
          <t>TRƯỢT ❌</t>
        </is>
      </c>
      <c r="H261" s="3" t="inlineStr">
        <is>
          <t>TRƯỢT ❌</t>
        </is>
      </c>
      <c r="I261" s="3" t="inlineStr">
        <is>
          <t>... (200 số)</t>
        </is>
      </c>
      <c r="J261" s="3" t="inlineStr">
        <is>
          <t>TRƯỢT ❌</t>
        </is>
      </c>
    </row>
    <row r="262">
      <c r="A262" s="2" t="n">
        <v>261</v>
      </c>
      <c r="B262" s="2" t="inlineStr">
        <is>
          <t>Thứ ba ngày 22-09-2026</t>
        </is>
      </c>
      <c r="C262" s="3" t="inlineStr">
        <is>
          <t>76406</t>
        </is>
      </c>
      <c r="D262" s="3" t="inlineStr">
        <is>
          <t>406</t>
        </is>
      </c>
      <c r="E262" s="3" t="inlineStr">
        <is>
          <t>6406</t>
        </is>
      </c>
      <c r="F262" s="3" t="inlineStr">
        <is>
          <t>004, 012, 017, 021, 022, 023, 029, 032, 035, 037... (100 số)</t>
        </is>
      </c>
      <c r="G262" s="3" t="inlineStr">
        <is>
          <t>TRƯỢT ❌</t>
        </is>
      </c>
      <c r="H262" s="3" t="inlineStr">
        <is>
          <t>TRƯỢT ❌</t>
        </is>
      </c>
      <c r="I262" s="3" t="inlineStr">
        <is>
          <t>... (200 số)</t>
        </is>
      </c>
      <c r="J262" s="3" t="inlineStr">
        <is>
          <t>TRƯỢT ❌</t>
        </is>
      </c>
    </row>
    <row r="263">
      <c r="A263" s="2" t="n">
        <v>262</v>
      </c>
      <c r="B263" s="2" t="inlineStr">
        <is>
          <t>Thứ tư ngày 23-09-2026</t>
        </is>
      </c>
      <c r="C263" s="3" t="inlineStr">
        <is>
          <t>78196</t>
        </is>
      </c>
      <c r="D263" s="3" t="inlineStr">
        <is>
          <t>196</t>
        </is>
      </c>
      <c r="E263" s="3" t="inlineStr">
        <is>
          <t>8196</t>
        </is>
      </c>
      <c r="F263" s="3" t="inlineStr">
        <is>
          <t>004, 006, 011, 012, 021, 022, 023, 029, 032, 037... (100 số)</t>
        </is>
      </c>
      <c r="G263" s="3" t="inlineStr">
        <is>
          <t>TRƯỢT ❌</t>
        </is>
      </c>
      <c r="H263" s="3" t="inlineStr">
        <is>
          <t>TRƯỢT ❌</t>
        </is>
      </c>
      <c r="I263" s="3" t="inlineStr">
        <is>
          <t>... (200 số)</t>
        </is>
      </c>
      <c r="J263" s="3" t="inlineStr">
        <is>
          <t>TRƯỢT ❌</t>
        </is>
      </c>
    </row>
    <row r="264">
      <c r="A264" s="2" t="n">
        <v>263</v>
      </c>
      <c r="B264" s="2" t="inlineStr">
        <is>
          <t>Thứ năm ngày 24-09-2026</t>
        </is>
      </c>
      <c r="C264" s="3" t="inlineStr">
        <is>
          <t>34465</t>
        </is>
      </c>
      <c r="D264" s="3" t="inlineStr">
        <is>
          <t>465</t>
        </is>
      </c>
      <c r="E264" s="3" t="inlineStr">
        <is>
          <t>4465</t>
        </is>
      </c>
      <c r="F264" s="3" t="inlineStr">
        <is>
          <t>004, 006, 011, 012, 021, 022, 023, 029, 032, 037... (100 số)</t>
        </is>
      </c>
      <c r="G264" s="3" t="inlineStr">
        <is>
          <t>TRƯỢT ❌</t>
        </is>
      </c>
      <c r="H264" s="3" t="inlineStr">
        <is>
          <t>TRƯỢT ❌</t>
        </is>
      </c>
      <c r="I264" s="3" t="inlineStr">
        <is>
          <t>... (200 số)</t>
        </is>
      </c>
      <c r="J264" s="3" t="inlineStr">
        <is>
          <t>TRƯỢT ❌</t>
        </is>
      </c>
    </row>
    <row r="265">
      <c r="A265" s="2" t="n">
        <v>264</v>
      </c>
      <c r="B265" s="2" t="inlineStr">
        <is>
          <t>Thứ sáu ngày 25-09-2026</t>
        </is>
      </c>
      <c r="C265" s="3" t="inlineStr">
        <is>
          <t>18132</t>
        </is>
      </c>
      <c r="D265" s="3" t="inlineStr">
        <is>
          <t>132</t>
        </is>
      </c>
      <c r="E265" s="3" t="inlineStr">
        <is>
          <t>8132</t>
        </is>
      </c>
      <c r="F265" s="3" t="inlineStr">
        <is>
          <t>004, 006, 022, 035, 037, 038, 042, 044, 045, 051... (100 số)</t>
        </is>
      </c>
      <c r="G265" s="3" t="inlineStr">
        <is>
          <t>TRƯỢT ❌</t>
        </is>
      </c>
      <c r="H265" s="3" t="inlineStr">
        <is>
          <t>TRƯỢT ❌</t>
        </is>
      </c>
      <c r="I265" s="3" t="inlineStr">
        <is>
          <t>... (200 số)</t>
        </is>
      </c>
      <c r="J265" s="3" t="inlineStr">
        <is>
          <t>TRƯỢT ❌</t>
        </is>
      </c>
    </row>
    <row r="266">
      <c r="A266" s="2" t="n">
        <v>265</v>
      </c>
      <c r="B266" s="2" t="inlineStr">
        <is>
          <t>Thứ bảy ngày 26-09-2026</t>
        </is>
      </c>
      <c r="C266" s="3" t="inlineStr">
        <is>
          <t>55473</t>
        </is>
      </c>
      <c r="D266" s="3" t="inlineStr">
        <is>
          <t>473</t>
        </is>
      </c>
      <c r="E266" s="3" t="inlineStr">
        <is>
          <t>5473</t>
        </is>
      </c>
      <c r="F266" s="3" t="inlineStr">
        <is>
          <t>004, 006, 012, 021, 022, 023, 029, 032, 035, 037... (100 số)</t>
        </is>
      </c>
      <c r="G266" s="3" t="inlineStr">
        <is>
          <t>TRƯỢT ❌</t>
        </is>
      </c>
      <c r="H266" s="3" t="inlineStr">
        <is>
          <t>TRƯỢT ❌</t>
        </is>
      </c>
      <c r="I266" s="3" t="inlineStr">
        <is>
          <t>... (200 số)</t>
        </is>
      </c>
      <c r="J266" s="3" t="inlineStr">
        <is>
          <t>TRƯỢT ❌</t>
        </is>
      </c>
    </row>
    <row r="267">
      <c r="A267" s="2" t="n">
        <v>266</v>
      </c>
      <c r="B267" s="2" t="inlineStr">
        <is>
          <t>Chủ nhật ngày 27-09-2026</t>
        </is>
      </c>
      <c r="C267" s="3" t="inlineStr">
        <is>
          <t>77115</t>
        </is>
      </c>
      <c r="D267" s="3" t="inlineStr">
        <is>
          <t>115</t>
        </is>
      </c>
      <c r="E267" s="3" t="inlineStr">
        <is>
          <t>7115</t>
        </is>
      </c>
      <c r="F267" s="3" t="inlineStr">
        <is>
          <t>004, 006, 011, 012, 021, 022, 023, 029, 032, 035... (100 số)</t>
        </is>
      </c>
      <c r="G267" s="3" t="inlineStr">
        <is>
          <t>TRƯỢT ❌</t>
        </is>
      </c>
      <c r="H267" s="3" t="inlineStr">
        <is>
          <t>TRƯỢT ❌</t>
        </is>
      </c>
      <c r="I267" s="3" t="inlineStr">
        <is>
          <t>... (200 số)</t>
        </is>
      </c>
      <c r="J267" s="3" t="inlineStr">
        <is>
          <t>TRƯỢT ❌</t>
        </is>
      </c>
    </row>
    <row r="268">
      <c r="A268" s="2" t="n">
        <v>267</v>
      </c>
      <c r="B268" s="2" t="inlineStr">
        <is>
          <t>Thứ Hai ngày 28-09-2026</t>
        </is>
      </c>
      <c r="C268" s="3" t="inlineStr">
        <is>
          <t>05651</t>
        </is>
      </c>
      <c r="D268" s="3" t="inlineStr">
        <is>
          <t>651</t>
        </is>
      </c>
      <c r="E268" s="3" t="inlineStr">
        <is>
          <t>5651</t>
        </is>
      </c>
      <c r="F268" s="3" t="inlineStr">
        <is>
          <t>012, 015, 021, 022, 023, 029, 032, 035, 037, 038... (100 số)</t>
        </is>
      </c>
      <c r="G268" s="3" t="inlineStr">
        <is>
          <t>TRƯỢT ❌</t>
        </is>
      </c>
      <c r="H268" s="3" t="inlineStr">
        <is>
          <t>TRƯỢT ❌</t>
        </is>
      </c>
      <c r="I268" s="3" t="inlineStr">
        <is>
          <t>... (200 số)</t>
        </is>
      </c>
      <c r="J268" s="3" t="inlineStr">
        <is>
          <t>TRƯỢT ❌</t>
        </is>
      </c>
    </row>
    <row r="269">
      <c r="A269" s="2" t="n">
        <v>268</v>
      </c>
      <c r="B269" s="2" t="inlineStr">
        <is>
          <t>Thứ Ba ngày 29-09-2026</t>
        </is>
      </c>
      <c r="C269" s="3" t="inlineStr">
        <is>
          <t>95242</t>
        </is>
      </c>
      <c r="D269" s="3" t="inlineStr">
        <is>
          <t>242</t>
        </is>
      </c>
      <c r="E269" s="3" t="inlineStr">
        <is>
          <t>5242</t>
        </is>
      </c>
      <c r="F269" s="3" t="inlineStr">
        <is>
          <t>006, 011, 012, 015, 021, 022, 023, 029, 032, 037... (100 số)</t>
        </is>
      </c>
      <c r="G269" s="3" t="inlineStr">
        <is>
          <t>TRƯỢT ❌</t>
        </is>
      </c>
      <c r="H269" s="3" t="inlineStr">
        <is>
          <t>TRƯỢT ❌</t>
        </is>
      </c>
      <c r="I269" s="3" t="inlineStr">
        <is>
          <t>... (200 số)</t>
        </is>
      </c>
      <c r="J269" s="3" t="inlineStr">
        <is>
          <t>TRƯỢT ❌</t>
        </is>
      </c>
    </row>
    <row r="270">
      <c r="A270" s="2" t="n">
        <v>269</v>
      </c>
      <c r="B270" s="2" t="inlineStr">
        <is>
          <t>Thứ Tư ngày 30-09-2026</t>
        </is>
      </c>
      <c r="C270" s="3" t="inlineStr">
        <is>
          <t>40208</t>
        </is>
      </c>
      <c r="D270" s="3" t="inlineStr">
        <is>
          <t>208</t>
        </is>
      </c>
      <c r="E270" s="3" t="inlineStr">
        <is>
          <t>0208</t>
        </is>
      </c>
      <c r="F270" s="3" t="inlineStr">
        <is>
          <t>004, 006, 011, 012, 015, 021, 022, 032, 037, 038... (100 số)</t>
        </is>
      </c>
      <c r="G270" s="3" t="inlineStr">
        <is>
          <t>TRƯỢT ❌</t>
        </is>
      </c>
      <c r="H270" s="3" t="inlineStr">
        <is>
          <t>TRƯỢT ❌</t>
        </is>
      </c>
      <c r="I270" s="3" t="inlineStr">
        <is>
          <t>... (200 số)</t>
        </is>
      </c>
      <c r="J270" s="3" t="inlineStr">
        <is>
          <t>TRƯỢT ❌</t>
        </is>
      </c>
    </row>
    <row r="271">
      <c r="A271" s="2" t="n">
        <v>270</v>
      </c>
      <c r="B271" s="2" t="inlineStr">
        <is>
          <t>Thứ Năm ngày 01-10-2026</t>
        </is>
      </c>
      <c r="C271" s="3" t="inlineStr">
        <is>
          <t>24483</t>
        </is>
      </c>
      <c r="D271" s="3" t="inlineStr">
        <is>
          <t>483</t>
        </is>
      </c>
      <c r="E271" s="3" t="inlineStr">
        <is>
          <t>4483</t>
        </is>
      </c>
      <c r="F271" s="3" t="inlineStr">
        <is>
          <t>004, 006, 008, 011, 012, 015, 021, 022, 032, 035... (100 số)</t>
        </is>
      </c>
      <c r="G271" s="3" t="inlineStr">
        <is>
          <t>TRƯỢT ❌</t>
        </is>
      </c>
      <c r="H271" s="3" t="inlineStr">
        <is>
          <t>TRƯỢT ❌</t>
        </is>
      </c>
      <c r="I271" s="3" t="inlineStr">
        <is>
          <t>... (200 số)</t>
        </is>
      </c>
      <c r="J271" s="3" t="inlineStr">
        <is>
          <t>TRƯỢT ❌</t>
        </is>
      </c>
    </row>
    <row r="272">
      <c r="A272" s="2" t="n">
        <v>271</v>
      </c>
      <c r="B272" s="2" t="inlineStr">
        <is>
          <t>Thứ Sáu ngày 02-10-2026</t>
        </is>
      </c>
      <c r="C272" s="3" t="inlineStr">
        <is>
          <t>77961</t>
        </is>
      </c>
      <c r="D272" s="3" t="inlineStr">
        <is>
          <t>961</t>
        </is>
      </c>
      <c r="E272" s="3" t="inlineStr">
        <is>
          <t>7961</t>
        </is>
      </c>
      <c r="F272" s="3" t="inlineStr">
        <is>
          <t>004, 006, 008, 015, 022, 032, 035, 037, 038, 042... (100 số)</t>
        </is>
      </c>
      <c r="G272" s="3" t="inlineStr">
        <is>
          <t>TRƯỢT ❌</t>
        </is>
      </c>
      <c r="H272" s="3" t="inlineStr">
        <is>
          <t>TRƯỢT ❌</t>
        </is>
      </c>
      <c r="I272" s="3" t="inlineStr">
        <is>
          <t>... (200 số)</t>
        </is>
      </c>
      <c r="J272" s="3" t="inlineStr">
        <is>
          <t>TRƯỢT ❌</t>
        </is>
      </c>
    </row>
    <row r="273">
      <c r="A273" s="2" t="n">
        <v>272</v>
      </c>
      <c r="B273" s="2" t="inlineStr">
        <is>
          <t>Thứ Bảy ngày 03-10-2026</t>
        </is>
      </c>
      <c r="C273" s="3" t="inlineStr">
        <is>
          <t>82951</t>
        </is>
      </c>
      <c r="D273" s="3" t="inlineStr">
        <is>
          <t>951</t>
        </is>
      </c>
      <c r="E273" s="3" t="inlineStr">
        <is>
          <t>2951</t>
        </is>
      </c>
      <c r="F273" s="3" t="inlineStr">
        <is>
          <t>004, 008, 012, 021, 022, 029, 032, 035, 037, 038... (100 số)</t>
        </is>
      </c>
      <c r="G273" s="3" t="inlineStr">
        <is>
          <t>TRƯỢT ❌</t>
        </is>
      </c>
      <c r="H273" s="3" t="inlineStr">
        <is>
          <t>TRƯỢT ❌</t>
        </is>
      </c>
      <c r="I273" s="3" t="inlineStr">
        <is>
          <t>... (200 số)</t>
        </is>
      </c>
      <c r="J273" s="3" t="inlineStr">
        <is>
          <t>TRƯỢT ❌</t>
        </is>
      </c>
    </row>
    <row r="274">
      <c r="A274" s="2" t="n">
        <v>273</v>
      </c>
      <c r="B274" s="2" t="inlineStr">
        <is>
          <t>Chủ Nhật ngày 04-10-2026</t>
        </is>
      </c>
      <c r="C274" s="3" t="inlineStr">
        <is>
          <t>19654</t>
        </is>
      </c>
      <c r="D274" s="3" t="inlineStr">
        <is>
          <t>654</t>
        </is>
      </c>
      <c r="E274" s="3" t="inlineStr">
        <is>
          <t>9654</t>
        </is>
      </c>
      <c r="F274" s="3" t="inlineStr">
        <is>
          <t>004, 006, 008, 012, 015, 021, 022, 029, 032, 038... (100 số)</t>
        </is>
      </c>
      <c r="G274" s="3" t="inlineStr">
        <is>
          <t>TRƯỢT ❌</t>
        </is>
      </c>
      <c r="H274" s="3" t="inlineStr">
        <is>
          <t>TRƯỢT ❌</t>
        </is>
      </c>
      <c r="I274" s="3" t="inlineStr">
        <is>
          <t>... (200 số)</t>
        </is>
      </c>
      <c r="J274" s="3" t="inlineStr">
        <is>
          <t>TRƯỢT ❌</t>
        </is>
      </c>
    </row>
    <row r="275">
      <c r="A275" s="2" t="n">
        <v>274</v>
      </c>
      <c r="B275" s="2" t="inlineStr">
        <is>
          <t>Thứ Hai ngày 05-10-2026</t>
        </is>
      </c>
      <c r="C275" s="3" t="inlineStr">
        <is>
          <t>12554</t>
        </is>
      </c>
      <c r="D275" s="3" t="inlineStr">
        <is>
          <t>554</t>
        </is>
      </c>
      <c r="E275" s="3" t="inlineStr">
        <is>
          <t>2554</t>
        </is>
      </c>
      <c r="F275" s="3" t="inlineStr">
        <is>
          <t>004, 006, 008, 012, 015, 021, 022, 029, 032, 035... (100 số)</t>
        </is>
      </c>
      <c r="G275" s="3" t="inlineStr">
        <is>
          <t>TRÚNG 🎯</t>
        </is>
      </c>
      <c r="H275" s="3" t="inlineStr">
        <is>
          <t>TRÚNG 🎯</t>
        </is>
      </c>
      <c r="I275" s="3" t="inlineStr">
        <is>
          <t>... (200 số)</t>
        </is>
      </c>
      <c r="J275" s="3" t="inlineStr">
        <is>
          <t>TRÚNG 🎯</t>
        </is>
      </c>
    </row>
    <row r="276">
      <c r="A276" s="2" t="n">
        <v>275</v>
      </c>
      <c r="B276" s="2" t="inlineStr">
        <is>
          <t>Thứ Ba ngày 06-10-2026</t>
        </is>
      </c>
      <c r="C276" s="3" t="inlineStr">
        <is>
          <t>56488</t>
        </is>
      </c>
      <c r="D276" s="3" t="inlineStr">
        <is>
          <t>488</t>
        </is>
      </c>
      <c r="E276" s="3" t="inlineStr">
        <is>
          <t>6488</t>
        </is>
      </c>
      <c r="F276" s="3" t="inlineStr">
        <is>
          <t>004, 006, 008, 022, 029, 032, 037, 038, 042, 044... (100 số)</t>
        </is>
      </c>
      <c r="G276" s="3" t="inlineStr">
        <is>
          <t>TRƯỢT ❌</t>
        </is>
      </c>
      <c r="H276" s="3" t="inlineStr">
        <is>
          <t>TRƯỢT ❌</t>
        </is>
      </c>
      <c r="I276" s="3" t="inlineStr">
        <is>
          <t>... (200 số)</t>
        </is>
      </c>
      <c r="J276" s="3" t="inlineStr">
        <is>
          <t>TRƯỢT ❌</t>
        </is>
      </c>
    </row>
    <row r="277">
      <c r="A277" s="2" t="n">
        <v>276</v>
      </c>
      <c r="B277" s="2" t="inlineStr">
        <is>
          <t>Thứ Tư ngày 07-10-2026</t>
        </is>
      </c>
      <c r="C277" s="3" t="inlineStr">
        <is>
          <t>43339</t>
        </is>
      </c>
      <c r="D277" s="3" t="inlineStr">
        <is>
          <t>339</t>
        </is>
      </c>
      <c r="E277" s="3" t="inlineStr">
        <is>
          <t>3339</t>
        </is>
      </c>
      <c r="F277" s="3" t="inlineStr">
        <is>
          <t>004, 006, 008, 012, 015, 021, 022, 032, 038, 042... (100 số)</t>
        </is>
      </c>
      <c r="G277" s="3" t="inlineStr">
        <is>
          <t>TRƯỢT ❌</t>
        </is>
      </c>
      <c r="H277" s="3" t="inlineStr">
        <is>
          <t>TRƯỢT ❌</t>
        </is>
      </c>
      <c r="I277" s="3" t="inlineStr">
        <is>
          <t>... (200 số)</t>
        </is>
      </c>
      <c r="J277" s="3" t="inlineStr">
        <is>
          <t>TRƯỢT ❌</t>
        </is>
      </c>
    </row>
    <row r="278">
      <c r="A278" s="2" t="n">
        <v>277</v>
      </c>
      <c r="B278" s="2" t="inlineStr">
        <is>
          <t>Thứ Năm ngày 08-10-2026</t>
        </is>
      </c>
      <c r="C278" s="3" t="inlineStr">
        <is>
          <t>20635</t>
        </is>
      </c>
      <c r="D278" s="3" t="inlineStr">
        <is>
          <t>635</t>
        </is>
      </c>
      <c r="E278" s="3" t="inlineStr">
        <is>
          <t>0635</t>
        </is>
      </c>
      <c r="F278" s="3" t="inlineStr">
        <is>
          <t>004, 006, 008, 012, 015, 022, 029, 032, 037, 038... (100 số)</t>
        </is>
      </c>
      <c r="G278" s="3" t="inlineStr">
        <is>
          <t>TRƯỢT ❌</t>
        </is>
      </c>
      <c r="H278" s="3" t="inlineStr">
        <is>
          <t>TRƯỢT ❌</t>
        </is>
      </c>
      <c r="I278" s="3" t="inlineStr">
        <is>
          <t>... (200 số)</t>
        </is>
      </c>
      <c r="J278" s="3" t="inlineStr">
        <is>
          <t>TRƯỢT ❌</t>
        </is>
      </c>
    </row>
    <row r="279">
      <c r="A279" s="2" t="n">
        <v>278</v>
      </c>
      <c r="B279" s="2" t="inlineStr">
        <is>
          <t>Thứ Sáu ngày 09-10-2026</t>
        </is>
      </c>
      <c r="C279" s="3" t="inlineStr">
        <is>
          <t>82153</t>
        </is>
      </c>
      <c r="D279" s="3" t="inlineStr">
        <is>
          <t>153</t>
        </is>
      </c>
      <c r="E279" s="3" t="inlineStr">
        <is>
          <t>2153</t>
        </is>
      </c>
      <c r="F279" s="3" t="inlineStr">
        <is>
          <t>006, 008, 012, 015, 022, 029, 032, 035, 037, 038... (100 số)</t>
        </is>
      </c>
      <c r="G279" s="3" t="inlineStr">
        <is>
          <t>TRƯỢT ❌</t>
        </is>
      </c>
      <c r="H279" s="3" t="inlineStr">
        <is>
          <t>TRƯỢT ❌</t>
        </is>
      </c>
      <c r="I279" s="3" t="inlineStr">
        <is>
          <t>... (200 số)</t>
        </is>
      </c>
      <c r="J279" s="3" t="inlineStr">
        <is>
          <t>TRƯỢT ❌</t>
        </is>
      </c>
    </row>
    <row r="280">
      <c r="A280" s="2" t="n">
        <v>279</v>
      </c>
      <c r="B280" s="2" t="inlineStr">
        <is>
          <t>Thứ Bảy ngày 10-10-2026</t>
        </is>
      </c>
      <c r="C280" s="3" t="inlineStr">
        <is>
          <t>07363</t>
        </is>
      </c>
      <c r="D280" s="3" t="inlineStr">
        <is>
          <t>363</t>
        </is>
      </c>
      <c r="E280" s="3" t="inlineStr">
        <is>
          <t>7363</t>
        </is>
      </c>
      <c r="F280" s="3" t="inlineStr">
        <is>
          <t>006, 008, 012, 015, 022, 032, 035, 037, 038, 039... (100 số)</t>
        </is>
      </c>
      <c r="G280" s="3" t="inlineStr">
        <is>
          <t>TRƯỢT ❌</t>
        </is>
      </c>
      <c r="H280" s="3" t="inlineStr">
        <is>
          <t>TRƯỢT ❌</t>
        </is>
      </c>
      <c r="I280" s="3" t="inlineStr">
        <is>
          <t>... (200 số)</t>
        </is>
      </c>
      <c r="J280" s="3" t="inlineStr">
        <is>
          <t>TRƯỢT ❌</t>
        </is>
      </c>
    </row>
    <row r="281">
      <c r="A281" s="2" t="n">
        <v>280</v>
      </c>
      <c r="B281" s="2" t="inlineStr">
        <is>
          <t>Chủ Nhật ngày 11-10-2026</t>
        </is>
      </c>
      <c r="C281" s="3" t="inlineStr">
        <is>
          <t>38287</t>
        </is>
      </c>
      <c r="D281" s="3" t="inlineStr">
        <is>
          <t>287</t>
        </is>
      </c>
      <c r="E281" s="3" t="inlineStr">
        <is>
          <t>8287</t>
        </is>
      </c>
      <c r="F281" s="3" t="inlineStr">
        <is>
          <t>006, 008, 012, 015, 022, 029, 032, 035, 038, 039... (100 số)</t>
        </is>
      </c>
      <c r="G281" s="3" t="inlineStr">
        <is>
          <t>TRƯỢT ❌</t>
        </is>
      </c>
      <c r="H281" s="3" t="inlineStr">
        <is>
          <t>TRƯỢT ❌</t>
        </is>
      </c>
      <c r="I281" s="3" t="inlineStr">
        <is>
          <t>... (200 số)</t>
        </is>
      </c>
      <c r="J281" s="3" t="inlineStr">
        <is>
          <t>TRƯỢT ❌</t>
        </is>
      </c>
    </row>
    <row r="282">
      <c r="A282" s="2" t="n">
        <v>281</v>
      </c>
      <c r="B282" s="2" t="inlineStr">
        <is>
          <t>Thứ Hai ngày 12-10-2026</t>
        </is>
      </c>
      <c r="C282" s="3" t="inlineStr">
        <is>
          <t>53618</t>
        </is>
      </c>
      <c r="D282" s="3" t="inlineStr">
        <is>
          <t>618</t>
        </is>
      </c>
      <c r="E282" s="3" t="inlineStr">
        <is>
          <t>3618</t>
        </is>
      </c>
      <c r="F282" s="3" t="inlineStr">
        <is>
          <t>006, 008, 015, 022, 029, 032, 035, 038, 039, 042... (100 số)</t>
        </is>
      </c>
      <c r="G282" s="3" t="inlineStr">
        <is>
          <t>TRƯỢT ❌</t>
        </is>
      </c>
      <c r="H282" s="3" t="inlineStr">
        <is>
          <t>TRƯỢT ❌</t>
        </is>
      </c>
      <c r="I282" s="3" t="inlineStr">
        <is>
          <t>... (200 số)</t>
        </is>
      </c>
      <c r="J282" s="3" t="inlineStr">
        <is>
          <t>TRƯỢT ❌</t>
        </is>
      </c>
    </row>
    <row r="283">
      <c r="A283" s="2" t="n">
        <v>282</v>
      </c>
      <c r="B283" s="2" t="inlineStr">
        <is>
          <t>Thứ Ba ngày 13-10-2026</t>
        </is>
      </c>
      <c r="C283" s="3" t="inlineStr">
        <is>
          <t>28259</t>
        </is>
      </c>
      <c r="D283" s="3" t="inlineStr">
        <is>
          <t>259</t>
        </is>
      </c>
      <c r="E283" s="3" t="inlineStr">
        <is>
          <t>8259</t>
        </is>
      </c>
      <c r="F283" s="3" t="inlineStr">
        <is>
          <t>008, 012, 015, 018, 022, 029, 032, 035, 037, 038... (100 số)</t>
        </is>
      </c>
      <c r="G283" s="3" t="inlineStr">
        <is>
          <t>TRƯỢT ❌</t>
        </is>
      </c>
      <c r="H283" s="3" t="inlineStr">
        <is>
          <t>TRƯỢT ❌</t>
        </is>
      </c>
      <c r="I283" s="3" t="inlineStr">
        <is>
          <t>... (200 số)</t>
        </is>
      </c>
      <c r="J283" s="3" t="inlineStr">
        <is>
          <t>TRƯỢT ❌</t>
        </is>
      </c>
    </row>
    <row r="284">
      <c r="A284" s="2" t="n">
        <v>283</v>
      </c>
      <c r="B284" s="2" t="inlineStr">
        <is>
          <t>Thứ Tư ngày 14-10-2026</t>
        </is>
      </c>
      <c r="C284" s="3" t="inlineStr">
        <is>
          <t>62066</t>
        </is>
      </c>
      <c r="D284" s="3" t="inlineStr">
        <is>
          <t>066</t>
        </is>
      </c>
      <c r="E284" s="3" t="inlineStr">
        <is>
          <t>2066</t>
        </is>
      </c>
      <c r="F284" s="3" t="inlineStr">
        <is>
          <t>006, 008, 015, 018, 029, 032, 035, 038, 039, 042... (100 số)</t>
        </is>
      </c>
      <c r="G284" s="3" t="inlineStr">
        <is>
          <t>TRƯỢT ❌</t>
        </is>
      </c>
      <c r="H284" s="3" t="inlineStr">
        <is>
          <t>TRƯỢT ❌</t>
        </is>
      </c>
      <c r="I284" s="3" t="inlineStr">
        <is>
          <t>... (200 số)</t>
        </is>
      </c>
      <c r="J284" s="3" t="inlineStr">
        <is>
          <t>TRƯỢT ❌</t>
        </is>
      </c>
    </row>
    <row r="285">
      <c r="A285" s="2" t="n">
        <v>284</v>
      </c>
      <c r="B285" s="2" t="inlineStr">
        <is>
          <t>Thứ Năm ngày 15-10-2026</t>
        </is>
      </c>
      <c r="C285" s="3" t="inlineStr">
        <is>
          <t>63756</t>
        </is>
      </c>
      <c r="D285" s="3" t="inlineStr">
        <is>
          <t>756</t>
        </is>
      </c>
      <c r="E285" s="3" t="inlineStr">
        <is>
          <t>3756</t>
        </is>
      </c>
      <c r="F285" s="3" t="inlineStr">
        <is>
          <t>006, 008, 012, 015, 018, 022, 032, 035, 038, 039... (100 số)</t>
        </is>
      </c>
      <c r="G285" s="3" t="inlineStr">
        <is>
          <t>TRƯỢT ❌</t>
        </is>
      </c>
      <c r="H285" s="3" t="inlineStr">
        <is>
          <t>TRƯỢT ❌</t>
        </is>
      </c>
      <c r="I285" s="3" t="inlineStr">
        <is>
          <t>... (200 số)</t>
        </is>
      </c>
      <c r="J285" s="3" t="inlineStr">
        <is>
          <t>TRƯỢT ❌</t>
        </is>
      </c>
    </row>
    <row r="286">
      <c r="A286" s="2" t="n">
        <v>285</v>
      </c>
      <c r="B286" s="2" t="inlineStr">
        <is>
          <t>Thứ Sáu ngày 16-10-2026</t>
        </is>
      </c>
      <c r="C286" s="3" t="inlineStr">
        <is>
          <t>64538</t>
        </is>
      </c>
      <c r="D286" s="3" t="inlineStr">
        <is>
          <t>538</t>
        </is>
      </c>
      <c r="E286" s="3" t="inlineStr">
        <is>
          <t>4538</t>
        </is>
      </c>
      <c r="F286" s="3" t="inlineStr">
        <is>
          <t>012, 015, 022, 032, 035, 037, 038, 039, 042, 044... (100 số)</t>
        </is>
      </c>
      <c r="G286" s="3" t="inlineStr">
        <is>
          <t>TRÚNG 🎯</t>
        </is>
      </c>
      <c r="H286" s="3" t="inlineStr">
        <is>
          <t>TRÚNG 🎯</t>
        </is>
      </c>
      <c r="I286" s="3" t="inlineStr">
        <is>
          <t>... (200 số)</t>
        </is>
      </c>
      <c r="J286" s="3" t="inlineStr">
        <is>
          <t>TRƯỢT ❌</t>
        </is>
      </c>
    </row>
    <row r="287">
      <c r="A287" s="2" t="n">
        <v>286</v>
      </c>
      <c r="B287" s="2" t="inlineStr">
        <is>
          <t>Thứ Bảy ngày 17-10-2026</t>
        </is>
      </c>
      <c r="C287" s="3" t="inlineStr">
        <is>
          <t>84642</t>
        </is>
      </c>
      <c r="D287" s="3" t="inlineStr">
        <is>
          <t>642</t>
        </is>
      </c>
      <c r="E287" s="3" t="inlineStr">
        <is>
          <t>4642</t>
        </is>
      </c>
      <c r="F287" s="3" t="inlineStr">
        <is>
          <t>006, 008, 012, 015, 018, 022, 032, 035, 038, 039... (100 số)</t>
        </is>
      </c>
      <c r="G287" s="3" t="inlineStr">
        <is>
          <t>TRƯỢT ❌</t>
        </is>
      </c>
      <c r="H287" s="3" t="inlineStr">
        <is>
          <t>TRƯỢT ❌</t>
        </is>
      </c>
      <c r="I287" s="3" t="inlineStr">
        <is>
          <t>... (200 số)</t>
        </is>
      </c>
      <c r="J287" s="3" t="inlineStr">
        <is>
          <t>TRƯỢT ❌</t>
        </is>
      </c>
    </row>
    <row r="288">
      <c r="A288" s="2" t="n">
        <v>287</v>
      </c>
      <c r="B288" s="2" t="inlineStr">
        <is>
          <t>Chủ Nhật ngày 18-10-2026</t>
        </is>
      </c>
      <c r="C288" s="3" t="inlineStr">
        <is>
          <t>55390</t>
        </is>
      </c>
      <c r="D288" s="3" t="inlineStr">
        <is>
          <t>390</t>
        </is>
      </c>
      <c r="E288" s="3" t="inlineStr">
        <is>
          <t>5390</t>
        </is>
      </c>
      <c r="F288" s="3" t="inlineStr">
        <is>
          <t>006, 008, 012, 015, 018, 032, 037, 038, 042, 044... (100 số)</t>
        </is>
      </c>
      <c r="G288" s="3" t="inlineStr">
        <is>
          <t>TRƯỢT ❌</t>
        </is>
      </c>
      <c r="H288" s="3" t="inlineStr">
        <is>
          <t>TRƯỢT ❌</t>
        </is>
      </c>
      <c r="I288" s="3" t="inlineStr">
        <is>
          <t>... (200 số)</t>
        </is>
      </c>
      <c r="J288" s="3" t="inlineStr">
        <is>
          <t>TRƯỢT ❌</t>
        </is>
      </c>
    </row>
    <row r="289">
      <c r="A289" s="2" t="n">
        <v>288</v>
      </c>
      <c r="B289" s="2" t="inlineStr">
        <is>
          <t>Thứ Hai ngày 19-10-2026</t>
        </is>
      </c>
      <c r="C289" s="3" t="inlineStr">
        <is>
          <t>86809</t>
        </is>
      </c>
      <c r="D289" s="3" t="inlineStr">
        <is>
          <t>809</t>
        </is>
      </c>
      <c r="E289" s="3" t="inlineStr">
        <is>
          <t>6809</t>
        </is>
      </c>
      <c r="F289" s="3" t="inlineStr">
        <is>
          <t>006, 008, 015, 018, 032, 035, 037, 038, 039, 042... (100 số)</t>
        </is>
      </c>
      <c r="G289" s="3" t="inlineStr">
        <is>
          <t>TRƯỢT ❌</t>
        </is>
      </c>
      <c r="H289" s="3" t="inlineStr">
        <is>
          <t>TRƯỢT ❌</t>
        </is>
      </c>
      <c r="I289" s="3" t="inlineStr">
        <is>
          <t>... (200 số)</t>
        </is>
      </c>
      <c r="J289" s="3" t="inlineStr">
        <is>
          <t>TRƯỢT ❌</t>
        </is>
      </c>
    </row>
    <row r="290">
      <c r="A290" s="2" t="n">
        <v>289</v>
      </c>
      <c r="B290" s="2" t="inlineStr">
        <is>
          <t>Thứ Ba ngày 20-10-2026</t>
        </is>
      </c>
      <c r="C290" s="3" t="inlineStr">
        <is>
          <t>94163</t>
        </is>
      </c>
      <c r="D290" s="3" t="inlineStr">
        <is>
          <t>163</t>
        </is>
      </c>
      <c r="E290" s="3" t="inlineStr">
        <is>
          <t>4163</t>
        </is>
      </c>
      <c r="F290" s="3" t="inlineStr">
        <is>
          <t>006, 008, 009, 022, 032, 035, 037, 038, 039, 042... (100 số)</t>
        </is>
      </c>
      <c r="G290" s="3" t="inlineStr">
        <is>
          <t>TRƯỢT ❌</t>
        </is>
      </c>
      <c r="H290" s="3" t="inlineStr">
        <is>
          <t>TRƯỢT ❌</t>
        </is>
      </c>
      <c r="I290" s="3" t="inlineStr">
        <is>
          <t>... (200 số)</t>
        </is>
      </c>
      <c r="J290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2026-10-21T11:35:04Z</dcterms:created>
  <dcterms:modified xsi:type="dcterms:W3CDTF">2026-10-21T11:35:05Z</dcterms:modified>
</cp:coreProperties>
</file>